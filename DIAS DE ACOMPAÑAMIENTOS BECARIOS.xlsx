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N-JUL" sheetId="1" r:id="rId5"/>
    <sheet state="hidden" name="AGOS-SEP" sheetId="2" r:id="rId6"/>
    <sheet state="visible" name="OCT-NOV-DIC" sheetId="3" r:id="rId7"/>
    <sheet state="hidden" name="TORNEO JUN-JUL" sheetId="4" r:id="rId8"/>
    <sheet state="hidden" name="TORNEOS MAY" sheetId="5" r:id="rId9"/>
  </sheets>
  <definedNames>
    <definedName hidden="1" localSheetId="0" name="_xlnm._FilterDatabase">'JUN-JUL'!$A$2:$AW$84</definedName>
    <definedName hidden="1" localSheetId="1" name="_xlnm._FilterDatabase">'AGOS-SEP'!$A$2:$CW$82</definedName>
    <definedName hidden="1" localSheetId="2" name="_xlnm._FilterDatabase">'OCT-NOV-DIC'!$A$2:$CW$82</definedName>
    <definedName hidden="1" localSheetId="3" name="_xlnm._FilterDatabase">'TORNEO JUN-JUL'!$A$1:$AU$83</definedName>
    <definedName hidden="1" localSheetId="3" name="Z_54F8CE8E_2557_445F_84FF_C9618C825AB6_.wvu.FilterData">'TORNEO JUN-JUL'!$A$1:$U$77</definedName>
    <definedName hidden="1" localSheetId="0" name="Z_54F8CE8E_2557_445F_84FF_C9618C825AB6_.wvu.FilterData">'JUN-JUL'!$A$2:$AH$78</definedName>
    <definedName hidden="1" localSheetId="1" name="Z_54F8CE8E_2557_445F_84FF_C9618C825AB6_.wvu.FilterData">'AGOS-SEP'!$A$2:$AH$76</definedName>
    <definedName hidden="1" localSheetId="2" name="Z_54F8CE8E_2557_445F_84FF_C9618C825AB6_.wvu.FilterData">'OCT-NOV-DIC'!$A$2:$AH$76</definedName>
  </definedNames>
  <calcPr/>
  <customWorkbookViews>
    <customWorkbookView activeSheetId="0" maximized="1" windowHeight="0" windowWidth="0" guid="{54F8CE8E-2557-445F-84FF-C9618C825AB6}" name="dias de acompañamientos becarios"/>
  </customWorkbookViews>
</workbook>
</file>

<file path=xl/sharedStrings.xml><?xml version="1.0" encoding="utf-8"?>
<sst xmlns="http://schemas.openxmlformats.org/spreadsheetml/2006/main" count="15316" uniqueCount="550">
  <si>
    <t>CEDULA</t>
  </si>
  <si>
    <t>SEMESTRE 2026-1</t>
  </si>
  <si>
    <t>L- AM</t>
  </si>
  <si>
    <t>L PM</t>
  </si>
  <si>
    <t>M-AM 7 JULIO</t>
  </si>
  <si>
    <t>M-PM 7 JUIO</t>
  </si>
  <si>
    <t>W-AM 8 JULIO</t>
  </si>
  <si>
    <t>W-PM 8 JULIO</t>
  </si>
  <si>
    <t>J-AM 9 JULIO</t>
  </si>
  <si>
    <t>J-PM 9 JULIO</t>
  </si>
  <si>
    <t>V-AM 10 JULIO</t>
  </si>
  <si>
    <t>V-PM 10 JULIO</t>
  </si>
  <si>
    <t>SAB 
6 JUNIO</t>
  </si>
  <si>
    <t>DOM
7 JUN</t>
  </si>
  <si>
    <t>LUN FEST
8 JUN</t>
  </si>
  <si>
    <t>SAB 13 JUN</t>
  </si>
  <si>
    <t>LUN FEST 15 JUN</t>
  </si>
  <si>
    <t>SAB 20 JUN</t>
  </si>
  <si>
    <t>SAB 27 JUN</t>
  </si>
  <si>
    <t>LUN FEST 29 JUN</t>
  </si>
  <si>
    <t>SAB 4 JUL</t>
  </si>
  <si>
    <t>SAB 11 JUL</t>
  </si>
  <si>
    <t>SAB 18 JUL</t>
  </si>
  <si>
    <t>SAB 24 JUL</t>
  </si>
  <si>
    <t xml:space="preserve">SAB </t>
  </si>
  <si>
    <r>
      <rPr>
        <rFont val="Poppins"/>
        <color rgb="FF1155CC"/>
        <sz val="7.0"/>
        <u/>
      </rPr>
      <t>https://fundacionclubcampestre.org/wp-content/uploads/elementor/forms/697a2aa1e35e2.pdf</t>
    </r>
  </si>
  <si>
    <t>CATEGORIA</t>
  </si>
  <si>
    <t>M-AM</t>
  </si>
  <si>
    <t>M-PM</t>
  </si>
  <si>
    <t>W-AM</t>
  </si>
  <si>
    <t>W-PM</t>
  </si>
  <si>
    <t>J-AM</t>
  </si>
  <si>
    <t>J-PM</t>
  </si>
  <si>
    <t>V-AM</t>
  </si>
  <si>
    <t>V-PM</t>
  </si>
  <si>
    <t>SAB
 25 ABRIL</t>
  </si>
  <si>
    <t>DOM
 26 ABRIL</t>
  </si>
  <si>
    <t>SAB 
2 MAYO</t>
  </si>
  <si>
    <t>DOM
3 MAYO</t>
  </si>
  <si>
    <t>SAB 
9 MAYO</t>
  </si>
  <si>
    <t>DOM
10 MAYO</t>
  </si>
  <si>
    <t>SAB 
16 MAYO</t>
  </si>
  <si>
    <t>DOM 17
MAYO</t>
  </si>
  <si>
    <t>LUNES FEST 18 MAYO</t>
  </si>
  <si>
    <t>SAB 23 MAYO</t>
  </si>
  <si>
    <t>DOM
24 MAYO</t>
  </si>
  <si>
    <t>SAB 30 MAYO</t>
  </si>
  <si>
    <t>DOM 
31 MAYO</t>
  </si>
  <si>
    <t>ALVAREZ CARDONA CARLOS ANDRES</t>
  </si>
  <si>
    <t>HIBRIDO - TERCERA</t>
  </si>
  <si>
    <t>DISPONIBLE</t>
  </si>
  <si>
    <t>ASISTE TENIS</t>
  </si>
  <si>
    <t>ASISTE GOLF</t>
  </si>
  <si>
    <t>HORARIO U</t>
  </si>
  <si>
    <t>NOMBRE COMPLEO</t>
  </si>
  <si>
    <t>DEPORTE Y CATEGORIA</t>
  </si>
  <si>
    <t>DOM 2 AGOS</t>
  </si>
  <si>
    <t>VIER 7 AGOS</t>
  </si>
  <si>
    <t>SAB 8 AGOS</t>
  </si>
  <si>
    <t>DOM 9 AGOS</t>
  </si>
  <si>
    <t>SAB 15 AGOS</t>
  </si>
  <si>
    <t>DOM 16 AGOS</t>
  </si>
  <si>
    <t>LUN 17 FEST</t>
  </si>
  <si>
    <t>SAB 22 AGOS</t>
  </si>
  <si>
    <t>DOMG 23 AGOS</t>
  </si>
  <si>
    <t>SAB 29 AGOS</t>
  </si>
  <si>
    <t>DOM 30 AG</t>
  </si>
  <si>
    <r>
      <rPr>
        <rFont val="Poppins"/>
        <color rgb="FF1155CC"/>
        <sz val="7.0"/>
        <u/>
      </rPr>
      <t>Horario 2026-1.pdf</t>
    </r>
  </si>
  <si>
    <t>SAB 5 SEP</t>
  </si>
  <si>
    <t>DOM  6 SEP</t>
  </si>
  <si>
    <t>SAB 12 SEP</t>
  </si>
  <si>
    <t>DOM 13 SEP</t>
  </si>
  <si>
    <t>SAB 19 SEP</t>
  </si>
  <si>
    <t>DOM 20 SEP</t>
  </si>
  <si>
    <t>SAB 26 SEP</t>
  </si>
  <si>
    <t>DOM 27 SEP</t>
  </si>
  <si>
    <t>SAB 3 OCT</t>
  </si>
  <si>
    <t>DOM 4 OCTU</t>
  </si>
  <si>
    <t>SAB 10 OCT</t>
  </si>
  <si>
    <t>DOM 11 OCTU</t>
  </si>
  <si>
    <t>LUN 12 OCTU</t>
  </si>
  <si>
    <t>SAB 17 OCT</t>
  </si>
  <si>
    <t>DOM 18 OCTU</t>
  </si>
  <si>
    <t>SAB 24 OCT</t>
  </si>
  <si>
    <t>DOM 25 OCTU</t>
  </si>
  <si>
    <t>SAB 31 OCT</t>
  </si>
  <si>
    <t>DOM 1 NOVI</t>
  </si>
  <si>
    <t>LUNES 2 NOVI</t>
  </si>
  <si>
    <t>ARANGO ECHAVARRIA DEIMAR</t>
  </si>
  <si>
    <t>SAB 25 JUL</t>
  </si>
  <si>
    <t>GOLF - PRIMERA</t>
  </si>
  <si>
    <t>SAB 1 AGO</t>
  </si>
  <si>
    <t>FIJO GOLF</t>
  </si>
  <si>
    <r>
      <rPr>
        <rFont val="Poppins"/>
        <color rgb="FF1155CC"/>
        <sz val="7.0"/>
        <u/>
      </rPr>
      <t>https://fundacionclubcampestre.org/wp-content/uploads/elementor/forms/697a2aa1e35e2.pdf</t>
    </r>
  </si>
  <si>
    <r>
      <rPr>
        <rFont val="Poppins"/>
        <color rgb="FF1155CC"/>
        <sz val="7.0"/>
        <u/>
      </rPr>
      <t>693a020a40306.pdf</t>
    </r>
  </si>
  <si>
    <t>BOLIVAR PINEDA MILENA</t>
  </si>
  <si>
    <r>
      <rPr>
        <rFont val="Poppins"/>
        <color rgb="FF1155CC"/>
        <sz val="7.0"/>
        <u/>
      </rPr>
      <t>https://fundacionclubcampestre.org/wp-content/uploads/elementor/forms/694ebb21d02fd.png</t>
    </r>
  </si>
  <si>
    <t>CABAL GUTIERREZ EMILY</t>
  </si>
  <si>
    <t>GOLF - SEGUNDA</t>
  </si>
  <si>
    <t>ASISTE A GOLF</t>
  </si>
  <si>
    <t>FIJO G</t>
  </si>
  <si>
    <r>
      <rPr>
        <rFont val="Poppins"/>
        <color rgb="FF1155CC"/>
        <sz val="7.0"/>
        <u/>
      </rPr>
      <t>Horario 2026-1.pdf</t>
    </r>
  </si>
  <si>
    <r>
      <rPr>
        <rFont val="Poppins"/>
        <color rgb="FF1155CC"/>
        <sz val="7.0"/>
        <u/>
      </rPr>
      <t>campus.tdea.edu.co/extranet/horarioMatricula.do?idMatricula=906081&amp;intAnno=2026&amp;intPeriodo=1</t>
    </r>
  </si>
  <si>
    <t>CALLEJAS PATIÑO THOMAS</t>
  </si>
  <si>
    <t>HIBRIDO - SEGUNDA</t>
  </si>
  <si>
    <t>https://fundacionclubcampestre1.sharepoint.com/:b:/s/FUNDACIONCLUBCAMPESTRE935/IQC7Efgr1r1tR7VkQaOpImTPAfpNswy9msMxjp4S71VqLw8?e=SRfhHk</t>
  </si>
  <si>
    <r>
      <rPr>
        <rFont val="Poppins"/>
        <color rgb="FF1155CC"/>
        <sz val="7.0"/>
        <u/>
      </rPr>
      <t>https://fundacionclubcampestre1-my.sharepoint.com/:b:/g/personal/laura_restrepo_fundacionclubcampestre_org/IQBPa_Y9_mv6R5JYI4ScEcDMAc5h1T6CM93Y4RpiGKJEulw?e=3ONDNx</t>
    </r>
  </si>
  <si>
    <t>693a020a40306.pdf</t>
  </si>
  <si>
    <t>CALVO MEJIA MARIA ALEJANDRA</t>
  </si>
  <si>
    <r>
      <rPr>
        <rFont val="Poppins"/>
        <color rgb="FF1155CC"/>
        <sz val="7.0"/>
        <u/>
      </rPr>
      <t>https://fundacionclubcampestre.org/wp-content/uploads/elementor/forms/699fbc85e89ff.pdf</t>
    </r>
  </si>
  <si>
    <t>ANA BELEN GONZALEZ GOMEZ</t>
  </si>
  <si>
    <t>ESTUDIA</t>
  </si>
  <si>
    <t>ASISTE TENIS 10:30</t>
  </si>
  <si>
    <t>CANO DIAZ JUAN SEBASTIAN</t>
  </si>
  <si>
    <t>DISPONIBLE-12</t>
  </si>
  <si>
    <r>
      <rPr>
        <rFont val="Poppins"/>
        <color rgb="FF1155CC"/>
        <sz val="7.0"/>
        <u/>
      </rPr>
      <t>https://fundacionclubcampestre.org/wp-content/uploads/elementor/forms/694ebb21d02fd.png</t>
    </r>
  </si>
  <si>
    <r>
      <rPr>
        <rFont val="Poppins"/>
        <color rgb="FF1155CC"/>
        <sz val="7.0"/>
        <u/>
      </rPr>
      <t>https://fundacionclubcampestre.org/wp-content/uploads/elementor/forms/698a7d55d4c5a.pdf</t>
    </r>
  </si>
  <si>
    <t>CANO ZULETA SAMANTHA</t>
  </si>
  <si>
    <t>HIBRIDO -TERCERA</t>
  </si>
  <si>
    <t>ESTUDIA DE 18 A 21</t>
  </si>
  <si>
    <r>
      <rPr>
        <rFont val="Poppins"/>
        <color rgb="FF1155CC"/>
        <sz val="7.0"/>
        <u/>
      </rPr>
      <t>Horario semanal</t>
    </r>
  </si>
  <si>
    <t>https://fundacionclubcampestre1.sharepoint.com/:b:/s/FUNDACIONCLUBCAMPESTRE935/IQBeGnS-ij8oSa2F9BcTLR1zAc2NcqN6O5ys2y9deLOeIB8?e=ib63P0</t>
  </si>
  <si>
    <r>
      <rPr>
        <rFont val="Poppins"/>
        <color rgb="FF1155CC"/>
        <sz val="7.0"/>
        <u/>
      </rPr>
      <t>campus.tdea.edu.co/extranet/horarioMatricula.do?idMatricula=906081&amp;intAnno=2026&amp;intPeriodo=1</t>
    </r>
  </si>
  <si>
    <t>CASTAÑEDA TOBON MIGUEL ANGEL</t>
  </si>
  <si>
    <t>HIBRIDO</t>
  </si>
  <si>
    <t>FIJO T</t>
  </si>
  <si>
    <t>ANDRES FELIPE VILLALOBOS MUÑOZ</t>
  </si>
  <si>
    <t>TENIS</t>
  </si>
  <si>
    <r>
      <rPr>
        <rFont val="Poppins"/>
        <color rgb="FF1155CC"/>
        <sz val="7.0"/>
        <u/>
      </rPr>
      <t>https://fundacionclubcampestre.org/wp-content/uploads/elementor/forms/6983a34d054fa.pdf</t>
    </r>
  </si>
  <si>
    <t>CASTRILLON BUSTAMANTE MARIA CAMILA</t>
  </si>
  <si>
    <r>
      <rPr>
        <rFont val="Poppins"/>
        <color rgb="FF1155CC"/>
        <sz val="7.0"/>
        <u/>
      </rPr>
      <t>https://fundacionclubcampestre1-my.sharepoint.com/:b:/g/personal/laura_restrepo_fundacionclubcampestre_org/IQBPa_Y9_mv6R5JYI4ScEcDMAc5h1T6CM93Y4RpiGKJEulw?e=3ONDNx</t>
    </r>
  </si>
  <si>
    <r>
      <rPr>
        <rFont val="Poppins"/>
        <color rgb="FF1155CC"/>
        <sz val="7.0"/>
        <u/>
      </rPr>
      <t>69460c87e6b19.png (1493×691)</t>
    </r>
  </si>
  <si>
    <t>DISPONIBLE -10</t>
  </si>
  <si>
    <t>CUARTAS ESPINOSA ALEJANDRO</t>
  </si>
  <si>
    <t>https://fundacionclubcampestre.org/wp-content/uploads/elementor/forms/6a7d2997480a6.pdf</t>
  </si>
  <si>
    <r>
      <rPr>
        <rFont val="Poppins"/>
        <color rgb="FF1155CC"/>
        <sz val="7.0"/>
        <u/>
      </rPr>
      <t>https://fundacionclubcampestre.org/wp-content/uploads/elementor/forms/699fbc85e89ff.pdf</t>
    </r>
  </si>
  <si>
    <r>
      <rPr>
        <rFont val="Poppins"/>
        <color rgb="FF1155CC"/>
        <sz val="7.0"/>
        <u/>
      </rPr>
      <t>https://fundacionclubcampestre.org/wp-content/uploads/elementor/forms/698f8225b040a.png</t>
    </r>
  </si>
  <si>
    <t>ANGEL DAVID PUERTA ALVAREZ</t>
  </si>
  <si>
    <t>ESTRADA LOPEZ SIMON</t>
  </si>
  <si>
    <r>
      <rPr>
        <rFont val="Poppins"/>
        <color rgb="FF1155CC"/>
        <sz val="7.0"/>
        <u/>
      </rPr>
      <t>https://fundacionclubcampestre.org/wp-content/uploads/elementor/forms/6983db7675191.pdf</t>
    </r>
  </si>
  <si>
    <r>
      <rPr>
        <rFont val="Poppins"/>
        <color rgb="FF1155CC"/>
        <sz val="7.0"/>
        <u/>
      </rPr>
      <t>https://fundacionclubcampestre.org/wp-content/uploads/elementor/forms/698a7d55d4c5a.pdf</t>
    </r>
  </si>
  <si>
    <t>ESTRADA VASCO JOSE DANIEL</t>
  </si>
  <si>
    <t>https://fundacionclubcampestre.org/wp-content/uploads/elementor/forms/6a41cb5f7edbb.pdf</t>
  </si>
  <si>
    <r>
      <rPr>
        <rFont val="Poppins"/>
        <color rgb="FF1155CC"/>
        <sz val="7.0"/>
        <u/>
      </rPr>
      <t>https://fundacionclubcampestre.org/wp-content/uploads/elementor/forms/694b1af347638.pdf</t>
    </r>
  </si>
  <si>
    <t>ASISTE TENIS -10</t>
  </si>
  <si>
    <t>CAMILO MARTINEZ PALACIO</t>
  </si>
  <si>
    <t>FLOREZ PULGARIN JUAN SEBASTIAN</t>
  </si>
  <si>
    <r>
      <rPr>
        <rFont val="Poppins"/>
        <color rgb="FF1155CC"/>
        <sz val="7.0"/>
        <u/>
      </rPr>
      <t>Horario semanal</t>
    </r>
  </si>
  <si>
    <r>
      <rPr>
        <rFont val="Poppins"/>
        <color rgb="FF1155CC"/>
        <sz val="7.0"/>
        <u/>
      </rPr>
      <t>HORARIO SANTIAGO GIRALDO.pdf</t>
    </r>
  </si>
  <si>
    <t>GIRALDO MEJIA SANTIAGO</t>
  </si>
  <si>
    <t>GOLF - TERCERA</t>
  </si>
  <si>
    <t>https://fundacionclubcampestre1.sharepoint.com/:b:/s/FUNDACIONCLUBCAMPESTRE935/IQC7EpU_O0btR4oi9G3iECltATZqYl0ERL0jF1Vlx0G-zic?e=xyg3wx</t>
  </si>
  <si>
    <r>
      <rPr>
        <rFont val="Poppins"/>
        <color rgb="FF1155CC"/>
        <sz val="7.0"/>
        <u/>
      </rPr>
      <t>Horario Conciso de Alumno</t>
    </r>
  </si>
  <si>
    <r>
      <rPr>
        <rFont val="Poppins"/>
        <color rgb="FF1155CC"/>
        <sz val="7.0"/>
        <u/>
      </rPr>
      <t>https://fundacionclubcampestre.org/wp-content/uploads/elementor/forms/6983a34d054fa.pdf</t>
    </r>
  </si>
  <si>
    <t>GOMEZ ANGEL ISAAC</t>
  </si>
  <si>
    <t>CAMILO SANCHEZ PADILLA</t>
  </si>
  <si>
    <r>
      <rPr>
        <rFont val="Poppins"/>
        <color rgb="FF1155CC"/>
        <sz val="7.0"/>
        <u/>
      </rPr>
      <t>https://fundacionclubcampestre.org/wp-content/uploads/elementor/forms/69933aa5dd97a.pdf</t>
    </r>
  </si>
  <si>
    <r>
      <rPr>
        <color rgb="FF1155CC"/>
        <u/>
      </rPr>
      <t>6a57b134d9d52.pdf</t>
    </r>
  </si>
  <si>
    <t>GONZALEZ GOMEZ ANA BELEN</t>
  </si>
  <si>
    <r>
      <rPr>
        <rFont val="Poppins"/>
        <color rgb="FF1155CC"/>
        <sz val="7.0"/>
        <u/>
      </rPr>
      <t>https://fundacionclubcampestre.org/wp-content/uploads/elementor/forms/698d5308acc76.jpg</t>
    </r>
  </si>
  <si>
    <t>https://fundacionclubcampestre.org/wp-content/uploads/elementor/forms/6a6bfb8deb55d.pdf
https://fundacionclubcampestre1.sharepoint.com/:b:/s/FUNDACIONCLUBCAMPESTRE935/IQAKgwxSfTXISpzF3MVB3M4-AZ2sEqurGJtXzKyxMmAJZpQ?e=W48IdA</t>
  </si>
  <si>
    <t>GONZALEZ REYES SHARAY ALEJANDRA</t>
  </si>
  <si>
    <t>ASISTE TENIS-12</t>
  </si>
  <si>
    <t>ASISTE TENIS-10</t>
  </si>
  <si>
    <t>CARLOS ANDRES ALVAREZ CARDONA</t>
  </si>
  <si>
    <t>N/A</t>
  </si>
  <si>
    <r>
      <rPr>
        <rFont val="Poppins"/>
        <color rgb="FF1155CC"/>
        <sz val="7.0"/>
        <u/>
      </rPr>
      <t>https://fundacionclubcampestre.org/wp-content/uploads/elementor/forms/698f8225b040a.png</t>
    </r>
  </si>
  <si>
    <r>
      <rPr>
        <rFont val="Poppins"/>
        <color rgb="FF1155CC"/>
        <sz val="7.0"/>
        <u/>
      </rPr>
      <t>https://fundacionclubcampestre1-my.sharepoint.com/:b:/g/personal/laura_restrepo_fundacionclubcampestre_org/IQCuLccAK_9_RLlScddNzjPLASc1PoZY1poDeySA6fATf5A?e=lUWJBP</t>
    </r>
  </si>
  <si>
    <t>ASISTE TENIS 9AM</t>
  </si>
  <si>
    <t>HERRERA RINCON JOSE MANUEL</t>
  </si>
  <si>
    <t>PERMISO</t>
  </si>
  <si>
    <r>
      <rPr>
        <rFont val="Poppins"/>
        <color rgb="FF1155CC"/>
        <sz val="7.0"/>
        <u/>
      </rPr>
      <t>https://fundacionclubcampestre1-my.sharepoint.com/:i:/g/personal/laura_restrepo_fundacionclubcampestre_org/IQBeqUkEYKXPQYKnZfPxEhgvAX_qGP9lr-pY7YYNTwbCuOo?e=fr2sMv</t>
    </r>
  </si>
  <si>
    <t>https://fundacionclubcampestre.org/wp-content/uploads/elementor/forms/6a8e1374cf9d5.pdf</t>
  </si>
  <si>
    <r>
      <rPr>
        <rFont val="Poppins"/>
        <color rgb="FF1155CC"/>
        <sz val="7.0"/>
        <u/>
      </rPr>
      <t>https://fundacionclubcampestre.org/wp-content/uploads/elementor/forms/6983db7675191.pdf</t>
    </r>
  </si>
  <si>
    <t>HERRERA VALDEZ ESTEBAN</t>
  </si>
  <si>
    <t>ESCUELA</t>
  </si>
  <si>
    <t>CRISTIAN SEGURO MARIN</t>
  </si>
  <si>
    <t>SIN PAGO NO TIENE HORARIO</t>
  </si>
  <si>
    <t>HOYOS ARROYAVE MARIA SALOME</t>
  </si>
  <si>
    <r>
      <rPr>
        <rFont val="Poppins"/>
        <color rgb="FF1155CC"/>
        <sz val="7.0"/>
        <u/>
      </rPr>
      <t>FUNDACION CLUB CAMPESTRE - Horario.pdf - Todos los documentos</t>
    </r>
  </si>
  <si>
    <r>
      <rPr>
        <rFont val="Poppins"/>
        <color rgb="FF1155CC"/>
        <sz val="7.0"/>
        <u/>
      </rPr>
      <t>https://fundacionclubcampestre.org/wp-content/uploads/elementor/forms/694b1af347638.pdf</t>
    </r>
  </si>
  <si>
    <t>https://fundacionclubcampestre.org/wp-content/uploads/elementor/forms/6a5810d0ad952.pdf</t>
  </si>
  <si>
    <t>DANA SARID ZAPATA RODRIGUEZ</t>
  </si>
  <si>
    <r>
      <rPr>
        <rFont val="Poppins"/>
        <color rgb="FF1155CC"/>
        <sz val="7.0"/>
        <u/>
      </rPr>
      <t>HORARIO SANTIAGO GIRALDO.pdf</t>
    </r>
  </si>
  <si>
    <t xml:space="preserve">DISPONIBLE </t>
  </si>
  <si>
    <t>LLANO VARGAS JOSHUE</t>
  </si>
  <si>
    <t>https://fundacionclubcampestre.org/wp-content/uploads/elementor/forms/6a45cb387415d.pdf</t>
  </si>
  <si>
    <r>
      <rPr>
        <rFont val="Poppins"/>
        <color rgb="FF1155CC"/>
        <sz val="7.0"/>
        <u/>
      </rPr>
      <t>https://fundacionclubcampestre.org/wp-content/uploads/elementor/forms/69743b2731542.pdf</t>
    </r>
  </si>
  <si>
    <t>DANNA SOFIA PATIÑO GUERRA</t>
  </si>
  <si>
    <r>
      <rPr>
        <rFont val="Poppins"/>
        <color rgb="FF1155CC"/>
        <sz val="7.0"/>
        <u/>
      </rPr>
      <t>Horario Conciso de Alumno</t>
    </r>
  </si>
  <si>
    <t>ASISTE ENIS</t>
  </si>
  <si>
    <t>LONDOÑO HERNANDEZ JUAN MIGUEL</t>
  </si>
  <si>
    <r>
      <rPr>
        <rFont val="Poppins"/>
        <color rgb="FF1155CC"/>
        <sz val="7.0"/>
        <u/>
      </rPr>
      <t>ITM: Horario de Asignaturas</t>
    </r>
  </si>
  <si>
    <t>https://fundacionclubcampestre.org/wp-content/uploads/elementor/forms/6a5fc83bc38c6.pdf</t>
  </si>
  <si>
    <t>LOPEZ GARCÍA SAMUEL</t>
  </si>
  <si>
    <r>
      <rPr>
        <rFont val="Poppins"/>
        <color rgb="FF1155CC"/>
        <sz val="7.0"/>
        <u/>
      </rPr>
      <t>https://fundacionclubcampestre.org/wp-content/uploads/elementor/forms/69933aa5dd97a.pdf</t>
    </r>
  </si>
  <si>
    <t>DAVID MONTOYA BERNAL</t>
  </si>
  <si>
    <r>
      <rPr>
        <rFont val="Poppins"/>
        <color rgb="FF1155CC"/>
        <sz val="7.0"/>
        <u/>
      </rPr>
      <t>694c03da09f0a.pdf</t>
    </r>
  </si>
  <si>
    <t>MARIN PALACIO JUAN ESTEBAN</t>
  </si>
  <si>
    <t>https://fundacionclubcampestre.org/wp-content/uploads/elementor/forms/6a4dbcccbc041.jpg</t>
  </si>
  <si>
    <t>MARIN QUIROZ SAMADHI</t>
  </si>
  <si>
    <r>
      <rPr>
        <rFont val="Poppins"/>
        <color rgb="FF1155CC"/>
        <sz val="7.0"/>
        <u/>
      </rPr>
      <t>https://fundacionclubcampestre.org/wp-content/uploads/elementor/forms/698d5308acc76.jpg</t>
    </r>
  </si>
  <si>
    <r>
      <rPr>
        <rFont val="Poppins"/>
        <color rgb="FF1155CC"/>
        <sz val="7.0"/>
        <u/>
      </rPr>
      <t>Horario Semestre 2026-1</t>
    </r>
  </si>
  <si>
    <t>DEIMAR ARANGO ECHEVERRI</t>
  </si>
  <si>
    <t>MARQUEZ OSORNO JERONIMO</t>
  </si>
  <si>
    <r>
      <rPr>
        <rFont val="Poppins"/>
        <color rgb="FF1155CC"/>
        <sz val="7.0"/>
        <u/>
      </rPr>
      <t>https://fundacionclubcampestre.org/wp-content/uploads/elementor/forms/69a5d33a2c835.pdf</t>
    </r>
  </si>
  <si>
    <t>https://fundacionclubcampestre.org/wp-content/uploads/elementor/forms/6a444431e57ac.pdf</t>
  </si>
  <si>
    <t>MARTINEZ GOMEZ ANDRES FELIPE</t>
  </si>
  <si>
    <t>https://fundacionclubcampestre.org/wp-content/uploads/elementor/forms/6a39c4abb5340.png</t>
  </si>
  <si>
    <r>
      <rPr>
        <rFont val="Poppins"/>
        <color rgb="FF1155CC"/>
        <sz val="7.0"/>
        <u/>
      </rPr>
      <t>https://fundacionclubcampestre1-my.sharepoint.com/:b:/g/personal/laura_restrepo_fundacionclubcampestre_org/IQD0Pr9GDaOcRJR-h4mnte6UAVBdvC2_SXyDdW7bT5asjZw?e=rleU3e</t>
    </r>
  </si>
  <si>
    <t>EMILY CABAL GUTIERREZ</t>
  </si>
  <si>
    <t>MARTINEZ PALACIO CAMILO</t>
  </si>
  <si>
    <r>
      <rPr>
        <rFont val="Poppins"/>
        <color rgb="FF1155CC"/>
        <sz val="7.0"/>
        <u/>
      </rPr>
      <t>https://fundacionclubcampestre1-my.sharepoint.com/:i:/g/personal/laura_restrepo_fundacionclubcampestre_org/IQBeqUkEYKXPQYKnZfPxEhgvAX_qGP9lr-pY7YYNTwbCuOo?e=fr2sMv</t>
    </r>
  </si>
  <si>
    <r>
      <rPr>
        <rFont val="Poppins"/>
        <color rgb="FF1155CC"/>
        <sz val="7.0"/>
        <u/>
      </rPr>
      <t>https://fundacionclubcampestre1-my.sharepoint.com/:b:/g/personal/laura_restrepo_fundacionclubcampestre_org/IQBx1eH23qskTpQBh8ZV-41aAXqvcT_2QMxBAgbm_u9siq4?e=vMnqOR</t>
    </r>
  </si>
  <si>
    <t>TENIS ESCUELA</t>
  </si>
  <si>
    <t>MESA CARVAJAL JERONIMO</t>
  </si>
  <si>
    <t>https://fundacionclubcampestre.org/wp-content/uploads/elementor/forms/6a6287c2de953.pdf</t>
  </si>
  <si>
    <r>
      <rPr>
        <rFont val="Poppins"/>
        <color rgb="FF1155CC"/>
        <sz val="7.0"/>
        <u/>
      </rPr>
      <t>https://fundacionclubcampestre.org/wp-content/uploads/elementor/forms/694a09a13b6cb.pdf</t>
    </r>
  </si>
  <si>
    <t>https://fundacionclubcampestre.org/wp-content/uploads/elementor/forms/6a5ad482e13e0.pdf</t>
  </si>
  <si>
    <t>EMMANUEL ORTIZ HENAO</t>
  </si>
  <si>
    <t>MONSALVE HIGUITA SIMON</t>
  </si>
  <si>
    <t>HIBRIDO - PRIMERA</t>
  </si>
  <si>
    <r>
      <rPr>
        <rFont val="Poppins"/>
        <color rgb="FF1155CC"/>
        <sz val="7.0"/>
        <u/>
      </rPr>
      <t>https://fundacionclubcampestre.org/wp-content/uploads/elementor/forms/694e144fde124.png</t>
    </r>
  </si>
  <si>
    <t>https://fundacionclubcampestre.org/wp-content/uploads/elementor/forms/6a6a1699c388c.pdf
https://fundacionclubcampestre1.sharepoint.com/:i:/s/FUNDACIONCLUBCAMPESTRE935/IQDAwRbU-PauSaqPwHMZ7sFiAd2ccGesy1BcbW9E43ZlzZg?e=E7A2ro</t>
  </si>
  <si>
    <t>MONTOYA BERNAL DAVID</t>
  </si>
  <si>
    <r>
      <rPr>
        <rFont val="Poppins"/>
        <color rgb="FF1155CC"/>
        <sz val="7.0"/>
        <u/>
      </rPr>
      <t>FUNDACION CLUB CAMPESTRE - Horario.pdf - Todos los documentos</t>
    </r>
  </si>
  <si>
    <r>
      <rPr>
        <rFont val="Poppins"/>
        <color rgb="FF1155CC"/>
        <sz val="7.0"/>
        <u/>
      </rPr>
      <t>https://fundacionclubcampestre.org/wp-content/uploads/elementor/forms/698e86bca15b3.pdf</t>
    </r>
  </si>
  <si>
    <t xml:space="preserve">ESTEBAN HERRERA VALDEZ </t>
  </si>
  <si>
    <t>ORTIZ HENAO EMMANUEL</t>
  </si>
  <si>
    <r>
      <rPr>
        <rFont val="Poppins"/>
        <color rgb="FF1155CC"/>
        <sz val="7.0"/>
        <u/>
      </rPr>
      <t>https://fundacionclubcampestre.org/wp-content/uploads/elementor/forms/69835ad76e573.pdf</t>
    </r>
  </si>
  <si>
    <t>https://fundacionclubcampestre.org/wp-content/uploads/elementor/forms/6a627ab145bca.pdf</t>
  </si>
  <si>
    <t>OSORIO GOMEZ AGUSTIN</t>
  </si>
  <si>
    <t>FABIAN DAVID VARGAS ANGEL</t>
  </si>
  <si>
    <t>DISPONIBLE DE 6.00 AM A 6.00 PM</t>
  </si>
  <si>
    <r>
      <rPr>
        <rFont val="Poppins"/>
        <color rgb="FF1155CC"/>
        <sz val="7.0"/>
        <u/>
      </rPr>
      <t>https://fundacionclubcampestre.org/wp-content/uploads/elementor/forms/6988fbc3b16b1.pdf</t>
    </r>
  </si>
  <si>
    <t>ASISTE AGOLF</t>
  </si>
  <si>
    <t>PATIÑO GUERRA DANNA SOFIA</t>
  </si>
  <si>
    <r>
      <rPr>
        <rFont val="Poppins"/>
        <color rgb="FF1155CC"/>
        <sz val="7.0"/>
        <u/>
      </rPr>
      <t>694162c307ec4.pdf</t>
    </r>
  </si>
  <si>
    <r>
      <rPr>
        <rFont val="Poppins"/>
        <color rgb="FF1155CC"/>
        <sz val="7.0"/>
        <u/>
      </rPr>
      <t>https://fundacionclubcampestre.org/wp-content/uploads/elementor/forms/69743b2731542.pdf</t>
    </r>
  </si>
  <si>
    <t>https://fundacionclubcampestre.org/wp-content/uploads/elementor/forms/6aa59b1987f20.pdf</t>
  </si>
  <si>
    <t>PIMIENTA ATEHORTUA JUAN JOSE</t>
  </si>
  <si>
    <t>JERONIMO BILBAO RESTREPO</t>
  </si>
  <si>
    <r>
      <rPr>
        <rFont val="Poppins"/>
        <color rgb="FF1155CC"/>
        <sz val="7.0"/>
        <u/>
      </rPr>
      <t>https://fundacionclubcampestre.org/wp-content/uploads/elementor/forms/697beeddb8edc.pdf</t>
    </r>
  </si>
  <si>
    <r>
      <rPr>
        <rFont val="Poppins"/>
        <color rgb="FF1155CC"/>
        <sz val="7.0"/>
        <u/>
      </rPr>
      <t>ITM: Horario de Asignaturas</t>
    </r>
  </si>
  <si>
    <t>PUERTA ALVAREZ ANGEL DAVID</t>
  </si>
  <si>
    <t>https://fundacionclubcampestre.org/wp-content/uploads/elementor/forms/6a413ff343fd7.pdf</t>
  </si>
  <si>
    <r>
      <rPr>
        <rFont val="Poppins"/>
        <color rgb="FF1155CC"/>
        <sz val="7.0"/>
        <u/>
      </rPr>
      <t>CamScanner 20-01-26 18.09</t>
    </r>
  </si>
  <si>
    <t>JERONIMO MARQUEZ OSORIO</t>
  </si>
  <si>
    <t>ASISTE TENIS-11</t>
  </si>
  <si>
    <t>RAMIREZ ARENAS YURANY</t>
  </si>
  <si>
    <t>GOLF -TERCERA</t>
  </si>
  <si>
    <t>https://fundacionclubcampestre.org/wp-content/uploads/elementor/forms/6a4ff0e3277d7.pd</t>
  </si>
  <si>
    <r>
      <rPr>
        <rFont val="Poppins"/>
        <color rgb="FF1155CC"/>
        <sz val="7.0"/>
        <u/>
      </rPr>
      <t>https://fundacionclubcampestre.org/wp-content/uploads/elementor/forms/69a8bfc782d19.png</t>
    </r>
  </si>
  <si>
    <t>https://fundacionclubcampestre.org/wp-content/uploads/elementor/forms/6a3d690ecf47c.pdf</t>
  </si>
  <si>
    <t>ASISTE TENIS 10</t>
  </si>
  <si>
    <t>RAMIREZ JOSE ALEJANDRO</t>
  </si>
  <si>
    <t>HIBRIDO -SEGUNDA</t>
  </si>
  <si>
    <t>JERONIMO MESA CARVAJAL</t>
  </si>
  <si>
    <r>
      <rPr>
        <rFont val="Poppins"/>
        <color rgb="FF1155CC"/>
        <sz val="7.0"/>
        <u/>
      </rPr>
      <t>https://fundacionclubcampestre.org/wp-content/uploads/elementor/forms/695d25d53b6e5.png</t>
    </r>
  </si>
  <si>
    <t>RAMIREZ VELASQUEZ JORGE ANDRES</t>
  </si>
  <si>
    <r>
      <rPr>
        <rFont val="Poppins"/>
        <color rgb="FF1155CC"/>
        <sz val="7.0"/>
        <u/>
      </rPr>
      <t>https://fundacionclubcampestre.org/wp-content/uploads/elementor/forms/693c9e694c66b.pdf</t>
    </r>
  </si>
  <si>
    <t>https://fundacionclubcampestre.org/wp-content/uploads/elementor/forms/6aa8122b28dc3.pdf</t>
  </si>
  <si>
    <t>RODRIGUEZ GALLEGO MANUELA</t>
  </si>
  <si>
    <t>JERONIMO PINZON VELEZ</t>
  </si>
  <si>
    <t>ESTUDIA.</t>
  </si>
  <si>
    <r>
      <rPr>
        <rFont val="Poppins"/>
        <color rgb="FF1155CC"/>
        <sz val="7.0"/>
        <u/>
      </rPr>
      <t>https://fundacionclubcampestre.org/wp-content/uploads/elementor/forms/698170bc7fa29.pdf</t>
    </r>
  </si>
  <si>
    <t>https://fundacionclubcampestre.org/wp-content/uploads/elementor/forms/695d25d53b6e5.png</t>
  </si>
  <si>
    <r>
      <rPr>
        <rFont val="Poppins"/>
        <color rgb="FF1155CC"/>
        <sz val="7.0"/>
        <u/>
      </rPr>
      <t>https://fundacionclubcampestre.org/wp-content/uploads/elementor/forms/69a5d33a2c835.pdf</t>
    </r>
  </si>
  <si>
    <t>RUIZ SANCHEZ JUAN MANUEL</t>
  </si>
  <si>
    <t>JORGE ANDRES RAMIREZ VELASQUEZ</t>
  </si>
  <si>
    <r>
      <rPr>
        <rFont val="Poppins"/>
        <color rgb="FF1155CC"/>
        <sz val="7.0"/>
        <u/>
      </rPr>
      <t>CamScanner 15-12-25 12.52</t>
    </r>
  </si>
  <si>
    <t>RUIZ SANCHEZ MATEO</t>
  </si>
  <si>
    <r>
      <rPr>
        <rFont val="Poppins"/>
        <color rgb="FF1155CC"/>
        <sz val="7.0"/>
        <u/>
      </rPr>
      <t>https://fundacionclubcampestre1-my.sharepoint.com/:b:/g/personal/laura_restrepo_fundacionclubcampestre_org/IQD0Pr9GDaOcRJR-h4mnte6UAVBdvC2_SXyDdW7bT5asjZw?e=rleU3e</t>
    </r>
  </si>
  <si>
    <t>https://fundacionclubcampestre.org/wp-content/uploads/elementor/forms/6a501eea3a703.pdf</t>
  </si>
  <si>
    <t>SANCHEZ MUÑOS JUAN MANUEL</t>
  </si>
  <si>
    <t>JOSE DANIEL ESTRADA VASCO</t>
  </si>
  <si>
    <r>
      <rPr>
        <rFont val="Poppins"/>
        <color rgb="FF1155CC"/>
        <sz val="7.0"/>
        <u/>
      </rPr>
      <t>Ingeniería de software - Virtual.xlsx</t>
    </r>
  </si>
  <si>
    <r>
      <rPr>
        <rFont val="Poppins"/>
        <color rgb="FF1155CC"/>
        <sz val="7.0"/>
        <u/>
      </rPr>
      <t>https://fundacionclubcampestre1-my.sharepoint.com/:b:/g/personal/laura_restrepo_fundacionclubcampestre_org/IQBx1eH23qskTpQBh8ZV-41aAXqvcT_2QMxBAgbm_u9siq4?e=vMnqOR</t>
    </r>
  </si>
  <si>
    <t>SANCHEZ PADILLA CAMILO</t>
  </si>
  <si>
    <t>https://fundacionclubcampestre.org/wp-content/uploads/elementor/forms/6998e5128421b.pdf</t>
  </si>
  <si>
    <r>
      <rPr>
        <rFont val="Poppins"/>
        <color rgb="FF1155CC"/>
        <sz val="7.0"/>
        <u/>
      </rPr>
      <t>https://fundacionclubcampestre.org/wp-content/uploads/elementor/forms/694a09a13b6cb.pdf</t>
    </r>
  </si>
  <si>
    <t>SEGURO MARIN CRISTIAN</t>
  </si>
  <si>
    <t>JOSE MANUEL HERRERA RINCON</t>
  </si>
  <si>
    <r>
      <rPr>
        <rFont val="Poppins"/>
        <color rgb="FF1155CC"/>
        <sz val="7.0"/>
        <u/>
      </rPr>
      <t>https://fundacionclubcampestre.org/wp-content/uploads/elementor/forms/69c2ceea8e27b.pdf</t>
    </r>
  </si>
  <si>
    <t>https://fundacionclubcampestre.org/wp-content/uploads/elementor/forms/6a641f0976fd7.pdf</t>
  </si>
  <si>
    <t>SEPULVEDA BOTERO SOFIA</t>
  </si>
  <si>
    <r>
      <rPr>
        <rFont val="Poppins"/>
        <color rgb="FF1155CC"/>
        <sz val="7.0"/>
        <u/>
      </rPr>
      <t>6932de84d6995.pdf</t>
    </r>
  </si>
  <si>
    <t>JOSHUE LLANO VARGAS</t>
  </si>
  <si>
    <t>TABARES VELASQUEZ SIMON</t>
  </si>
  <si>
    <t>ASISTE TENIS 5-9</t>
  </si>
  <si>
    <r>
      <rPr>
        <rFont val="Poppins"/>
        <color rgb="FF1155CC"/>
        <sz val="7.0"/>
        <u/>
      </rPr>
      <t>https://fundacionclubcampestre.org/wp-content/uploads/elementor/forms/698e86bca15b3.pdf</t>
    </r>
  </si>
  <si>
    <t>ASISTE TENIS 11AM</t>
  </si>
  <si>
    <r>
      <rPr>
        <rFont val="Poppins"/>
        <color rgb="FF1155CC"/>
        <sz val="7.0"/>
        <u/>
      </rPr>
      <t>https://fundacionclubcampestre.org/wp-content/uploads/elementor/forms/69864446d5688.pdf</t>
    </r>
  </si>
  <si>
    <t>https://fundacionclubcampestre.org/wp-content/uploads/elementor/forms/6a4ff0e3277d7.pdf</t>
  </si>
  <si>
    <t>TAVERA FRANCO JUAN MANUEL</t>
  </si>
  <si>
    <t>JUAN ESTEBAN MARIN PALACIO</t>
  </si>
  <si>
    <r>
      <rPr>
        <rFont val="Poppins"/>
        <color rgb="FF1155CC"/>
        <sz val="7.0"/>
        <u/>
      </rPr>
      <t>696d7d68aef2f.pdf</t>
    </r>
  </si>
  <si>
    <r>
      <rPr>
        <rFont val="Poppins"/>
        <color rgb="FF1155CC"/>
        <sz val="7.0"/>
        <u/>
      </rPr>
      <t>https://fundacionclubcampestre.org/wp-content/uploads/elementor/forms/69835ad76e573.pdf</t>
    </r>
  </si>
  <si>
    <t>VARGAS ANGEL FABIAN</t>
  </si>
  <si>
    <r>
      <rPr>
        <rFont val="Poppins"/>
        <color rgb="FF1155CC"/>
        <sz val="7.0"/>
        <u/>
      </rPr>
      <t>https://fundacionclubcampestre.org/wp-content/uploads/elementor/forms/69528f716206e.pdf</t>
    </r>
  </si>
  <si>
    <t>https://fundacionclubcampestre1.sharepoint.com/:b:/s/FUNDACIONCLUBCAMPESTRE935/IQDDIHkTjeH7RZoRjRSZnTUgAeW-34wF_Xd_Tws15ASxgAs?e=LcFEvl</t>
  </si>
  <si>
    <t>VILLALOBOS MUÑOZ ANDRES FELIPE</t>
  </si>
  <si>
    <r>
      <rPr>
        <rFont val="Poppins"/>
        <color rgb="FF1155CC"/>
        <sz val="7.0"/>
        <u/>
      </rPr>
      <t>https://fundacionclubcampestre.org/wp-content/uploads/elementor/forms/6949d70329f8f.pdf</t>
    </r>
  </si>
  <si>
    <t>JUAN JOSE ZABALA PRECIADO</t>
  </si>
  <si>
    <t>VIVAS MOSQUERA JUAN DAVID</t>
  </si>
  <si>
    <r>
      <rPr>
        <rFont val="Poppins"/>
        <color rgb="FF1155CC"/>
        <sz val="7.0"/>
        <u/>
      </rPr>
      <t>https://fundacionclubcampestre.org/wp-content/uploads/elementor/forms/697192cb85ad0.pdf</t>
    </r>
  </si>
  <si>
    <t>https://fundacionclubcampestre.org/wp-content/uploads/elementor/forms/6a3fcf841faec.pdf</t>
  </si>
  <si>
    <t>YEPES ESTRADA MICHEL</t>
  </si>
  <si>
    <t>JUAN JOSE PIMIENTA ATEHORTUA</t>
  </si>
  <si>
    <r>
      <rPr>
        <rFont val="Poppins"/>
        <color rgb="FF1155CC"/>
        <sz val="7.0"/>
        <u/>
      </rPr>
      <t>https://fundacionclubcampestre.org/wp-content/uploads/elementor/forms/69419af19f3c9.pdf</t>
    </r>
  </si>
  <si>
    <t>https://fundacionclubcampestre1.sharepoint.com/:b:/s/FUNDACIONCLUBCAMPESTRE935/IQDeyH62k5-KSJVgRb5cvex-Afrx2lrtGP-_PjVdkQysxWE?e=r3MvNC</t>
  </si>
  <si>
    <r>
      <rPr>
        <rFont val="Poppins"/>
        <color rgb="FF1155CC"/>
        <sz val="7.0"/>
        <u/>
      </rPr>
      <t>https://fundacionclubcampestre.org/wp-content/uploads/elementor/forms/697beeddb8edc.pdf</t>
    </r>
  </si>
  <si>
    <t>ZABALA PRECIADO JUAN JOSE</t>
  </si>
  <si>
    <r>
      <rPr>
        <rFont val="Poppins"/>
        <color rgb="FF1155CC"/>
        <sz val="7.0"/>
        <u/>
      </rPr>
      <t>https://fundacionclubcampestre.org/wp-content/uploads/elementor/forms/6984d51016ae2.pdf</t>
    </r>
  </si>
  <si>
    <t>https://fundacionclubcampestre.org/wp-content/uploads/elementor/forms/6a9f837e57a97.pdf</t>
  </si>
  <si>
    <t>ZAPATA RODRIGUEZ DANA</t>
  </si>
  <si>
    <t>JUAN MANUEL RUIZ SANCHEZ</t>
  </si>
  <si>
    <r>
      <rPr>
        <rFont val="Poppins"/>
        <color rgb="FF1155CC"/>
        <sz val="7.0"/>
        <u/>
      </rPr>
      <t>CamScanner 20-01-26 18.09</t>
    </r>
  </si>
  <si>
    <r>
      <rPr>
        <rFont val="Poppins"/>
        <color rgb="FF1155CC"/>
        <sz val="7.0"/>
        <u/>
      </rPr>
      <t>69697655bfc28.pdf</t>
    </r>
  </si>
  <si>
    <t>ZAPATA YEPES MARIA JOSE</t>
  </si>
  <si>
    <r>
      <rPr>
        <rFont val="Poppins"/>
        <color rgb="FF1155CC"/>
        <sz val="7.0"/>
        <u/>
      </rPr>
      <t>https://fundacionclubcampestre.org/wp-content/uploads/elementor/forms/6989ff8431c99.pdf</t>
    </r>
  </si>
  <si>
    <t>https://fundacionclubcampestre1.sharepoint.com/:i:/s/FUNDACIONCLUBCAMPESTRE935/IQCzywJGWZgcSbznSqJuBrXEAQWGn1CwH0qbhxQXhg36e7Y?e=BJKQsu</t>
  </si>
  <si>
    <r>
      <rPr>
        <rFont val="Poppins"/>
        <color rgb="FF1155CC"/>
        <sz val="7.0"/>
        <u/>
      </rPr>
      <t>https://fundacionclubcampestre.org/wp-content/uploads/elementor/forms/69a8bfc782d19.png</t>
    </r>
  </si>
  <si>
    <t>ACEVEDO ECHAVARRIA SAMUEL - FIJO FDS</t>
  </si>
  <si>
    <t>FIJO JUGADOR</t>
  </si>
  <si>
    <t>NA</t>
  </si>
  <si>
    <t>JUAN MANUEL SANCHEZ MUÑOZ</t>
  </si>
  <si>
    <t>ARANGO ARRUBLA SAMUEL - FIJO FDS</t>
  </si>
  <si>
    <t>ASISTE JUGADOR-12</t>
  </si>
  <si>
    <t>ASISTE JUGADOR</t>
  </si>
  <si>
    <t>https://fundacionclubcampestre.org/wp-content/uploads/elementor/forms/699f64693a084.pdf</t>
  </si>
  <si>
    <r>
      <rPr>
        <rFont val="Poppins"/>
        <color rgb="FF1155CC"/>
        <sz val="7.0"/>
        <u/>
      </rPr>
      <t>https://fundacionclubcampestre.org/wp-content/uploads/elementor/forms/695d25d53b6e5.png</t>
    </r>
  </si>
  <si>
    <t>https://fundacionclubcampestre.org/wp-content/uploads/elementor/forms/6a594733a85e5.pdf</t>
  </si>
  <si>
    <t>ARIAS AGUDELO JUAN JOSE</t>
  </si>
  <si>
    <t>ASISTE JUGADOR -12</t>
  </si>
  <si>
    <r>
      <rPr>
        <rFont val="Poppins"/>
        <color rgb="FF1155CC"/>
        <sz val="7.0"/>
        <u/>
      </rPr>
      <t>https://fundacionclubcampestre.org/wp-content/uploads/elementor/forms/698c750e06547.pdf</t>
    </r>
  </si>
  <si>
    <t>JUAN MANUEL TAVERA FRANCO</t>
  </si>
  <si>
    <t>CALLE JARAMILLO JUAN CAMILO</t>
  </si>
  <si>
    <t>https://fundacionclubcampestre.org/wp-content/uploads/elementor/forms/6a593db7b7930.pdf</t>
  </si>
  <si>
    <r>
      <rPr>
        <rFont val="Poppins"/>
        <color rgb="FF1155CC"/>
        <sz val="7.0"/>
        <u/>
      </rPr>
      <t>https://fundacionclubcampestre.org/wp-content/uploads/elementor/forms/697289c519e17.pdf</t>
    </r>
  </si>
  <si>
    <t>CANO ZULETA MATEO</t>
  </si>
  <si>
    <t>ASISTE JUGADOR-11</t>
  </si>
  <si>
    <t>https://fundacionclubcampestre.org/wp-content/uploads/elementor/forms/6a57f23a01014.pdf</t>
  </si>
  <si>
    <t>ASISTE TENIS -11</t>
  </si>
  <si>
    <r>
      <rPr>
        <rFont val="Poppins"/>
        <color rgb="FF1155CC"/>
        <sz val="7.0"/>
        <u/>
      </rPr>
      <t>HORARIO CASTILLO.pdf</t>
    </r>
  </si>
  <si>
    <t>https://fundacionclubcampestre1.sharepoint.com/:b:/s/FUNDACIONCLUBCAMPESTRE935/IQALtQ7mxXiORoRd13lrTbNBAfb-2jJd6kcx63INsf8FyJI?e=aTkvpu</t>
  </si>
  <si>
    <t>JUAN SEBASTIAN CANO DIAZ</t>
  </si>
  <si>
    <t>CASTILLO VERGARA JOSE DAVID</t>
  </si>
  <si>
    <t>ESTUDIA-15</t>
  </si>
  <si>
    <r>
      <rPr>
        <rFont val="Poppins"/>
        <color rgb="FF1155CC"/>
        <sz val="7.0"/>
        <u/>
      </rPr>
      <t>https://fundacionclubcampestre.org/wp-content/uploads/elementor/forms/698170bc7fa29.pdf</t>
    </r>
  </si>
  <si>
    <r>
      <rPr>
        <rFont val="Poppins"/>
        <color rgb="FF1155CC"/>
        <sz val="7.0"/>
        <u/>
      </rPr>
      <t>697001e68b1bf.pdf</t>
    </r>
  </si>
  <si>
    <t>DIEZ BEDOYA ALEXIS</t>
  </si>
  <si>
    <t>https://fundacionclubcampestre.org/wp-content/uploads/elementor/forms/6a67dfe31cd66.pdf,</t>
  </si>
  <si>
    <r>
      <rPr>
        <rFont val="Poppins"/>
        <color rgb="FF1155CC"/>
        <sz val="7.0"/>
        <u/>
      </rPr>
      <t>695d3a2a22b97.png (4096×2379)</t>
    </r>
  </si>
  <si>
    <r>
      <rPr>
        <rFont val="Poppins"/>
        <color rgb="FF1155CC"/>
        <sz val="7.0"/>
        <u/>
      </rPr>
      <t>CamScanner 15-12-25 12.52</t>
    </r>
  </si>
  <si>
    <t>JUAN SEBASTIAN FLOREZ PULGARIN</t>
  </si>
  <si>
    <t>GOMEZ VELASQUEZ MATIAS</t>
  </si>
  <si>
    <r>
      <rPr>
        <rFont val="Poppins"/>
        <color rgb="FF1155CC"/>
        <sz val="7.0"/>
        <u/>
      </rPr>
      <t>6945aa892850d.pdf</t>
    </r>
  </si>
  <si>
    <t>GONZALEZ GOMEZ SAMUEL</t>
  </si>
  <si>
    <t>ASISTE JUGADOR 2 PM</t>
  </si>
  <si>
    <t>ASISTE JUGADOR -10</t>
  </si>
  <si>
    <t>SANCHEZ MUÑOZ JUAN MANUEL</t>
  </si>
  <si>
    <r>
      <rPr>
        <rFont val="Poppins"/>
        <color rgb="FF1155CC"/>
        <sz val="7.0"/>
        <u/>
      </rPr>
      <t>69308ba75acd3.pdf</t>
    </r>
  </si>
  <si>
    <t>MANUELA RODRIGUEZ GALLEGO</t>
  </si>
  <si>
    <r>
      <rPr>
        <rFont val="Poppins"/>
        <color rgb="FF1155CC"/>
        <sz val="7.0"/>
        <u/>
      </rPr>
      <t>Ingeniería de software - Virtual.xlsx</t>
    </r>
  </si>
  <si>
    <t>GONZALEZ MARIN JOSE MIGUEL FIJO FDS</t>
  </si>
  <si>
    <r>
      <rPr>
        <rFont val="Poppins"/>
        <color rgb="FF1155CC"/>
        <sz val="7.0"/>
        <u/>
      </rPr>
      <t>https://fundacionclubcampestre.org/wp-content/uploads/elementor/forms/6973eb2f7bfdb.pdf</t>
    </r>
  </si>
  <si>
    <t>https://fundacionclubcampestre.org/wp-content/uploads/elementor/forms/6a5916800f316.pdf</t>
  </si>
  <si>
    <t>https://fundacionclubcampestre1.sharepoint.com/:b:/s/FUNDACIONCLUBCAMPESTRE935/IQAkfHY3z6ITQaK5wnQUB3m-ASsn2NAI3J8unBWqfSM8uYA?e=OZucJm</t>
  </si>
  <si>
    <t>HENAO VELASQUEZ MIGUEL</t>
  </si>
  <si>
    <r>
      <rPr>
        <rFont val="Poppins"/>
        <color rgb="FF1155CC"/>
        <sz val="7.0"/>
        <u/>
      </rPr>
      <t>https://fundacionclubcampestre.org/wp-content/uploads/elementor/forms/697017825d357.pdf</t>
    </r>
  </si>
  <si>
    <t>MARIA ALEJANDRA CALVO MEJIA</t>
  </si>
  <si>
    <t>JIMENEZ POSADA DAVID</t>
  </si>
  <si>
    <t>ASISTE TENIS 10AM</t>
  </si>
  <si>
    <r>
      <rPr>
        <rFont val="Poppins"/>
        <color rgb="FF1155CC"/>
        <sz val="7.0"/>
        <u/>
      </rPr>
      <t>693c8cca120ad.pdf</t>
    </r>
  </si>
  <si>
    <t>https://fundacionclubcampestre1.sharepoint.com/:b:/s/FUNDACIONCLUBCAMPESTRE935/IQBGVWhrx4DDSbF6nl51ushSAVh9RvTPdr3yohIsLa4I3mI?e=vkQuu7</t>
  </si>
  <si>
    <r>
      <rPr>
        <rFont val="Poppins"/>
        <color rgb="FF1155CC"/>
        <sz val="7.0"/>
        <u/>
      </rPr>
      <t>https://fundacionclubcampestre.org/wp-content/uploads/elementor/forms/69c2ceea8e27b.pdf</t>
    </r>
  </si>
  <si>
    <t>MAZO SIERRA JUAN JOSE</t>
  </si>
  <si>
    <t>MARIA CAMILA CASTRILLON BUSTAMANTE</t>
  </si>
  <si>
    <r>
      <rPr>
        <rFont val="Poppins"/>
        <color rgb="FF1155CC"/>
        <sz val="7.0"/>
        <u/>
      </rPr>
      <t>https://fundacionclubcampestre1-my.sharepoint.com/:b:/g/personal/laura_restrepo_fundacionclubcampestre_org/IQAqUASM4LzzQIeUop8CPZRsAXdGWdodi7Eymc4JunzjIKM?e=jxOFzu</t>
    </r>
  </si>
  <si>
    <t>MONSALVE SANCHEZ JERONIMO</t>
  </si>
  <si>
    <t>https://fundacionclubcampestre.org/wp-content/uploads/elementor/forms/6a3c4f1452252.pdf</t>
  </si>
  <si>
    <r>
      <rPr>
        <rFont val="Poppins"/>
        <color rgb="FF1155CC"/>
        <sz val="7.0"/>
        <u/>
      </rPr>
      <t>https://fundacionclubcampestre1.sharepoint.com/:b:/s/FUNDACIONCLUBCAMPESTRE935/IQBxsBXEfxRLS657IGzgY5ucAdxGrl-NWy4OJv4vyoSRzl0?e=795AGA</t>
    </r>
  </si>
  <si>
    <t>https://fundacionclubcampestre.org/wp-content/uploads/elementor/forms/6aabeb5510ac4.pdf</t>
  </si>
  <si>
    <t>ASISTE TENIS 3PM</t>
  </si>
  <si>
    <t>MORENO DURANGO SNEIDER</t>
  </si>
  <si>
    <t>MARIA JOSE CORTES GARCIA</t>
  </si>
  <si>
    <t>PRACTICAS</t>
  </si>
  <si>
    <r>
      <rPr>
        <rFont val="Poppins"/>
        <color rgb="FF1155CC"/>
        <sz val="7.0"/>
        <u/>
      </rPr>
      <t>CamScanner 16-12-25 22.31</t>
    </r>
  </si>
  <si>
    <t>QUINTERO TOBON SUSANA</t>
  </si>
  <si>
    <t>https://fundacionclubcampestre.org/wp-content/uploads/elementor/forms/6a3d9fcd5dd6a.pdf</t>
  </si>
  <si>
    <t>ASISTE JUGADOR -8-13</t>
  </si>
  <si>
    <r>
      <rPr>
        <rFont val="Poppins"/>
        <color rgb="FF1155CC"/>
        <sz val="7.0"/>
        <u/>
      </rPr>
      <t>https://fundacionclubcampestre.org/wp-content/uploads/elementor/forms/69838a926bbb4.pdf</t>
    </r>
  </si>
  <si>
    <t>MARIA JOSE ZAPATA YEPEZ</t>
  </si>
  <si>
    <t>RIOS PASTRANA LAURA CAMILA</t>
  </si>
  <si>
    <r>
      <rPr>
        <rFont val="Poppins"/>
        <color rgb="FF1155CC"/>
        <sz val="7.0"/>
        <u/>
      </rPr>
      <t>696d7d68aef2f.pdf</t>
    </r>
  </si>
  <si>
    <r>
      <rPr>
        <rFont val="Poppins"/>
        <color rgb="FF1155CC"/>
        <sz val="7.0"/>
        <u/>
      </rPr>
      <t>Microsoft Word - Documento1</t>
    </r>
  </si>
  <si>
    <t>RODRIGUEZ VELEZ EMMANUEL</t>
  </si>
  <si>
    <r>
      <rPr>
        <rFont val="Poppins"/>
        <color rgb="FF1155CC"/>
        <sz val="7.0"/>
        <u/>
      </rPr>
      <t>https://fundacionclubcampestre.org/wp-content/uploads/elementor/forms/6972e50c6bfdc.pdf</t>
    </r>
  </si>
  <si>
    <t>MARIA SALOME HOYOS ARROYAVE</t>
  </si>
  <si>
    <r>
      <rPr>
        <rFont val="Poppins"/>
        <color rgb="FF1155CC"/>
        <sz val="7.0"/>
        <u/>
      </rPr>
      <t>https://fundacionclubcampestre.org/wp-content/uploads/elementor/forms/69528f716206e.pdf</t>
    </r>
  </si>
  <si>
    <t>RUIZ POSADA SEBASTIAN</t>
  </si>
  <si>
    <t>ASISTE JUGADOR 4.00 PM</t>
  </si>
  <si>
    <t>https://fundacionclubcampestre.org/wp-content/uploads/elementor/forms/6a3d84b85e593.pdf</t>
  </si>
  <si>
    <t>https://fundacionclubcampestre.org/wp-content/uploads/elementor/forms/69b21cd051323.pdf</t>
  </si>
  <si>
    <t>MATEO RUIZ SANCHEZ</t>
  </si>
  <si>
    <r>
      <rPr>
        <rFont val="Poppins"/>
        <color rgb="FF1155CC"/>
        <sz val="7.0"/>
        <u/>
      </rPr>
      <t>https://fundacionclubcampestre.org/wp-content/uploads/elementor/forms/6949d70329f8f.pdf</t>
    </r>
  </si>
  <si>
    <t>VALLEJO ALVAREZ MARIA JOSE FIJO SAB</t>
  </si>
  <si>
    <t>asiste tenis</t>
  </si>
  <si>
    <t>ESTUDIA-16</t>
  </si>
  <si>
    <t>https://fundacionclubcampestre.org/wp-content/uploads/elementor/forms/6a5a7cf6b9030.pdf</t>
  </si>
  <si>
    <t>MICHELL PAOLA YEPEZ ESTRADA</t>
  </si>
  <si>
    <r>
      <rPr>
        <rFont val="Poppins"/>
        <color rgb="FF1155CC"/>
        <sz val="7.0"/>
        <u/>
      </rPr>
      <t>https://fundacionclubcampestre.org/wp-content/uploads/elementor/forms/69419af19f3c9.pdf</t>
    </r>
  </si>
  <si>
    <t>Jugador</t>
  </si>
  <si>
    <r>
      <rPr>
        <rFont val="Poppins"/>
        <color rgb="FF1155CC"/>
        <sz val="7.0"/>
        <u/>
      </rPr>
      <t>https://fundacionclubcampestre.org/wp-content/uploads/elementor/forms/6984d51016ae2.pdf</t>
    </r>
  </si>
  <si>
    <t>https://fundacionclubcampestre.org/wp-content/uploads/elementor/forms/6aaf1eba3020f.pdf</t>
  </si>
  <si>
    <t>MIGUEL ANGEL CASTAÑEDA TOBON</t>
  </si>
  <si>
    <t>Fijo tenis</t>
  </si>
  <si>
    <r>
      <rPr>
        <rFont val="Poppins"/>
        <color rgb="FF1155CC"/>
        <sz val="7.0"/>
        <u/>
      </rPr>
      <t>https://fundacionclubcampestre.org/wp-content/uploads/elementor/forms/6989ff8431c99.pdf</t>
    </r>
  </si>
  <si>
    <t>https://fundacionclubcampestre1.sharepoint.com/:b:/s/FUNDACIONCLUBCAMPESTRE935/IQDmRDiCSuzfR4jsN63-WkzDAYIspSSKMP4JJqtdja6TcpQ?e=DWh78W</t>
  </si>
  <si>
    <t>Asiste golf</t>
  </si>
  <si>
    <t>MIGUEL ANGEL SIERRA RESTREPO</t>
  </si>
  <si>
    <t>PENDIENTE</t>
  </si>
  <si>
    <t>Fijo Golf</t>
  </si>
  <si>
    <t>FIJO  JUGADOR</t>
  </si>
  <si>
    <t>INCAPACITADO</t>
  </si>
  <si>
    <r>
      <rPr>
        <rFont val="Poppins"/>
        <color rgb="FF1155CC"/>
        <sz val="7.0"/>
        <u/>
      </rPr>
      <t>https://fundacionclubcampestre.org/wp-content/uploads/elementor/forms/698c750e06547.pdf</t>
    </r>
  </si>
  <si>
    <t>MILENA BOLIVAR PINEDA</t>
  </si>
  <si>
    <t>TOTAL</t>
  </si>
  <si>
    <t>ASISTE JUGADOR 9:15</t>
  </si>
  <si>
    <r>
      <rPr>
        <rFont val="Poppins"/>
        <color rgb="FF1155CC"/>
        <sz val="7.0"/>
        <u/>
      </rPr>
      <t>HORARIO CASTILLO.pdf</t>
    </r>
  </si>
  <si>
    <t>https://fundacionclubcampestre.org/wp-content/uploads/elementor/forms/6a45647a6a1be.pdf</t>
  </si>
  <si>
    <t>ESTUDIA-14</t>
  </si>
  <si>
    <t>SAMADHI MARIN QUIROZ</t>
  </si>
  <si>
    <r>
      <rPr>
        <rFont val="Poppins"/>
        <color rgb="FF1155CC"/>
        <sz val="7.0"/>
        <u/>
      </rPr>
      <t>697001e68b1bf.pdf</t>
    </r>
  </si>
  <si>
    <r>
      <rPr>
        <rFont val="Poppins"/>
        <color rgb="FF1155CC"/>
        <sz val="7.0"/>
        <u/>
      </rPr>
      <t>695d3a2a22b97.png (4096×2379)</t>
    </r>
  </si>
  <si>
    <t>https://fundacionclubcampestre.org/wp-content/uploads/elementor/forms/6a6019df07eca.pdf</t>
  </si>
  <si>
    <t>SAMANTHA CANO ZULETA</t>
  </si>
  <si>
    <r>
      <rPr>
        <rFont val="Poppins"/>
        <color rgb="FF1155CC"/>
        <sz val="7.0"/>
        <u/>
      </rPr>
      <t>6945aa892850d.pdf</t>
    </r>
  </si>
  <si>
    <r>
      <rPr>
        <rFont val="Poppins"/>
        <color rgb="FF1155CC"/>
        <sz val="7.0"/>
        <u/>
      </rPr>
      <t>69308ba75acd3.pdf</t>
    </r>
  </si>
  <si>
    <t>https://fundacionclubcampestre.org/wp-content/uploads/elementor/forms/6aac0d1229bba.pdf</t>
  </si>
  <si>
    <t>SAMUEL ECHAVARRIA VASCO</t>
  </si>
  <si>
    <r>
      <rPr>
        <rFont val="Poppins"/>
        <color rgb="FF1155CC"/>
        <sz val="7.0"/>
        <u/>
      </rPr>
      <t>https://fundacionclubcampestre.org/wp-content/uploads/elementor/forms/6973eb2f7bfdb.pdf</t>
    </r>
  </si>
  <si>
    <t>https://fundacionclubcampestre.org/wp-content/uploads/elementor/forms/6a749530bf141.png</t>
  </si>
  <si>
    <r>
      <rPr>
        <rFont val="Poppins"/>
        <color rgb="FF1155CC"/>
        <sz val="7.0"/>
        <u/>
      </rPr>
      <t>https://fundacionclubcampestre.org/wp-content/uploads/elementor/forms/697017825d357.pdf</t>
    </r>
  </si>
  <si>
    <t>SAMUEL LOPEZ GARCIA</t>
  </si>
  <si>
    <r>
      <rPr>
        <rFont val="Poppins"/>
        <color rgb="FF1155CC"/>
        <sz val="7.0"/>
        <u/>
      </rPr>
      <t>693c8cca120ad.pdf</t>
    </r>
  </si>
  <si>
    <t>https://fundacionclubcampestre.org/wp-content/uploads/elementor/forms/6aab75e4aa310.pdf</t>
  </si>
  <si>
    <r>
      <rPr>
        <rFont val="Poppins"/>
        <color rgb="FF1155CC"/>
        <sz val="7.0"/>
        <u/>
      </rPr>
      <t>https://fundacionclubcampestre1-my.sharepoint.com/:b:/g/personal/laura_restrepo_fundacionclubcampestre_org/IQAqUASM4LzzQIeUop8CPZRsAXdGWdodi7Eymc4JunzjIKM?e=jxOFzu</t>
    </r>
  </si>
  <si>
    <t>SAMUEL VELASQUEZ GIL</t>
  </si>
  <si>
    <r>
      <rPr>
        <rFont val="Poppins"/>
        <color rgb="FF1155CC"/>
        <sz val="7.0"/>
        <u/>
      </rPr>
      <t>https://fundacionclubcampestre1.sharepoint.com/:b:/s/FUNDACIONCLUBCAMPESTRE935/IQBxsBXEfxRLS657IGzgY5ucAdxGrl-NWy4OJv4vyoSRzl0?e=795AGA</t>
    </r>
  </si>
  <si>
    <t>https://fundacionclubcampestre.org/wp-content/uploads/elementor/forms/6a596d3e6512e.pdf</t>
  </si>
  <si>
    <r>
      <rPr>
        <rFont val="Poppins"/>
        <color rgb="FF1155CC"/>
        <sz val="7.0"/>
        <u/>
      </rPr>
      <t>CamScanner 16-12-25 22.31</t>
    </r>
  </si>
  <si>
    <t>SHARAY ALEJANDRA GONZALEZ REYES</t>
  </si>
  <si>
    <r>
      <rPr>
        <rFont val="Poppins"/>
        <color rgb="FF1155CC"/>
        <sz val="7.0"/>
        <u/>
      </rPr>
      <t>https://fundacionclubcampestre.org/wp-content/uploads/elementor/forms/69838a926bbb4.pdf</t>
    </r>
  </si>
  <si>
    <t>https://fundacionclubcampestre.org/wp-content/uploads/elementor/forms/6a8da5ca624b7.pdf</t>
  </si>
  <si>
    <t>ASISTE JUGADOR 2-6</t>
  </si>
  <si>
    <t>SIMON ESTRADA LOPEZ</t>
  </si>
  <si>
    <t>ASISTE JUGADOR 6-9</t>
  </si>
  <si>
    <r>
      <rPr>
        <rFont val="Poppins"/>
        <color rgb="FF1155CC"/>
        <sz val="7.0"/>
        <u/>
      </rPr>
      <t>https://fundacionclubcampestre.org/wp-content/uploads/elementor/forms/6972e50c6bfdc.pdf</t>
    </r>
  </si>
  <si>
    <t>https://fundacionclubcampestre.org/wp-content/uploads/elementor/forms/6a446a1394416.png</t>
  </si>
  <si>
    <t>SIMON MONSALVE HIGUITA FIJO FDS</t>
  </si>
  <si>
    <t>SIMON TABAREZ VELASQUEZ</t>
  </si>
  <si>
    <t>https://fundacionclubcampestre.org/wp-content/uploads/elementor/forms/6aac27c81d96f.pdf</t>
  </si>
  <si>
    <t>SIMON URREGO MONTOYA</t>
  </si>
  <si>
    <t>https://fundacionclubcampestre.org/wp-content/uploads/elementor/forms/6aac0b3c56033.pdf</t>
  </si>
  <si>
    <t>SOFIA ALVAREZ MONTOYA</t>
  </si>
  <si>
    <t>https://fundacionclubcampestre1.sharepoint.com/:b:/s/FUNDACIONCLUBCAMPESTRE935/IQArf2VYVtFZQYrl2Z6-zLVVAYwkIWlcd9UFoNagxrXGHhc?e=2rNQjN</t>
  </si>
  <si>
    <t>SOFIA SEPULVEDA BOTERO</t>
  </si>
  <si>
    <t>https://fundacionclubcampestre.org/wp-content/uploads/elementor/forms/6aab1704152cb.pdf</t>
  </si>
  <si>
    <t>SUSANA CORREA ROLDAN</t>
  </si>
  <si>
    <t>https://fundacionclubcampestre.org/wp-content/uploads/elementor/forms/6a627e797870c.pdf</t>
  </si>
  <si>
    <t>THOMAS CALLEJAS PATIÑO</t>
  </si>
  <si>
    <t>https://fundacionclubcampestre.org/wp-content/uploads/elementor/forms/6a6a1e48c210d.pdf</t>
  </si>
  <si>
    <t>YURANY RAMIREZ ARENAS</t>
  </si>
  <si>
    <t>https://fundacionclubcampestre.org/wp-content/uploads/elementor/forms/6a7249e93b64f.pdf</t>
  </si>
  <si>
    <t>ALEXIS DIEZ BEDOYA</t>
  </si>
  <si>
    <t>https://fundacionclubcampestre.org/wp-content/uploads/elementor/forms/6a90487f42b21.pdf</t>
  </si>
  <si>
    <t>BRAYAN NICOLAS FLOREZ FONSECA</t>
  </si>
  <si>
    <t>https://fundacionclubcampestre.org/wp-content/uploads/elementor/forms/6a6126825b96a.pdf</t>
  </si>
  <si>
    <t>DAVID JIMENEZ POSADA</t>
  </si>
  <si>
    <t>ASISTE JUGADOR 9AM</t>
  </si>
  <si>
    <t>https://fundacionclubcampestre.org/wp-content/uploads/elementor/forms/6a35b850eb527.pdf</t>
  </si>
  <si>
    <t>EMMANUEL RODRIGUEZ VELEZ</t>
  </si>
  <si>
    <t>https://fundacionclubcampestre.org/wp-content/uploads/elementor/forms/6a4ed579f23b4.pdf</t>
  </si>
  <si>
    <t>JERONIMO MONSALVE SANCHEZ</t>
  </si>
  <si>
    <r>
      <rPr>
        <rFont val="Poppins"/>
        <color rgb="FF1155CC"/>
        <sz val="7.0"/>
        <u/>
      </rPr>
      <t>69308ba75acd3.pdf</t>
    </r>
  </si>
  <si>
    <t>JOSE MIGUEL GONZALEZ MARIN FIJO FDS</t>
  </si>
  <si>
    <t>https://fundacionclubcampestre.org/wp-content/uploads/elementor/forms/6aa945910ad09.pdf</t>
  </si>
  <si>
    <t>JUAN CAMILO CALLE JARAMILLO - ESCUELA</t>
  </si>
  <si>
    <t>https://fundacionclubcampestre.org/wp-content/uploads/elementor/forms/6a7bd1b53ba04.pdf</t>
  </si>
  <si>
    <t>JUAN JOSE ARIAS AGUDELO</t>
  </si>
  <si>
    <t>https://fundacionclubcampestre.org/wp-content/uploads/elementor/forms/6a4fbc7081638.png</t>
  </si>
  <si>
    <t>JUAN JOSE MAZO SIERRA</t>
  </si>
  <si>
    <t>https://fundacionclubcampestre.org/wp-content/uploads/elementor/forms/6a67c95d3f1d5.pdf</t>
  </si>
  <si>
    <t>LAURA CAMILA RIOS PASTRANA</t>
  </si>
  <si>
    <t>https://fundacionclubcampestre.org/wp-content/uploads/elementor/forms/6a62ba0402755.pdf</t>
  </si>
  <si>
    <t>MATEO CANO ZULETA</t>
  </si>
  <si>
    <t>https://fundacionclubcampestre.org/wp-content/uploads/elementor/forms/6a5695de55ad6.png</t>
  </si>
  <si>
    <t>MATIAS GOMEZ VELASQUEZ</t>
  </si>
  <si>
    <t>https://fundacionclubcampestre.org/wp-content/uploads/elementor/forms/6a6fd0a2f087e.pdf</t>
  </si>
  <si>
    <t>SAMUEL ACEVEDO ECHAVARRIA FIJO FDS</t>
  </si>
  <si>
    <t>6945aa892850d.pdf</t>
  </si>
  <si>
    <t>SAMUEL GONZALEZ GOMEZ</t>
  </si>
  <si>
    <t>https://fundacionclubcampestre.org/wp-content/uploads/elementor/forms/6a8d2f16b45ef.pdf</t>
  </si>
  <si>
    <t>SEBASTIAN RUIZ POSADA</t>
  </si>
  <si>
    <t>https://fundacionclubcampestre.org/wp-content/uploads/elementor/forms/6a692effb7fe9.pdf</t>
  </si>
  <si>
    <t>SUSANA QUINTERO TOBON</t>
  </si>
  <si>
    <r>
      <rPr>
        <rFont val="Poppins"/>
        <color rgb="FF1155CC"/>
        <sz val="7.0"/>
        <u/>
      </rPr>
      <t>69308ba75acd3.pdf</t>
    </r>
  </si>
  <si>
    <t>TORNEO DAMAS - 11:30 AM GOLF MEDELLÍN</t>
  </si>
  <si>
    <t>TORNEO SWING SABADO- 7:00 AM GOLF MEDELLIN CON UNIFORME NUEVO VERDE</t>
  </si>
  <si>
    <t>SABADO TENIS 30 mayo</t>
  </si>
  <si>
    <t>DOMINGO-TENIS 31 mayo</t>
  </si>
  <si>
    <t>DOMINGO-GOLF 30 mayo</t>
  </si>
  <si>
    <t>GOMEZ ISAAC</t>
  </si>
  <si>
    <t>CUARTAS ALEJANDRO</t>
  </si>
  <si>
    <t>LOPEZ SAMUEL</t>
  </si>
  <si>
    <t>MONTOYA DAVID</t>
  </si>
  <si>
    <t>YEPES ZAPATA MARIA JOSE</t>
  </si>
  <si>
    <t>FLOREZ JUAN SEBASTIAN</t>
  </si>
  <si>
    <t>ZABALA JUAN JOSE</t>
  </si>
  <si>
    <t>VIVAS JUAN DAVID</t>
  </si>
  <si>
    <t>RUIZ MATEO</t>
  </si>
  <si>
    <t>RUIZ JUAN MANUEL</t>
  </si>
  <si>
    <t>LONDOÑO JUAN MIGUEL</t>
  </si>
  <si>
    <t>ALVAREZ CARLOS</t>
  </si>
  <si>
    <t>VIVAS JUAN</t>
  </si>
  <si>
    <t>CALLEJAS THOMAS</t>
  </si>
  <si>
    <t>MESA JERONIMO</t>
  </si>
  <si>
    <t xml:space="preserve">CASTRILLON CAMILA </t>
  </si>
  <si>
    <t>HERRERA JOSE MANUEL</t>
  </si>
  <si>
    <t>PUERTA ANGEL DAVID</t>
  </si>
  <si>
    <t>GIRALDO SANTIAGO</t>
  </si>
  <si>
    <t>VARGAS FABIAN</t>
  </si>
  <si>
    <t>ARANGO DEIMAR</t>
  </si>
  <si>
    <t>MONSALVE SIMON</t>
  </si>
  <si>
    <t xml:space="preserve">ACEVEDO ECHAVARRIA SAMUEL </t>
  </si>
  <si>
    <t>GOMEZ MATIAS</t>
  </si>
  <si>
    <t>HENAO MIGUEL</t>
  </si>
  <si>
    <t>SIMON ESTRADA</t>
  </si>
  <si>
    <t>MAZO JUAN JOSE</t>
  </si>
  <si>
    <t>PUERTA ANGEL</t>
  </si>
  <si>
    <t>MARQUEZ JERONIMO</t>
  </si>
  <si>
    <t>SANCHEZ CAMILO</t>
  </si>
  <si>
    <t>RAMIREZ JOSE</t>
  </si>
  <si>
    <t>RUIZ SEBASTIAN</t>
  </si>
  <si>
    <t>EMILY CABAL</t>
  </si>
  <si>
    <t>RAMIREZ YURANY</t>
  </si>
  <si>
    <t>ESTRADA JOSE DANIEL</t>
  </si>
  <si>
    <t>RIOS LAURA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</si>
</sst>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 mmm"/>
  </numFmts>
  <fonts count="34">
    <font>
      <sz val="10.0"/>
      <color rgb="FF000000"/>
      <name val="Arial"/>
      <scheme val="minor"/>
    </font>
    <font>
      <sz val="7.0"/>
      <color rgb="FF000000"/>
      <name val="Poppins"/>
    </font>
    <font>
      <b/>
      <sz val="7.0"/>
      <color rgb="FF000000"/>
      <name val="Poppins"/>
    </font>
    <font>
      <u/>
      <sz val="7.0"/>
      <color rgb="FF0000FF"/>
      <name val="Poppins"/>
    </font>
    <font>
      <sz val="7.0"/>
      <color rgb="FF375623"/>
      <name val="Poppins"/>
    </font>
    <font>
      <sz val="7.0"/>
      <color rgb="FF1F4E78"/>
      <name val="Poppins"/>
    </font>
    <font>
      <sz val="7.0"/>
      <color rgb="FFFFFFFF"/>
      <name val="Poppins"/>
    </font>
    <font>
      <sz val="7.0"/>
      <color theme="1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sz val="7.0"/>
      <color rgb="FF9C0006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color rgb="FF0000FF"/>
    </font>
    <font>
      <u/>
      <sz val="7.0"/>
      <color rgb="FF1155CC"/>
      <name val="Poppins"/>
    </font>
    <font>
      <u/>
      <sz val="7.0"/>
      <color rgb="FF0563C1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FF"/>
      <name val="Poppins"/>
    </font>
    <font>
      <u/>
      <sz val="7.0"/>
      <color rgb="FF000000"/>
      <name val="Poppins"/>
    </font>
    <font>
      <u/>
      <color rgb="FF0000FF"/>
    </font>
    <font>
      <u/>
      <sz val="7.0"/>
      <color rgb="FF0000FF"/>
      <name val="Poppins"/>
    </font>
    <font>
      <b/>
      <sz val="9.0"/>
      <color theme="1"/>
      <name val="Arial"/>
      <scheme val="minor"/>
    </font>
    <font/>
    <font>
      <sz val="9.0"/>
      <color theme="1"/>
      <name val="Arial"/>
      <scheme val="minor"/>
    </font>
    <font>
      <sz val="8.0"/>
      <color rgb="FF000000"/>
      <name val="Poppins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theme="0"/>
      </patternFill>
    </fill>
    <fill>
      <patternFill patternType="solid">
        <fgColor rgb="FF00FF04"/>
        <bgColor rgb="FF00FF04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FFC7CE"/>
        <bgColor rgb="FFFFC7CE"/>
      </patternFill>
    </fill>
    <fill>
      <patternFill patternType="solid">
        <fgColor rgb="FF548235"/>
        <bgColor rgb="FF548235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F4B084"/>
        <bgColor rgb="FFF4B084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ill="1" applyFont="1" applyNumberFormat="1">
      <alignment horizontal="left" readingOrder="0" shrinkToFit="0" vertical="top" wrapText="1"/>
    </xf>
    <xf borderId="0" fillId="4" fontId="1" numFmtId="0" xfId="0" applyAlignment="1" applyFill="1" applyFont="1">
      <alignment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2" fontId="2" numFmtId="0" xfId="0" applyAlignment="1" applyFill="1" applyFont="1">
      <alignment horizontal="left" readingOrder="0" shrinkToFit="0" vertical="top" wrapText="1"/>
    </xf>
    <xf borderId="0" fillId="4" fontId="2" numFmtId="164" xfId="0" applyAlignment="1" applyFill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ill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5" fontId="1" numFmtId="0" xfId="0" applyAlignment="1" applyBorder="1" applyFill="1" applyFont="1">
      <alignment horizontal="left" readingOrder="0" shrinkToFit="0" vertical="top" wrapText="1"/>
    </xf>
    <xf borderId="1" fillId="6" fontId="4" numFmtId="0" xfId="0" applyAlignment="1" applyBorder="1" applyFill="1" applyFont="1">
      <alignment horizontal="left" readingOrder="0" shrinkToFit="0" vertical="top" wrapText="1"/>
    </xf>
    <xf borderId="1" fillId="7" fontId="5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3" fillId="8" fontId="1" numFmtId="0" xfId="0" applyAlignment="1" applyBorder="1" applyFill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9" fontId="6" numFmtId="0" xfId="0" applyAlignment="1" applyBorder="1" applyFill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3" fillId="5" fontId="1" numFmtId="0" xfId="0" applyAlignment="1" applyBorder="1" applyFill="1" applyFont="1">
      <alignment horizontal="left" readingOrder="0" shrinkToFit="0" vertical="top" wrapText="1"/>
    </xf>
    <xf borderId="0" fillId="0" fontId="10" numFmtId="0" xfId="0" applyAlignment="1" applyFont="1">
      <alignment readingOrder="0" shrinkToFit="0" vertical="bottom" wrapText="1"/>
    </xf>
    <xf borderId="1" fillId="0" fontId="7" numFmtId="0" xfId="0" applyAlignment="1" applyBorder="1" applyFont="1">
      <alignment readingOrder="0"/>
    </xf>
    <xf borderId="1" fillId="10" fontId="11" numFmtId="0" xfId="0" applyAlignment="1" applyBorder="1" applyFill="1" applyFont="1">
      <alignment horizontal="left" readingOrder="0" shrinkToFit="0" vertical="top" wrapText="1"/>
    </xf>
    <xf borderId="1" fillId="11" fontId="6" numFmtId="0" xfId="0" applyAlignment="1" applyBorder="1" applyFill="1" applyFont="1">
      <alignment horizontal="left" readingOrder="0" shrinkToFit="0" vertical="top" wrapText="1"/>
    </xf>
    <xf borderId="1" fillId="5" fontId="12" numFmtId="0" xfId="0" applyAlignment="1" applyBorder="1" applyFill="1" applyFont="1">
      <alignment horizontal="left" readingOrder="0" shrinkToFit="0" vertical="top" wrapText="1"/>
    </xf>
    <xf borderId="1" fillId="12" fontId="4" numFmtId="0" xfId="0" applyAlignment="1" applyBorder="1" applyFill="1" applyFont="1">
      <alignment horizontal="left" readingOrder="0" shrinkToFit="0" vertical="top" wrapText="1"/>
    </xf>
    <xf borderId="1" fillId="0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ill="1" applyFont="1">
      <alignment readingOrder="0" shrinkToFit="0" vertical="bottom" wrapText="1"/>
    </xf>
    <xf borderId="1" fillId="12" fontId="15" numFmtId="0" xfId="0" applyAlignment="1" applyBorder="1" applyFill="1" applyFont="1">
      <alignment horizontal="left" readingOrder="0" shrinkToFit="0" vertical="top" wrapText="1"/>
    </xf>
    <xf borderId="1" fillId="12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readingOrder="0" shrinkToFit="0" vertical="bottom" wrapText="1"/>
    </xf>
    <xf borderId="1" fillId="2" fontId="17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5" fontId="18" numFmtId="0" xfId="0" applyAlignment="1" applyFill="1" applyFont="1">
      <alignment readingOrder="0"/>
    </xf>
    <xf borderId="1" fillId="0" fontId="19" numFmtId="0" xfId="0" applyAlignment="1" applyBorder="1" applyFont="1">
      <alignment horizontal="left" readingOrder="0" shrinkToFit="0" vertical="top" wrapText="1"/>
    </xf>
    <xf borderId="1" fillId="0" fontId="20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3" fillId="8" fontId="1" numFmtId="0" xfId="0" applyAlignment="1" applyBorder="1" applyFill="1" applyFont="1">
      <alignment horizontal="left" shrinkToFit="0" vertical="top" wrapText="1"/>
    </xf>
    <xf borderId="1" fillId="8" fontId="1" numFmtId="0" xfId="0" applyAlignment="1" applyBorder="1" applyFill="1" applyFont="1">
      <alignment horizontal="left" shrinkToFit="0" vertical="top" wrapText="1"/>
    </xf>
    <xf borderId="1" fillId="0" fontId="21" numFmtId="0" xfId="0" applyAlignment="1" applyBorder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9" fontId="6" numFmtId="0" xfId="0" applyAlignment="1" applyFill="1" applyFont="1">
      <alignment horizontal="left" readingOrder="0" shrinkToFit="0" vertical="top" wrapText="1"/>
    </xf>
    <xf borderId="1" fillId="8" fontId="4" numFmtId="0" xfId="0" applyAlignment="1" applyBorder="1" applyFill="1" applyFont="1">
      <alignment horizontal="left" readingOrder="0" shrinkToFit="0" vertical="top" wrapText="1"/>
    </xf>
    <xf borderId="1" fillId="8" fontId="1" numFmtId="0" xfId="0" applyAlignment="1" applyBorder="1" applyFill="1" applyFont="1">
      <alignment horizontal="left" readingOrder="0" shrinkToFit="0" vertical="top" wrapText="1"/>
    </xf>
    <xf borderId="0" fillId="5" fontId="23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13" fontId="5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24" numFmtId="0" xfId="0" applyAlignment="1" applyBorder="1" applyFont="1">
      <alignment horizontal="left" readingOrder="0" shrinkToFit="0" vertical="bottom" wrapText="1"/>
    </xf>
    <xf borderId="1" fillId="5" fontId="25" numFmtId="0" xfId="0" applyAlignment="1" applyBorder="1" applyFill="1" applyFont="1">
      <alignment horizontal="left" readingOrder="0" shrinkToFit="0" vertical="bottom" wrapText="1"/>
    </xf>
    <xf borderId="3" fillId="2" fontId="1" numFmtId="0" xfId="0" applyAlignment="1" applyBorder="1" applyFill="1" applyFont="1">
      <alignment horizontal="left" readingOrder="0" shrinkToFit="0" vertical="top" wrapText="1"/>
    </xf>
    <xf borderId="1" fillId="14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26" numFmtId="0" xfId="0" applyAlignment="1" applyBorder="1" applyFont="1">
      <alignment readingOrder="0" shrinkToFit="0" vertical="bottom" wrapText="1"/>
    </xf>
    <xf borderId="1" fillId="0" fontId="27" numFmtId="0" xfId="0" applyAlignment="1" applyBorder="1" applyFont="1">
      <alignment readingOrder="0"/>
    </xf>
    <xf borderId="1" fillId="12" fontId="28" numFmtId="0" xfId="0" applyAlignment="1" applyBorder="1" applyFill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3" fillId="12" fontId="1" numFmtId="0" xfId="0" applyAlignment="1" applyBorder="1" applyFill="1" applyFont="1">
      <alignment horizontal="left" readingOrder="0" shrinkToFit="0" vertical="top" wrapText="1"/>
    </xf>
    <xf borderId="1" fillId="15" fontId="7" numFmtId="0" xfId="0" applyAlignment="1" applyBorder="1" applyFill="1" applyFont="1">
      <alignment shrinkToFit="0" vertical="top" wrapText="1"/>
    </xf>
    <xf borderId="1" fillId="16" fontId="7" numFmtId="0" xfId="0" applyAlignment="1" applyBorder="1" applyFill="1" applyFont="1">
      <alignment shrinkToFit="0" vertical="top" wrapText="1"/>
    </xf>
    <xf borderId="1" fillId="17" fontId="1" numFmtId="0" xfId="0" applyAlignment="1" applyBorder="1" applyFill="1" applyFont="1">
      <alignment horizontal="left" readingOrder="0" shrinkToFit="0" vertical="top" wrapText="1"/>
    </xf>
    <xf borderId="1" fillId="5" fontId="2" numFmtId="0" xfId="0" applyAlignment="1" applyBorder="1" applyFill="1" applyFont="1">
      <alignment horizontal="left" readingOrder="0" shrinkToFit="0" vertical="top" wrapText="1"/>
    </xf>
    <xf borderId="0" fillId="6" fontId="4" numFmtId="0" xfId="0" applyAlignment="1" applyFill="1" applyFont="1">
      <alignment horizontal="left" readingOrder="0" shrinkToFit="0" vertical="top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left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0" fillId="8" fontId="1" numFmtId="0" xfId="0" applyAlignment="1" applyFill="1" applyFont="1">
      <alignment horizontal="left" readingOrder="0" shrinkToFit="0" vertical="top" wrapText="1"/>
    </xf>
    <xf borderId="0" fillId="11" fontId="6" numFmtId="0" xfId="0" applyAlignment="1" applyFill="1" applyFont="1">
      <alignment horizontal="left" readingOrder="0" shrinkToFit="0" vertical="top" wrapText="1"/>
    </xf>
    <xf borderId="0" fillId="7" fontId="5" numFmtId="0" xfId="0" applyAlignment="1" applyFill="1" applyFont="1">
      <alignment horizontal="left" readingOrder="0" shrinkToFit="0" vertical="top" wrapText="1"/>
    </xf>
    <xf borderId="1" fillId="5" fontId="7" numFmtId="0" xfId="0" applyAlignment="1" applyBorder="1" applyFill="1" applyFont="1">
      <alignment horizontal="left" readingOrder="0" shrinkToFit="0" vertical="top" wrapText="1"/>
    </xf>
    <xf borderId="0" fillId="0" fontId="7" numFmtId="0" xfId="0" applyAlignment="1" applyFont="1">
      <alignment shrinkToFit="0" wrapText="1"/>
    </xf>
    <xf borderId="1" fillId="12" fontId="7" numFmtId="0" xfId="0" applyAlignment="1" applyBorder="1" applyFill="1" applyFont="1">
      <alignment horizontal="left" readingOrder="0" shrinkToFit="0" vertical="top" wrapText="1"/>
    </xf>
    <xf borderId="1" fillId="18" fontId="7" numFmtId="0" xfId="0" applyAlignment="1" applyBorder="1" applyFill="1" applyFont="1">
      <alignment shrinkToFit="0" vertical="top" wrapText="1"/>
    </xf>
    <xf borderId="1" fillId="19" fontId="1" numFmtId="0" xfId="0" applyAlignment="1" applyBorder="1" applyFill="1" applyFont="1">
      <alignment horizontal="left" readingOrder="0" shrinkToFit="0" vertical="top" wrapText="1"/>
    </xf>
    <xf borderId="1" fillId="20" fontId="1" numFmtId="0" xfId="0" applyAlignment="1" applyBorder="1" applyFill="1" applyFont="1">
      <alignment horizontal="left" readingOrder="0" shrinkToFit="0" vertical="top" wrapText="1"/>
    </xf>
    <xf borderId="1" fillId="13" fontId="1" numFmtId="0" xfId="0" applyAlignment="1" applyBorder="1" applyFill="1" applyFont="1">
      <alignment horizontal="left" readingOrder="0" shrinkToFit="0" vertical="top" wrapText="1"/>
    </xf>
    <xf borderId="1" fillId="6" fontId="1" numFmtId="0" xfId="0" applyAlignment="1" applyBorder="1" applyFill="1" applyFont="1">
      <alignment horizontal="left" readingOrder="0" shrinkToFit="0" vertical="top" wrapText="1"/>
    </xf>
    <xf borderId="0" fillId="0" fontId="7" numFmtId="0" xfId="0" applyAlignment="1" applyFont="1">
      <alignment readingOrder="0" shrinkToFit="0" wrapText="1"/>
    </xf>
    <xf borderId="0" fillId="0" fontId="29" numFmtId="0" xfId="0" applyAlignment="1" applyFont="1">
      <alignment readingOrder="0"/>
    </xf>
    <xf borderId="1" fillId="21" fontId="29" numFmtId="0" xfId="0" applyAlignment="1" applyBorder="1" applyFill="1" applyFont="1">
      <alignment readingOrder="0" shrinkToFit="0" wrapText="1"/>
    </xf>
    <xf borderId="4" fillId="22" fontId="29" numFmtId="0" xfId="0" applyAlignment="1" applyBorder="1" applyFill="1" applyFont="1">
      <alignment horizontal="center" readingOrder="0" shrinkToFit="0" wrapText="1"/>
    </xf>
    <xf borderId="2" fillId="0" fontId="30" numFmtId="0" xfId="0" applyBorder="1" applyFont="1"/>
    <xf borderId="0" fillId="0" fontId="31" numFmtId="0" xfId="0" applyFont="1"/>
    <xf borderId="0" fillId="4" fontId="32" numFmtId="0" xfId="0" applyAlignment="1" applyFill="1" applyFont="1">
      <alignment horizontal="left" readingOrder="0" shrinkToFit="0" vertical="top" wrapText="1"/>
    </xf>
    <xf borderId="1" fillId="21" fontId="32" numFmtId="0" xfId="0" applyAlignment="1" applyBorder="1" applyFill="1" applyFont="1">
      <alignment horizontal="left" readingOrder="0" shrinkToFit="0" vertical="top" wrapText="1"/>
    </xf>
    <xf borderId="1" fillId="22" fontId="32" numFmtId="0" xfId="0" applyAlignment="1" applyBorder="1" applyFill="1" applyFont="1">
      <alignment horizontal="left" readingOrder="0" shrinkToFit="0" vertical="top" wrapText="1"/>
    </xf>
    <xf borderId="1" fillId="4" fontId="32" numFmtId="0" xfId="0" applyAlignment="1" applyBorder="1" applyFill="1" applyFont="1">
      <alignment horizontal="left" readingOrder="0" shrinkToFit="0" vertical="top" wrapText="1"/>
    </xf>
    <xf borderId="1" fillId="0" fontId="32" numFmtId="0" xfId="0" applyAlignment="1" applyBorder="1" applyFont="1">
      <alignment horizontal="left" readingOrder="0" shrinkToFit="0" vertical="top" wrapText="1"/>
    </xf>
    <xf borderId="0" fillId="22" fontId="33" numFmtId="0" xfId="0" applyFill="1" applyFont="1"/>
    <xf borderId="1" fillId="0" fontId="33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FF04"/>
          <bgColor rgb="FF00FF0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</dxfs>
  <tableStyles count="1">
    <tableStyle count="3" pivot="0" name="JUN-JU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N1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JUN-JU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undacionclubcampestre.org/wp-content/uploads/elementor/forms/6a593db7b7930.pdf" TargetMode="External"/><Relationship Id="rId42" Type="http://schemas.openxmlformats.org/officeDocument/2006/relationships/hyperlink" Target="https://fundacionclubcampestre.org/wp-content/uploads/elementor/forms/6940509c9e6db.pdf" TargetMode="External"/><Relationship Id="rId41" Type="http://schemas.openxmlformats.org/officeDocument/2006/relationships/hyperlink" Target="https://fundacionclubcampestre.org/wp-content/uploads/elementor/forms/698170bc7fa29.pdf" TargetMode="External"/><Relationship Id="rId44" Type="http://schemas.openxmlformats.org/officeDocument/2006/relationships/hyperlink" Target="https://fundacionclubcampestre.org/wp-content/uploads/elementor/forms/6998e5128421b.pdf" TargetMode="External"/><Relationship Id="rId43" Type="http://schemas.openxmlformats.org/officeDocument/2006/relationships/hyperlink" Target="https://fundacionclubcampestre.org/wp-content/uploads/elementor/forms/697916f682cba.pdf" TargetMode="External"/><Relationship Id="rId46" Type="http://schemas.openxmlformats.org/officeDocument/2006/relationships/hyperlink" Target="https://fundacionclubcampestre.org/wp-content/uploads/elementor/forms/6a3c4f1452252.pdf" TargetMode="External"/><Relationship Id="rId45" Type="http://schemas.openxmlformats.org/officeDocument/2006/relationships/hyperlink" Target="https://fundacionclubcampestre.org/wp-content/uploads/elementor/forms/69c2ceea8e27b.pdf" TargetMode="External"/><Relationship Id="rId1" Type="http://schemas.openxmlformats.org/officeDocument/2006/relationships/hyperlink" Target="https://fundacionclubcampestre.org/wp-content/uploads/elementor/forms/697a2aa1e35e2.pdf" TargetMode="External"/><Relationship Id="rId2" Type="http://schemas.openxmlformats.org/officeDocument/2006/relationships/hyperlink" Target="http://../../../:b:/g/personal/laura_restrepo_fundacionclubcampestre_org/IQDr5bo7NW8WRI2uh2qIpzdJATAkeMGEXKNuZp9hOuGzZZ8?e=8Mhsfx" TargetMode="External"/><Relationship Id="rId3" Type="http://schemas.openxmlformats.org/officeDocument/2006/relationships/hyperlink" Target="https://fundacionclubcampestre.org/wp-content/uploads/elementor/forms/693a020a40306.pdf" TargetMode="External"/><Relationship Id="rId4" Type="http://schemas.openxmlformats.org/officeDocument/2006/relationships/hyperlink" Target="https://fundacionclubcampestre.org/wp-content/uploads/elementor/forms/694ebb21d02fd.png" TargetMode="External"/><Relationship Id="rId9" Type="http://schemas.openxmlformats.org/officeDocument/2006/relationships/hyperlink" Target="https://fundacionclubcampestre.org/wp-content/uploads/elementor/forms/69654ff3b5202.pdf" TargetMode="External"/><Relationship Id="rId48" Type="http://schemas.openxmlformats.org/officeDocument/2006/relationships/hyperlink" Target="https://fundacionclubcampestre.org/wp-content/uploads/elementor/forms/696d7d68aef2f.pdf" TargetMode="External"/><Relationship Id="rId47" Type="http://schemas.openxmlformats.org/officeDocument/2006/relationships/hyperlink" Target="https://fundacionclubcampestre.org/wp-content/uploads/elementor/forms/6a594733a85e5.pdf" TargetMode="External"/><Relationship Id="rId49" Type="http://schemas.openxmlformats.org/officeDocument/2006/relationships/hyperlink" Target="https://fundacionclubcampestre.org/wp-content/uploads/elementor/forms/69528f716206e.pdf" TargetMode="External"/><Relationship Id="rId5" Type="http://schemas.openxmlformats.org/officeDocument/2006/relationships/hyperlink" Target="https://fundacionclubcampestre.org/wp-content/uploads/elementor/forms/6951a55fae9b4.pdf" TargetMode="External"/><Relationship Id="rId6" Type="http://schemas.openxmlformats.org/officeDocument/2006/relationships/hyperlink" Target="http://../../../:b:/g/personal/laura_restrepo_fundacionclubcampestre_org/IQBPa_Y9_mv6R5JYI4ScEcDMAc5h1T6CM93Y4RpiGKJEulw?e=3ONDNx" TargetMode="External"/><Relationship Id="rId7" Type="http://schemas.openxmlformats.org/officeDocument/2006/relationships/hyperlink" Target="https://fundacionclubcampestre.org/wp-content/uploads/elementor/forms/699fbc85e89ff.pdf" TargetMode="External"/><Relationship Id="rId8" Type="http://schemas.openxmlformats.org/officeDocument/2006/relationships/hyperlink" Target="https://fundacionclubcampestre.org/wp-content/uploads/elementor/forms/698a7d55d4c5a.pdf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fundacionclubcampestre.org/wp-content/uploads/elementor/forms/6a5fc83bc38c6.pdf" TargetMode="External"/><Relationship Id="rId30" Type="http://schemas.openxmlformats.org/officeDocument/2006/relationships/hyperlink" Target="https://fundacionclubcampestre.org/wp-content/uploads/elementor/forms/694a09a13b6cb.pdf" TargetMode="External"/><Relationship Id="rId74" Type="http://schemas.openxmlformats.org/officeDocument/2006/relationships/table" Target="../tables/table1.xml"/><Relationship Id="rId33" Type="http://schemas.openxmlformats.org/officeDocument/2006/relationships/hyperlink" Target="https://fundacionclubcampestre.org/wp-content/uploads/elementor/forms/69835ad76e573.pdf" TargetMode="External"/><Relationship Id="rId32" Type="http://schemas.openxmlformats.org/officeDocument/2006/relationships/hyperlink" Target="https://fundacionclubcampestre.org/wp-content/uploads/elementor/forms/698e86bca15b3.pdf" TargetMode="External"/><Relationship Id="rId35" Type="http://schemas.openxmlformats.org/officeDocument/2006/relationships/hyperlink" Target="https://fundacionclubcampestre.org/wp-content/uploads/elementor/forms/6a3fcf841faec.pdf" TargetMode="External"/><Relationship Id="rId34" Type="http://schemas.openxmlformats.org/officeDocument/2006/relationships/hyperlink" Target="https://fundacionclubcampestre.org/wp-content/uploads/elementor/forms/6a45cb387415d.pdf" TargetMode="External"/><Relationship Id="rId71" Type="http://schemas.openxmlformats.org/officeDocument/2006/relationships/hyperlink" Target="https://fundacionclubcampestre.org/wp-content/uploads/elementor/forms/69b21cd051323.pdf" TargetMode="External"/><Relationship Id="rId70" Type="http://schemas.openxmlformats.org/officeDocument/2006/relationships/hyperlink" Target="https://fundacionclubcampestre.org/wp-content/uploads/elementor/forms/6972e50c6bfdc.pdf" TargetMode="External"/><Relationship Id="rId37" Type="http://schemas.openxmlformats.org/officeDocument/2006/relationships/hyperlink" Target="https://fundacionclubcampestre.org/wp-content/uploads/elementor/forms/69700bcfd13d4.pdf" TargetMode="External"/><Relationship Id="rId36" Type="http://schemas.openxmlformats.org/officeDocument/2006/relationships/hyperlink" Target="https://fundacionclubcampestre.org/wp-content/uploads/elementor/forms/697beeddb8edc.pdf" TargetMode="External"/><Relationship Id="rId39" Type="http://schemas.openxmlformats.org/officeDocument/2006/relationships/hyperlink" Target="https://fundacionclubcampestre.org/wp-content/uploads/elementor/forms/695d25d53b6e5.png" TargetMode="External"/><Relationship Id="rId38" Type="http://schemas.openxmlformats.org/officeDocument/2006/relationships/hyperlink" Target="https://fundacionclubcampestre.org/wp-content/uploads/elementor/forms/69a8bfc782d19.png" TargetMode="External"/><Relationship Id="rId62" Type="http://schemas.openxmlformats.org/officeDocument/2006/relationships/hyperlink" Target="https://fundacionclubcampestre.org/wp-content/uploads/elementor/forms/69308ba75acd3.pdf" TargetMode="External"/><Relationship Id="rId61" Type="http://schemas.openxmlformats.org/officeDocument/2006/relationships/hyperlink" Target="https://fundacionclubcampestre.org/wp-content/uploads/elementor/forms/6945aa892850d.pdf" TargetMode="External"/><Relationship Id="rId20" Type="http://schemas.openxmlformats.org/officeDocument/2006/relationships/hyperlink" Target="http://../../../:i:/g/personal/laura_restrepo_fundacionclubcampestre_org/IQBeqUkEYKXPQYKnZfPxEhgvAX_qGP9lr-pY7YYNTwbCuOo?e=fr2sMv" TargetMode="External"/><Relationship Id="rId64" Type="http://schemas.openxmlformats.org/officeDocument/2006/relationships/hyperlink" Target="https://fundacionclubcampestre.org/wp-content/uploads/elementor/forms/697017825d357.pdf" TargetMode="External"/><Relationship Id="rId63" Type="http://schemas.openxmlformats.org/officeDocument/2006/relationships/hyperlink" Target="https://fundacionclubcampestre.org/wp-content/uploads/elementor/forms/6973eb2f7bfdb.pdf" TargetMode="External"/><Relationship Id="rId22" Type="http://schemas.openxmlformats.org/officeDocument/2006/relationships/hyperlink" Target="https://fundacionclubcampestre1.sharepoint.com/sites/FUNDACIONCLUBCAMPESTRE935/Shared%20Documents/Forms/AllItems.aspx?viewid=0255041c%2D32b4%2D4bba%2Dbdf3%2Dadcde68b747a&amp;newTargetListUrl=%2Fsites%2FFUNDACIONCLUBCAMPESTRE935%2FShared%20Documents&amp;viewpath=%2Fsites%2FFUNDACIONCLUBCAMPESTRE935%2FShared%20Documents%2FForms%2FAllItems%2Easpx&amp;id=%2Fsites%2FFUNDACIONCLUBCAMPESTRE935%2FShared%20Documents%2FGeneral%2FPROGRAMAS%2FBECARIOS%20PARTNER%2FEDUCATIVO%2FMATR%C3%8DCULA%2FFUNDACI%C3%93N%20CLUB%20CAMPESTRE%2FLEGALIZACIONES%2FLEGALIZACI%C3%93N%202026%2D1%2FJoshue%20Llano%20Vargas%2FHorario%2Epdf&amp;parent=%2Fsites%2FFUNDACIONCLUBCAMPESTRE935%2FShared%20Documents%2FGeneral%2FPROGRAMAS%2FBECARIOS%20PARTNER%2FEDUCATIVO%2FMATR%C3%8DCULA%2FFUNDACI%C3%93N%20CLUB%20CAMPESTRE%2FLEGALIZACIONES%2FLEGALIZACI%C3%93N%202026%2D1%2FJoshue%20Llano%20Vargas" TargetMode="External"/><Relationship Id="rId66" Type="http://schemas.openxmlformats.org/officeDocument/2006/relationships/hyperlink" Target="http://../../../:b:/g/personal/laura_restrepo_fundacionclubcampestre_org/IQAqUASM4LzzQIeUop8CPZRsAXdGWdodi7Eymc4JunzjIKM?e=jxOFzu" TargetMode="External"/><Relationship Id="rId21" Type="http://schemas.openxmlformats.org/officeDocument/2006/relationships/hyperlink" Target="https://fundacionclubcampestre.org/wp-content/uploads/elementor/forms/6a5ad482e13e0.pdf" TargetMode="External"/><Relationship Id="rId65" Type="http://schemas.openxmlformats.org/officeDocument/2006/relationships/hyperlink" Target="https://fundacionclubcampestre.org/wp-content/uploads/elementor/forms/693c8cca120ad.pdf" TargetMode="External"/><Relationship Id="rId24" Type="http://schemas.openxmlformats.org/officeDocument/2006/relationships/hyperlink" Target="https://fundacionclubcampestre.org/wp-content/uploads/elementor/forms/696f902acf59d.pdf" TargetMode="External"/><Relationship Id="rId68" Type="http://schemas.openxmlformats.org/officeDocument/2006/relationships/hyperlink" Target="https://fundacionclubcampestre.org/wp-content/uploads/elementor/forms/695bfc1f148bd.pdf" TargetMode="External"/><Relationship Id="rId23" Type="http://schemas.openxmlformats.org/officeDocument/2006/relationships/hyperlink" Target="https://fundacionclubcampestre.org/wp-content/uploads/elementor/forms/69743b2731542.pdf" TargetMode="External"/><Relationship Id="rId67" Type="http://schemas.openxmlformats.org/officeDocument/2006/relationships/hyperlink" Target="https://fundacionclubcampestre1.sharepoint.com/:b:/s/FUNDACIONCLUBCAMPESTRE935/IQBxsBXEfxRLS657IGzgY5ucAdxGrl-NWy4OJv4vyoSRzl0?e=795AGA" TargetMode="External"/><Relationship Id="rId60" Type="http://schemas.openxmlformats.org/officeDocument/2006/relationships/hyperlink" Target="https://fundacionclubcampestre.org/wp-content/uploads/elementor/forms/695d3a2a22b97.png" TargetMode="External"/><Relationship Id="rId26" Type="http://schemas.openxmlformats.org/officeDocument/2006/relationships/hyperlink" Target="https://fundacionclubcampestre.org/wp-content/uploads/elementor/forms/6a413ff343fd7.pdf" TargetMode="External"/><Relationship Id="rId25" Type="http://schemas.openxmlformats.org/officeDocument/2006/relationships/hyperlink" Target="https://fundacionclubcampestre.org/wp-content/uploads/elementor/forms/6a4ff0e3277d7.pd" TargetMode="External"/><Relationship Id="rId69" Type="http://schemas.openxmlformats.org/officeDocument/2006/relationships/hyperlink" Target="https://fundacionclubcampestre.org/wp-content/uploads/elementor/forms/69838a926bbb4.pdf" TargetMode="External"/><Relationship Id="rId28" Type="http://schemas.openxmlformats.org/officeDocument/2006/relationships/hyperlink" Target="http://../../../:b:/g/personal/laura_restrepo_fundacionclubcampestre_org/IQD0Pr9GDaOcRJR-h4mnte6UAVBdvC2_SXyDdW7bT5asjZw?e=rleU3e" TargetMode="External"/><Relationship Id="rId27" Type="http://schemas.openxmlformats.org/officeDocument/2006/relationships/hyperlink" Target="https://fundacionclubcampestre.org/wp-content/uploads/elementor/forms/69a5d33a2c835.pdf" TargetMode="External"/><Relationship Id="rId29" Type="http://schemas.openxmlformats.org/officeDocument/2006/relationships/hyperlink" Target="http://../../../:b:/g/personal/laura_restrepo_fundacionclubcampestre_org/IQBx1eH23qskTpQBh8ZV-41aAXqvcT_2QMxBAgbm_u9siq4?e=vMnqOR" TargetMode="External"/><Relationship Id="rId51" Type="http://schemas.openxmlformats.org/officeDocument/2006/relationships/hyperlink" Target="https://fundacionclubcampestre.org/wp-content/uploads/elementor/forms/6a5a7cf6b9030.pdf" TargetMode="External"/><Relationship Id="rId50" Type="http://schemas.openxmlformats.org/officeDocument/2006/relationships/hyperlink" Target="https://fundacionclubcampestre.org/wp-content/uploads/elementor/forms/6949d70329f8f.pdf" TargetMode="External"/><Relationship Id="rId53" Type="http://schemas.openxmlformats.org/officeDocument/2006/relationships/hyperlink" Target="https://fundacionclubcampestre.org/wp-content/uploads/elementor/forms/6984d51016ae2.pdf" TargetMode="External"/><Relationship Id="rId52" Type="http://schemas.openxmlformats.org/officeDocument/2006/relationships/hyperlink" Target="https://fundacionclubcampestre.org/wp-content/uploads/elementor/forms/69419af19f3c9.pdf" TargetMode="External"/><Relationship Id="rId11" Type="http://schemas.openxmlformats.org/officeDocument/2006/relationships/hyperlink" Target="https://fundacionclubcampestre.org/wp-content/uploads/elementor/forms/6a57b134d9d52.pdf" TargetMode="External"/><Relationship Id="rId55" Type="http://schemas.openxmlformats.org/officeDocument/2006/relationships/hyperlink" Target="https://fundacionclubcampestre.org/wp-content/uploads/elementor/forms/6989ff8431c99.pdf" TargetMode="External"/><Relationship Id="rId10" Type="http://schemas.openxmlformats.org/officeDocument/2006/relationships/hyperlink" Target="https://fundacionclubcampestre.org/wp-content/uploads/elementor/forms/6983a34d054fa.pdf" TargetMode="External"/><Relationship Id="rId54" Type="http://schemas.openxmlformats.org/officeDocument/2006/relationships/hyperlink" Target="https://fundacionclubcampestre.org/wp-content/uploads/elementor/forms/6a3d9fcd5dd6a.pdf" TargetMode="External"/><Relationship Id="rId13" Type="http://schemas.openxmlformats.org/officeDocument/2006/relationships/hyperlink" Target="https://fundacionclubcampestre.org/wp-content/uploads/elementor/forms/6983db7675191.pdf" TargetMode="External"/><Relationship Id="rId57" Type="http://schemas.openxmlformats.org/officeDocument/2006/relationships/hyperlink" Target="https://fundacionclubcampestre.org/wp-content/uploads/elementor/forms/698c750e06547.pdf" TargetMode="External"/><Relationship Id="rId12" Type="http://schemas.openxmlformats.org/officeDocument/2006/relationships/hyperlink" Target="https://fundacionclubcampestre.org/wp-content/uploads/elementor/forms/698f8225b040a.png" TargetMode="External"/><Relationship Id="rId56" Type="http://schemas.openxmlformats.org/officeDocument/2006/relationships/hyperlink" Target="https://fundacionclubcampestre.org/wp-content/uploads/elementor/forms/699f64693a084.pdf" TargetMode="External"/><Relationship Id="rId15" Type="http://schemas.openxmlformats.org/officeDocument/2006/relationships/hyperlink" Target="http://../../../:b:/g/personal/laura_restrepo_fundacionclubcampestre_org/IQDjSmbtnGMkRp4De_HoTFrxAdCyT8nGYz1Ze3ZlhWY5flw?e=OeTdi5" TargetMode="External"/><Relationship Id="rId59" Type="http://schemas.openxmlformats.org/officeDocument/2006/relationships/hyperlink" Target="https://fundacionclubcampestre.org/wp-content/uploads/elementor/forms/697001e68b1bf.pdf" TargetMode="External"/><Relationship Id="rId14" Type="http://schemas.openxmlformats.org/officeDocument/2006/relationships/hyperlink" Target="https://fundacionclubcampestre.org/wp-content/uploads/elementor/forms/694b1af347638.pdf" TargetMode="External"/><Relationship Id="rId58" Type="http://schemas.openxmlformats.org/officeDocument/2006/relationships/hyperlink" Target="http://../../../:b:/g/personal/laura_restrepo_fundacionclubcampestre_org/IQB-o0yCMoDQRK1VpGT8rCaEAQIss8-7zh90b6R_vX63WIE?e=dA5neN" TargetMode="External"/><Relationship Id="rId17" Type="http://schemas.openxmlformats.org/officeDocument/2006/relationships/hyperlink" Target="https://fundacionclubcampestre.org/wp-content/uploads/elementor/forms/69933aa5dd97a.pdf" TargetMode="External"/><Relationship Id="rId16" Type="http://schemas.openxmlformats.org/officeDocument/2006/relationships/hyperlink" Target="https://fundacionclubcampestre.org/wp-content/uploads/elementor/forms/6938fb83a0f6a.pdf" TargetMode="External"/><Relationship Id="rId19" Type="http://schemas.openxmlformats.org/officeDocument/2006/relationships/hyperlink" Target="https://fundacionclubcampestre.org/wp-content/uploads/elementor/forms/6a444431e57ac.pdf" TargetMode="External"/><Relationship Id="rId18" Type="http://schemas.openxmlformats.org/officeDocument/2006/relationships/hyperlink" Target="https://fundacionclubcampestre.org/wp-content/uploads/elementor/forms/698d5308acc76.jp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undacionclubcampestre.org/wp-content/uploads/elementor/forms/6aaf1eba3020f.pdf" TargetMode="External"/><Relationship Id="rId42" Type="http://schemas.openxmlformats.org/officeDocument/2006/relationships/hyperlink" Target="https://fundacionclubcampestre.org/wp-content/uploads/elementor/forms/693a020a40306.pdf" TargetMode="External"/><Relationship Id="rId41" Type="http://schemas.openxmlformats.org/officeDocument/2006/relationships/hyperlink" Target="https://fundacionclubcampestre1.sharepoint.com/:b:/s/FUNDACIONCLUBCAMPESTRE935/IQDmRDiCSuzfR4jsN63-WkzDAYIspSSKMP4JJqtdja6TcpQ?e=DWh78W" TargetMode="External"/><Relationship Id="rId44" Type="http://schemas.openxmlformats.org/officeDocument/2006/relationships/hyperlink" Target="https://fundacionclubcampestre.org/wp-content/uploads/elementor/forms/6a6019df07eca.pdf" TargetMode="External"/><Relationship Id="rId43" Type="http://schemas.openxmlformats.org/officeDocument/2006/relationships/hyperlink" Target="https://fundacionclubcampestre.org/wp-content/uploads/elementor/forms/6a45647a6a1be.pdf" TargetMode="External"/><Relationship Id="rId46" Type="http://schemas.openxmlformats.org/officeDocument/2006/relationships/hyperlink" Target="https://fundacionclubcampestre.org/wp-content/uploads/elementor/forms/6a749530bf141.png" TargetMode="External"/><Relationship Id="rId45" Type="http://schemas.openxmlformats.org/officeDocument/2006/relationships/hyperlink" Target="https://fundacionclubcampestre.org/wp-content/uploads/elementor/forms/6aac0d1229bba.pdf" TargetMode="External"/><Relationship Id="rId1" Type="http://schemas.openxmlformats.org/officeDocument/2006/relationships/hyperlink" Target="https://fundacionclubcampestre1.sharepoint.com/:b:/s/FUNDACIONCLUBCAMPESTRE935/IQC7Efgr1r1tR7VkQaOpImTPAfpNswy9msMxjp4S71VqLw8?e=SRfhHk" TargetMode="External"/><Relationship Id="rId2" Type="http://schemas.openxmlformats.org/officeDocument/2006/relationships/hyperlink" Target="https://fundacionclubcampestre1.sharepoint.com/:b:/s/FUNDACIONCLUBCAMPESTRE935/IQBeGnS-ij8oSa2F9BcTLR1zAc2NcqN6O5ys2y9deLOeIB8?e=ib63P0" TargetMode="External"/><Relationship Id="rId3" Type="http://schemas.openxmlformats.org/officeDocument/2006/relationships/hyperlink" Target="https://fundacionclubcampestre.org/wp-content/uploads/elementor/forms/6a7d2997480a6.pdf" TargetMode="External"/><Relationship Id="rId4" Type="http://schemas.openxmlformats.org/officeDocument/2006/relationships/hyperlink" Target="https://fundacionclubcampestre.org/wp-content/uploads/elementor/forms/6a41cb5f7edbb.pdf" TargetMode="External"/><Relationship Id="rId9" Type="http://schemas.openxmlformats.org/officeDocument/2006/relationships/hyperlink" Target="https://fundacionclubcampestre.org/wp-content/uploads/elementor/forms/6a45cb387415d.pdf" TargetMode="External"/><Relationship Id="rId48" Type="http://schemas.openxmlformats.org/officeDocument/2006/relationships/hyperlink" Target="https://fundacionclubcampestre.org/wp-content/uploads/elementor/forms/6a596d3e6512e.pdf" TargetMode="External"/><Relationship Id="rId47" Type="http://schemas.openxmlformats.org/officeDocument/2006/relationships/hyperlink" Target="https://fundacionclubcampestre.org/wp-content/uploads/elementor/forms/6aab75e4aa310.pdf" TargetMode="External"/><Relationship Id="rId49" Type="http://schemas.openxmlformats.org/officeDocument/2006/relationships/hyperlink" Target="https://fundacionclubcampestre.org/wp-content/uploads/elementor/forms/6a8da5ca624b7.pdf" TargetMode="External"/><Relationship Id="rId5" Type="http://schemas.openxmlformats.org/officeDocument/2006/relationships/hyperlink" Target="https://fundacionclubcampestre1.sharepoint.com/:b:/s/FUNDACIONCLUBCAMPESTRE935/IQC7EpU_O0btR4oi9G3iECltATZqYl0ERL0jF1Vlx0G-zic?e=xyg3wx" TargetMode="External"/><Relationship Id="rId6" Type="http://schemas.openxmlformats.org/officeDocument/2006/relationships/hyperlink" Target="https://fundacionclubcampestre.org/wp-content/uploads/elementor/forms/6a6bfb8deb55d.pdf" TargetMode="External"/><Relationship Id="rId7" Type="http://schemas.openxmlformats.org/officeDocument/2006/relationships/hyperlink" Target="https://fundacionclubcampestre.org/wp-content/uploads/elementor/forms/6a8e1374cf9d5.pdf" TargetMode="External"/><Relationship Id="rId8" Type="http://schemas.openxmlformats.org/officeDocument/2006/relationships/hyperlink" Target="https://fundacionclubcampestre.org/wp-content/uploads/elementor/forms/6a5810d0ad952.pdf" TargetMode="External"/><Relationship Id="rId73" Type="http://schemas.openxmlformats.org/officeDocument/2006/relationships/hyperlink" Target="https://fundacionclubcampestre.org/wp-content/uploads/elementor/forms/6a692effb7fe9.pdf" TargetMode="External"/><Relationship Id="rId72" Type="http://schemas.openxmlformats.org/officeDocument/2006/relationships/hyperlink" Target="https://fundacionclubcampestre.org/wp-content/uploads/elementor/forms/6a8d2f16b45ef.pdf" TargetMode="External"/><Relationship Id="rId31" Type="http://schemas.openxmlformats.org/officeDocument/2006/relationships/hyperlink" Target="https://fundacionclubcampestre.org/wp-content/uploads/elementor/forms/6a67dfe31cd66.pdf," TargetMode="External"/><Relationship Id="rId30" Type="http://schemas.openxmlformats.org/officeDocument/2006/relationships/hyperlink" Target="https://fundacionclubcampestre.org/wp-content/uploads/elementor/forms/6a57f23a01014.pdf" TargetMode="External"/><Relationship Id="rId74" Type="http://schemas.openxmlformats.org/officeDocument/2006/relationships/drawing" Target="../drawings/drawing2.xml"/><Relationship Id="rId33" Type="http://schemas.openxmlformats.org/officeDocument/2006/relationships/hyperlink" Target="https://fundacionclubcampestre.org/wp-content/uploads/elementor/forms/6a5916800f316.pdf" TargetMode="External"/><Relationship Id="rId32" Type="http://schemas.openxmlformats.org/officeDocument/2006/relationships/hyperlink" Target="https://fundacionclubcampestre.org/wp-content/uploads/elementor/forms/6a593db7b7930.pdf" TargetMode="External"/><Relationship Id="rId35" Type="http://schemas.openxmlformats.org/officeDocument/2006/relationships/hyperlink" Target="https://fundacionclubcampestre.org/wp-content/uploads/elementor/forms/6aabeb5510ac4.pdf" TargetMode="External"/><Relationship Id="rId34" Type="http://schemas.openxmlformats.org/officeDocument/2006/relationships/hyperlink" Target="https://fundacionclubcampestre1.sharepoint.com/:b:/s/FUNDACIONCLUBCAMPESTRE935/IQBGVWhrx4DDSbF6nl51ushSAVh9RvTPdr3yohIsLa4I3mI?e=vkQuu7" TargetMode="External"/><Relationship Id="rId71" Type="http://schemas.openxmlformats.org/officeDocument/2006/relationships/hyperlink" Target="https://fundacionclubcampestre.org/wp-content/uploads/elementor/forms/6945aa892850d.pdf" TargetMode="External"/><Relationship Id="rId70" Type="http://schemas.openxmlformats.org/officeDocument/2006/relationships/hyperlink" Target="https://fundacionclubcampestre.org/wp-content/uploads/elementor/forms/6a6fd0a2f087e.pdf" TargetMode="External"/><Relationship Id="rId37" Type="http://schemas.openxmlformats.org/officeDocument/2006/relationships/hyperlink" Target="https://fundacionclubcampestre.org/wp-content/uploads/elementor/forms/6a5ad482e13e0.pdf" TargetMode="External"/><Relationship Id="rId36" Type="http://schemas.openxmlformats.org/officeDocument/2006/relationships/hyperlink" Target="https://fundacionclubcampestre.org/wp-content/uploads/elementor/forms/6a3d9fcd5dd6a.pdf" TargetMode="External"/><Relationship Id="rId39" Type="http://schemas.openxmlformats.org/officeDocument/2006/relationships/hyperlink" Target="https://fundacionclubcampestre.org/wp-content/uploads/elementor/forms/6a5a7cf6b9030.pdf" TargetMode="External"/><Relationship Id="rId38" Type="http://schemas.openxmlformats.org/officeDocument/2006/relationships/hyperlink" Target="https://fundacionclubcampestre.org/wp-content/uploads/elementor/forms/6a3d84b85e593.pdf" TargetMode="External"/><Relationship Id="rId62" Type="http://schemas.openxmlformats.org/officeDocument/2006/relationships/hyperlink" Target="https://fundacionclubcampestre.org/wp-content/uploads/elementor/forms/6a4ed579f23b4.pdf" TargetMode="External"/><Relationship Id="rId61" Type="http://schemas.openxmlformats.org/officeDocument/2006/relationships/hyperlink" Target="https://fundacionclubcampestre.org/wp-content/uploads/elementor/forms/6a35b850eb527.pdf" TargetMode="External"/><Relationship Id="rId20" Type="http://schemas.openxmlformats.org/officeDocument/2006/relationships/hyperlink" Target="https://fundacionclubcampestre.org/wp-content/uploads/elementor/forms/695d25d53b6e5.png" TargetMode="External"/><Relationship Id="rId64" Type="http://schemas.openxmlformats.org/officeDocument/2006/relationships/hyperlink" Target="https://fundacionclubcampestre.org/wp-content/uploads/elementor/forms/6aa945910ad09.pdf" TargetMode="External"/><Relationship Id="rId63" Type="http://schemas.openxmlformats.org/officeDocument/2006/relationships/hyperlink" Target="https://fundacionclubcampestre.org/wp-content/uploads/elementor/forms/69308ba75acd3.pdf" TargetMode="External"/><Relationship Id="rId22" Type="http://schemas.openxmlformats.org/officeDocument/2006/relationships/hyperlink" Target="https://fundacionclubcampestre.org/wp-content/uploads/elementor/forms/6a444431e57ac.pdf" TargetMode="External"/><Relationship Id="rId66" Type="http://schemas.openxmlformats.org/officeDocument/2006/relationships/hyperlink" Target="https://fundacionclubcampestre.org/wp-content/uploads/elementor/forms/6a4fbc7081638.png" TargetMode="External"/><Relationship Id="rId21" Type="http://schemas.openxmlformats.org/officeDocument/2006/relationships/hyperlink" Target="https://fundacionclubcampestre.org/wp-content/uploads/elementor/forms/6a501eea3a703.pdf" TargetMode="External"/><Relationship Id="rId65" Type="http://schemas.openxmlformats.org/officeDocument/2006/relationships/hyperlink" Target="https://fundacionclubcampestre.org/wp-content/uploads/elementor/forms/6a7bd1b53ba04.pdf" TargetMode="External"/><Relationship Id="rId24" Type="http://schemas.openxmlformats.org/officeDocument/2006/relationships/hyperlink" Target="https://fundacionclubcampestre.org/wp-content/uploads/elementor/forms/6a4ff0e3277d7.pdf" TargetMode="External"/><Relationship Id="rId68" Type="http://schemas.openxmlformats.org/officeDocument/2006/relationships/hyperlink" Target="https://fundacionclubcampestre.org/wp-content/uploads/elementor/forms/6a62ba0402755.pdf" TargetMode="External"/><Relationship Id="rId23" Type="http://schemas.openxmlformats.org/officeDocument/2006/relationships/hyperlink" Target="https://fundacionclubcampestre.org/wp-content/uploads/elementor/forms/6a641f0976fd7.pdf" TargetMode="External"/><Relationship Id="rId67" Type="http://schemas.openxmlformats.org/officeDocument/2006/relationships/hyperlink" Target="https://fundacionclubcampestre.org/wp-content/uploads/elementor/forms/6a67c95d3f1d5.pdf" TargetMode="External"/><Relationship Id="rId60" Type="http://schemas.openxmlformats.org/officeDocument/2006/relationships/hyperlink" Target="https://fundacionclubcampestre.org/wp-content/uploads/elementor/forms/6a6126825b96a.pdf" TargetMode="External"/><Relationship Id="rId26" Type="http://schemas.openxmlformats.org/officeDocument/2006/relationships/hyperlink" Target="https://fundacionclubcampestre.org/wp-content/uploads/elementor/forms/6a3fcf841faec.pdf" TargetMode="External"/><Relationship Id="rId25" Type="http://schemas.openxmlformats.org/officeDocument/2006/relationships/hyperlink" Target="https://fundacionclubcampestre1.sharepoint.com/:b:/s/FUNDACIONCLUBCAMPESTRE935/IQDDIHkTjeH7RZoRjRSZnTUgAeW-34wF_Xd_Tws15ASxgAs?e=LcFEvl" TargetMode="External"/><Relationship Id="rId69" Type="http://schemas.openxmlformats.org/officeDocument/2006/relationships/hyperlink" Target="https://fundacionclubcampestre.org/wp-content/uploads/elementor/forms/6a5695de55ad6.png" TargetMode="External"/><Relationship Id="rId28" Type="http://schemas.openxmlformats.org/officeDocument/2006/relationships/hyperlink" Target="https://fundacionclubcampestre1.sharepoint.com/:i:/s/FUNDACIONCLUBCAMPESTRE935/IQCzywJGWZgcSbznSqJuBrXEAQWGn1CwH0qbhxQXhg36e7Y?e=BJKQsu" TargetMode="External"/><Relationship Id="rId27" Type="http://schemas.openxmlformats.org/officeDocument/2006/relationships/hyperlink" Target="https://fundacionclubcampestre.org/wp-content/uploads/elementor/forms/6a9f837e57a97.pdf" TargetMode="External"/><Relationship Id="rId29" Type="http://schemas.openxmlformats.org/officeDocument/2006/relationships/hyperlink" Target="https://fundacionclubcampestre.org/wp-content/uploads/elementor/forms/6a594733a85e5.pdf" TargetMode="External"/><Relationship Id="rId51" Type="http://schemas.openxmlformats.org/officeDocument/2006/relationships/hyperlink" Target="https://fundacionclubcampestre.org/wp-content/uploads/elementor/forms/6a3c4f1452252.pdf" TargetMode="External"/><Relationship Id="rId50" Type="http://schemas.openxmlformats.org/officeDocument/2006/relationships/hyperlink" Target="https://fundacionclubcampestre.org/wp-content/uploads/elementor/forms/6a446a1394416.png" TargetMode="External"/><Relationship Id="rId53" Type="http://schemas.openxmlformats.org/officeDocument/2006/relationships/hyperlink" Target="https://fundacionclubcampestre.org/wp-content/uploads/elementor/forms/6aac0b3c56033.pdf" TargetMode="External"/><Relationship Id="rId52" Type="http://schemas.openxmlformats.org/officeDocument/2006/relationships/hyperlink" Target="https://fundacionclubcampestre.org/wp-content/uploads/elementor/forms/6aac27c81d96f.pdf" TargetMode="External"/><Relationship Id="rId11" Type="http://schemas.openxmlformats.org/officeDocument/2006/relationships/hyperlink" Target="https://fundacionclubcampestre.org/wp-content/uploads/elementor/forms/6a4dbcccbc041.jpg" TargetMode="External"/><Relationship Id="rId55" Type="http://schemas.openxmlformats.org/officeDocument/2006/relationships/hyperlink" Target="https://fundacionclubcampestre.org/wp-content/uploads/elementor/forms/6aab1704152cb.pdf" TargetMode="External"/><Relationship Id="rId10" Type="http://schemas.openxmlformats.org/officeDocument/2006/relationships/hyperlink" Target="https://fundacionclubcampestre.org/wp-content/uploads/elementor/forms/6a5fc83bc38c6.pdf" TargetMode="External"/><Relationship Id="rId54" Type="http://schemas.openxmlformats.org/officeDocument/2006/relationships/hyperlink" Target="https://fundacionclubcampestre1.sharepoint.com/:b:/s/FUNDACIONCLUBCAMPESTRE935/IQArf2VYVtFZQYrl2Z6-zLVVAYwkIWlcd9UFoNagxrXGHhc?e=2rNQjN" TargetMode="External"/><Relationship Id="rId13" Type="http://schemas.openxmlformats.org/officeDocument/2006/relationships/hyperlink" Target="https://fundacionclubcampestre.org/wp-content/uploads/elementor/forms/6a6287c2de953.pdf" TargetMode="External"/><Relationship Id="rId57" Type="http://schemas.openxmlformats.org/officeDocument/2006/relationships/hyperlink" Target="https://fundacionclubcampestre.org/wp-content/uploads/elementor/forms/6a6a1e48c210d.pdf" TargetMode="External"/><Relationship Id="rId12" Type="http://schemas.openxmlformats.org/officeDocument/2006/relationships/hyperlink" Target="https://fundacionclubcampestre.org/wp-content/uploads/elementor/forms/6a39c4abb5340.png" TargetMode="External"/><Relationship Id="rId56" Type="http://schemas.openxmlformats.org/officeDocument/2006/relationships/hyperlink" Target="https://fundacionclubcampestre.org/wp-content/uploads/elementor/forms/6a627e797870c.pdf" TargetMode="External"/><Relationship Id="rId15" Type="http://schemas.openxmlformats.org/officeDocument/2006/relationships/hyperlink" Target="https://fundacionclubcampestre.org/wp-content/uploads/elementor/forms/6a627ab145bca.pdf" TargetMode="External"/><Relationship Id="rId59" Type="http://schemas.openxmlformats.org/officeDocument/2006/relationships/hyperlink" Target="https://fundacionclubcampestre.org/wp-content/uploads/elementor/forms/6a90487f42b21.pdf" TargetMode="External"/><Relationship Id="rId14" Type="http://schemas.openxmlformats.org/officeDocument/2006/relationships/hyperlink" Target="https://fundacionclubcampestre.org/wp-content/uploads/elementor/forms/6a6a1699c388c.pdf" TargetMode="External"/><Relationship Id="rId58" Type="http://schemas.openxmlformats.org/officeDocument/2006/relationships/hyperlink" Target="https://fundacionclubcampestre.org/wp-content/uploads/elementor/forms/6a7249e93b64f.pdf" TargetMode="External"/><Relationship Id="rId17" Type="http://schemas.openxmlformats.org/officeDocument/2006/relationships/hyperlink" Target="https://fundacionclubcampestre.org/wp-content/uploads/elementor/forms/6a413ff343fd7.pdf" TargetMode="External"/><Relationship Id="rId16" Type="http://schemas.openxmlformats.org/officeDocument/2006/relationships/hyperlink" Target="https://fundacionclubcampestre.org/wp-content/uploads/elementor/forms/6aa59b1987f20.pdf" TargetMode="External"/><Relationship Id="rId19" Type="http://schemas.openxmlformats.org/officeDocument/2006/relationships/hyperlink" Target="https://fundacionclubcampestre.org/wp-content/uploads/elementor/forms/6aa8122b28dc3.pdf" TargetMode="External"/><Relationship Id="rId18" Type="http://schemas.openxmlformats.org/officeDocument/2006/relationships/hyperlink" Target="https://fundacionclubcampestre.org/wp-content/uploads/elementor/forms/6a3d690ecf47c.pdf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undacionclubcampestre.org/wp-content/uploads/elementor/forms/6aaf1eba3020f.pdf" TargetMode="External"/><Relationship Id="rId42" Type="http://schemas.openxmlformats.org/officeDocument/2006/relationships/hyperlink" Target="https://fundacionclubcampestre.org/wp-content/uploads/elementor/forms/693a020a40306.pdf" TargetMode="External"/><Relationship Id="rId41" Type="http://schemas.openxmlformats.org/officeDocument/2006/relationships/hyperlink" Target="https://fundacionclubcampestre1.sharepoint.com/:b:/s/FUNDACIONCLUBCAMPESTRE935/IQDmRDiCSuzfR4jsN63-WkzDAYIspSSKMP4JJqtdja6TcpQ?e=DWh78W" TargetMode="External"/><Relationship Id="rId44" Type="http://schemas.openxmlformats.org/officeDocument/2006/relationships/hyperlink" Target="https://fundacionclubcampestre.org/wp-content/uploads/elementor/forms/6a6019df07eca.pdf" TargetMode="External"/><Relationship Id="rId43" Type="http://schemas.openxmlformats.org/officeDocument/2006/relationships/hyperlink" Target="https://fundacionclubcampestre.org/wp-content/uploads/elementor/forms/6a45647a6a1be.pdf" TargetMode="External"/><Relationship Id="rId46" Type="http://schemas.openxmlformats.org/officeDocument/2006/relationships/hyperlink" Target="https://fundacionclubcampestre.org/wp-content/uploads/elementor/forms/6a749530bf141.png" TargetMode="External"/><Relationship Id="rId45" Type="http://schemas.openxmlformats.org/officeDocument/2006/relationships/hyperlink" Target="https://fundacionclubcampestre.org/wp-content/uploads/elementor/forms/6aac0d1229bba.pdf" TargetMode="External"/><Relationship Id="rId1" Type="http://schemas.openxmlformats.org/officeDocument/2006/relationships/hyperlink" Target="https://fundacionclubcampestre1.sharepoint.com/:b:/s/FUNDACIONCLUBCAMPESTRE935/IQC7Efgr1r1tR7VkQaOpImTPAfpNswy9msMxjp4S71VqLw8?e=SRfhHk" TargetMode="External"/><Relationship Id="rId2" Type="http://schemas.openxmlformats.org/officeDocument/2006/relationships/hyperlink" Target="https://fundacionclubcampestre1.sharepoint.com/:b:/s/FUNDACIONCLUBCAMPESTRE935/IQBeGnS-ij8oSa2F9BcTLR1zAc2NcqN6O5ys2y9deLOeIB8?e=ib63P0" TargetMode="External"/><Relationship Id="rId3" Type="http://schemas.openxmlformats.org/officeDocument/2006/relationships/hyperlink" Target="https://fundacionclubcampestre.org/wp-content/uploads/elementor/forms/6a7d2997480a6.pdf" TargetMode="External"/><Relationship Id="rId4" Type="http://schemas.openxmlformats.org/officeDocument/2006/relationships/hyperlink" Target="https://fundacionclubcampestre.org/wp-content/uploads/elementor/forms/6a41cb5f7edbb.pdf" TargetMode="External"/><Relationship Id="rId9" Type="http://schemas.openxmlformats.org/officeDocument/2006/relationships/hyperlink" Target="https://fundacionclubcampestre.org/wp-content/uploads/elementor/forms/6a45cb387415d.pdf" TargetMode="External"/><Relationship Id="rId48" Type="http://schemas.openxmlformats.org/officeDocument/2006/relationships/hyperlink" Target="https://fundacionclubcampestre.org/wp-content/uploads/elementor/forms/6a596d3e6512e.pdf" TargetMode="External"/><Relationship Id="rId47" Type="http://schemas.openxmlformats.org/officeDocument/2006/relationships/hyperlink" Target="https://fundacionclubcampestre.org/wp-content/uploads/elementor/forms/6aab75e4aa310.pdf" TargetMode="External"/><Relationship Id="rId49" Type="http://schemas.openxmlformats.org/officeDocument/2006/relationships/hyperlink" Target="https://fundacionclubcampestre.org/wp-content/uploads/elementor/forms/6a8da5ca624b7.pdf" TargetMode="External"/><Relationship Id="rId5" Type="http://schemas.openxmlformats.org/officeDocument/2006/relationships/hyperlink" Target="https://fundacionclubcampestre1.sharepoint.com/:b:/s/FUNDACIONCLUBCAMPESTRE935/IQC7EpU_O0btR4oi9G3iECltATZqYl0ERL0jF1Vlx0G-zic?e=xyg3wx" TargetMode="External"/><Relationship Id="rId6" Type="http://schemas.openxmlformats.org/officeDocument/2006/relationships/hyperlink" Target="https://fundacionclubcampestre.org/wp-content/uploads/elementor/forms/6a6bfb8deb55d.pdf" TargetMode="External"/><Relationship Id="rId7" Type="http://schemas.openxmlformats.org/officeDocument/2006/relationships/hyperlink" Target="https://fundacionclubcampestre.org/wp-content/uploads/elementor/forms/6a8e1374cf9d5.pdf" TargetMode="External"/><Relationship Id="rId8" Type="http://schemas.openxmlformats.org/officeDocument/2006/relationships/hyperlink" Target="https://fundacionclubcampestre.org/wp-content/uploads/elementor/forms/6a5810d0ad952.pdf" TargetMode="External"/><Relationship Id="rId73" Type="http://schemas.openxmlformats.org/officeDocument/2006/relationships/hyperlink" Target="https://fundacionclubcampestre.org/wp-content/uploads/elementor/forms/6a692effb7fe9.pdf" TargetMode="External"/><Relationship Id="rId72" Type="http://schemas.openxmlformats.org/officeDocument/2006/relationships/hyperlink" Target="https://fundacionclubcampestre.org/wp-content/uploads/elementor/forms/6a8d2f16b45ef.pdf" TargetMode="External"/><Relationship Id="rId31" Type="http://schemas.openxmlformats.org/officeDocument/2006/relationships/hyperlink" Target="https://fundacionclubcampestre.org/wp-content/uploads/elementor/forms/6a67dfe31cd66.pdf," TargetMode="External"/><Relationship Id="rId30" Type="http://schemas.openxmlformats.org/officeDocument/2006/relationships/hyperlink" Target="https://fundacionclubcampestre.org/wp-content/uploads/elementor/forms/6a57f23a01014.pdf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fundacionclubcampestre.org/wp-content/uploads/elementor/forms/6a5916800f316.pdf" TargetMode="External"/><Relationship Id="rId32" Type="http://schemas.openxmlformats.org/officeDocument/2006/relationships/hyperlink" Target="https://fundacionclubcampestre.org/wp-content/uploads/elementor/forms/6a593db7b7930.pdf" TargetMode="External"/><Relationship Id="rId35" Type="http://schemas.openxmlformats.org/officeDocument/2006/relationships/hyperlink" Target="https://fundacionclubcampestre.org/wp-content/uploads/elementor/forms/6aabeb5510ac4.pdf" TargetMode="External"/><Relationship Id="rId34" Type="http://schemas.openxmlformats.org/officeDocument/2006/relationships/hyperlink" Target="https://fundacionclubcampestre1.sharepoint.com/:b:/s/FUNDACIONCLUBCAMPESTRE935/IQBGVWhrx4DDSbF6nl51ushSAVh9RvTPdr3yohIsLa4I3mI?e=vkQuu7" TargetMode="External"/><Relationship Id="rId71" Type="http://schemas.openxmlformats.org/officeDocument/2006/relationships/hyperlink" Target="https://fundacionclubcampestre.org/wp-content/uploads/elementor/forms/6945aa892850d.pdf" TargetMode="External"/><Relationship Id="rId70" Type="http://schemas.openxmlformats.org/officeDocument/2006/relationships/hyperlink" Target="https://fundacionclubcampestre.org/wp-content/uploads/elementor/forms/6a6fd0a2f087e.pdf" TargetMode="External"/><Relationship Id="rId37" Type="http://schemas.openxmlformats.org/officeDocument/2006/relationships/hyperlink" Target="https://fundacionclubcampestre.org/wp-content/uploads/elementor/forms/6a5ad482e13e0.pdf" TargetMode="External"/><Relationship Id="rId36" Type="http://schemas.openxmlformats.org/officeDocument/2006/relationships/hyperlink" Target="https://fundacionclubcampestre.org/wp-content/uploads/elementor/forms/6a3d9fcd5dd6a.pdf" TargetMode="External"/><Relationship Id="rId39" Type="http://schemas.openxmlformats.org/officeDocument/2006/relationships/hyperlink" Target="https://fundacionclubcampestre.org/wp-content/uploads/elementor/forms/6a5a7cf6b9030.pdf" TargetMode="External"/><Relationship Id="rId38" Type="http://schemas.openxmlformats.org/officeDocument/2006/relationships/hyperlink" Target="https://fundacionclubcampestre.org/wp-content/uploads/elementor/forms/6a3d84b85e593.pdf" TargetMode="External"/><Relationship Id="rId62" Type="http://schemas.openxmlformats.org/officeDocument/2006/relationships/hyperlink" Target="https://fundacionclubcampestre.org/wp-content/uploads/elementor/forms/6a4ed579f23b4.pdf" TargetMode="External"/><Relationship Id="rId61" Type="http://schemas.openxmlformats.org/officeDocument/2006/relationships/hyperlink" Target="https://fundacionclubcampestre.org/wp-content/uploads/elementor/forms/6a35b850eb527.pdf" TargetMode="External"/><Relationship Id="rId20" Type="http://schemas.openxmlformats.org/officeDocument/2006/relationships/hyperlink" Target="https://fundacionclubcampestre1.sharepoint.com/:b:/s/FUNDACIONCLUBCAMPESTRE935/IQDeyH62k5-KSJVgRb5cvex-Afrx2lrtGP-_PjVdkQysxWE?e=r3MvNC" TargetMode="External"/><Relationship Id="rId64" Type="http://schemas.openxmlformats.org/officeDocument/2006/relationships/hyperlink" Target="https://fundacionclubcampestre.org/wp-content/uploads/elementor/forms/6aa945910ad09.pdf" TargetMode="External"/><Relationship Id="rId63" Type="http://schemas.openxmlformats.org/officeDocument/2006/relationships/hyperlink" Target="https://fundacionclubcampestre.org/wp-content/uploads/elementor/forms/69308ba75acd3.pdf" TargetMode="External"/><Relationship Id="rId22" Type="http://schemas.openxmlformats.org/officeDocument/2006/relationships/hyperlink" Target="https://fundacionclubcampestre.org/wp-content/uploads/elementor/forms/6a444431e57ac.pdf" TargetMode="External"/><Relationship Id="rId66" Type="http://schemas.openxmlformats.org/officeDocument/2006/relationships/hyperlink" Target="https://fundacionclubcampestre.org/wp-content/uploads/elementor/forms/6a4fbc7081638.png" TargetMode="External"/><Relationship Id="rId21" Type="http://schemas.openxmlformats.org/officeDocument/2006/relationships/hyperlink" Target="https://fundacionclubcampestre.org/wp-content/uploads/elementor/forms/6a501eea3a703.pdf" TargetMode="External"/><Relationship Id="rId65" Type="http://schemas.openxmlformats.org/officeDocument/2006/relationships/hyperlink" Target="https://fundacionclubcampestre.org/wp-content/uploads/elementor/forms/6a7bd1b53ba04.pdf" TargetMode="External"/><Relationship Id="rId24" Type="http://schemas.openxmlformats.org/officeDocument/2006/relationships/hyperlink" Target="https://fundacionclubcampestre.org/wp-content/uploads/elementor/forms/6a4ff0e3277d7.pdf" TargetMode="External"/><Relationship Id="rId68" Type="http://schemas.openxmlformats.org/officeDocument/2006/relationships/hyperlink" Target="https://fundacionclubcampestre.org/wp-content/uploads/elementor/forms/6a62ba0402755.pdf" TargetMode="External"/><Relationship Id="rId23" Type="http://schemas.openxmlformats.org/officeDocument/2006/relationships/hyperlink" Target="https://fundacionclubcampestre1.sharepoint.com/:b:/s/FUNDACIONCLUBCAMPESTRE935/IQALtQ7mxXiORoRd13lrTbNBAfb-2jJd6kcx63INsf8FyJI?e=aTkvpu" TargetMode="External"/><Relationship Id="rId67" Type="http://schemas.openxmlformats.org/officeDocument/2006/relationships/hyperlink" Target="https://fundacionclubcampestre.org/wp-content/uploads/elementor/forms/6a67c95d3f1d5.pdf" TargetMode="External"/><Relationship Id="rId60" Type="http://schemas.openxmlformats.org/officeDocument/2006/relationships/hyperlink" Target="https://fundacionclubcampestre.org/wp-content/uploads/elementor/forms/6a6126825b96a.pdf" TargetMode="External"/><Relationship Id="rId26" Type="http://schemas.openxmlformats.org/officeDocument/2006/relationships/hyperlink" Target="https://fundacionclubcampestre.org/wp-content/uploads/elementor/forms/6a3fcf841faec.pdf" TargetMode="External"/><Relationship Id="rId25" Type="http://schemas.openxmlformats.org/officeDocument/2006/relationships/hyperlink" Target="https://fundacionclubcampestre1.sharepoint.com/:b:/s/FUNDACIONCLUBCAMPESTRE935/IQAkfHY3z6ITQaK5wnQUB3m-ASsn2NAI3J8unBWqfSM8uYA?e=OZucJm" TargetMode="External"/><Relationship Id="rId69" Type="http://schemas.openxmlformats.org/officeDocument/2006/relationships/hyperlink" Target="https://fundacionclubcampestre.org/wp-content/uploads/elementor/forms/6a5695de55ad6.png" TargetMode="External"/><Relationship Id="rId28" Type="http://schemas.openxmlformats.org/officeDocument/2006/relationships/hyperlink" Target="https://fundacionclubcampestre1.sharepoint.com/:i:/s/FUNDACIONCLUBCAMPESTRE935/IQCzywJGWZgcSbznSqJuBrXEAQWGn1CwH0qbhxQXhg36e7Y?e=BJKQsu" TargetMode="External"/><Relationship Id="rId27" Type="http://schemas.openxmlformats.org/officeDocument/2006/relationships/hyperlink" Target="https://fundacionclubcampestre.org/wp-content/uploads/elementor/forms/6a9f837e57a97.pdf" TargetMode="External"/><Relationship Id="rId29" Type="http://schemas.openxmlformats.org/officeDocument/2006/relationships/hyperlink" Target="https://fundacionclubcampestre.org/wp-content/uploads/elementor/forms/6a594733a85e5.pdf" TargetMode="External"/><Relationship Id="rId51" Type="http://schemas.openxmlformats.org/officeDocument/2006/relationships/hyperlink" Target="https://fundacionclubcampestre.org/wp-content/uploads/elementor/forms/6a3c4f1452252.pdf" TargetMode="External"/><Relationship Id="rId50" Type="http://schemas.openxmlformats.org/officeDocument/2006/relationships/hyperlink" Target="https://fundacionclubcampestre.org/wp-content/uploads/elementor/forms/6a446a1394416.png" TargetMode="External"/><Relationship Id="rId53" Type="http://schemas.openxmlformats.org/officeDocument/2006/relationships/hyperlink" Target="https://fundacionclubcampestre.org/wp-content/uploads/elementor/forms/6aac0b3c56033.pdf" TargetMode="External"/><Relationship Id="rId52" Type="http://schemas.openxmlformats.org/officeDocument/2006/relationships/hyperlink" Target="https://fundacionclubcampestre.org/wp-content/uploads/elementor/forms/6aac27c81d96f.pdf" TargetMode="External"/><Relationship Id="rId11" Type="http://schemas.openxmlformats.org/officeDocument/2006/relationships/hyperlink" Target="https://fundacionclubcampestre.org/wp-content/uploads/elementor/forms/6a4dbcccbc041.jpg" TargetMode="External"/><Relationship Id="rId55" Type="http://schemas.openxmlformats.org/officeDocument/2006/relationships/hyperlink" Target="https://fundacionclubcampestre.org/wp-content/uploads/elementor/forms/6aab1704152cb.pdf" TargetMode="External"/><Relationship Id="rId10" Type="http://schemas.openxmlformats.org/officeDocument/2006/relationships/hyperlink" Target="https://fundacionclubcampestre.org/wp-content/uploads/elementor/forms/6a5fc83bc38c6.pdf" TargetMode="External"/><Relationship Id="rId54" Type="http://schemas.openxmlformats.org/officeDocument/2006/relationships/hyperlink" Target="https://fundacionclubcampestre1.sharepoint.com/:b:/s/FUNDACIONCLUBCAMPESTRE935/IQArf2VYVtFZQYrl2Z6-zLVVAYwkIWlcd9UFoNagxrXGHhc?e=2rNQjN" TargetMode="External"/><Relationship Id="rId13" Type="http://schemas.openxmlformats.org/officeDocument/2006/relationships/hyperlink" Target="https://fundacionclubcampestre.org/wp-content/uploads/elementor/forms/6a6287c2de953.pdf" TargetMode="External"/><Relationship Id="rId57" Type="http://schemas.openxmlformats.org/officeDocument/2006/relationships/hyperlink" Target="https://fundacionclubcampestre.org/wp-content/uploads/elementor/forms/6a6a1e48c210d.pdf" TargetMode="External"/><Relationship Id="rId12" Type="http://schemas.openxmlformats.org/officeDocument/2006/relationships/hyperlink" Target="https://fundacionclubcampestre.org/wp-content/uploads/elementor/forms/6a39c4abb5340.png" TargetMode="External"/><Relationship Id="rId56" Type="http://schemas.openxmlformats.org/officeDocument/2006/relationships/hyperlink" Target="https://fundacionclubcampestre.org/wp-content/uploads/elementor/forms/6a627e797870c.pdf" TargetMode="External"/><Relationship Id="rId15" Type="http://schemas.openxmlformats.org/officeDocument/2006/relationships/hyperlink" Target="https://fundacionclubcampestre.org/wp-content/uploads/elementor/forms/6a627ab145bca.pdf" TargetMode="External"/><Relationship Id="rId59" Type="http://schemas.openxmlformats.org/officeDocument/2006/relationships/hyperlink" Target="https://fundacionclubcampestre.org/wp-content/uploads/elementor/forms/6a90487f42b21.pdf" TargetMode="External"/><Relationship Id="rId14" Type="http://schemas.openxmlformats.org/officeDocument/2006/relationships/hyperlink" Target="https://fundacionclubcampestre.org/wp-content/uploads/elementor/forms/6a6a1699c388c.pdf" TargetMode="External"/><Relationship Id="rId58" Type="http://schemas.openxmlformats.org/officeDocument/2006/relationships/hyperlink" Target="https://fundacionclubcampestre.org/wp-content/uploads/elementor/forms/6a7249e93b64f.pdf" TargetMode="External"/><Relationship Id="rId17" Type="http://schemas.openxmlformats.org/officeDocument/2006/relationships/hyperlink" Target="https://fundacionclubcampestre.org/wp-content/uploads/elementor/forms/6a413ff343fd7.pdf" TargetMode="External"/><Relationship Id="rId16" Type="http://schemas.openxmlformats.org/officeDocument/2006/relationships/hyperlink" Target="https://fundacionclubcampestre.org/wp-content/uploads/elementor/forms/6aa59b1987f20.pdf" TargetMode="External"/><Relationship Id="rId19" Type="http://schemas.openxmlformats.org/officeDocument/2006/relationships/hyperlink" Target="https://fundacionclubcampestre.org/wp-content/uploads/elementor/forms/6aa8122b28dc3.pdf" TargetMode="External"/><Relationship Id="rId18" Type="http://schemas.openxmlformats.org/officeDocument/2006/relationships/hyperlink" Target="https://fundacionclubcampestre.org/wp-content/uploads/elementor/forms/6a3d690ecf47c.pdf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fundacionclubcampestre.org/wp-content/uploads/elementor/forms/698170bc7fa29.pdf" TargetMode="External"/><Relationship Id="rId42" Type="http://schemas.openxmlformats.org/officeDocument/2006/relationships/hyperlink" Target="https://fundacionclubcampestre.org/wp-content/uploads/elementor/forms/697916f682cba.pdf" TargetMode="External"/><Relationship Id="rId41" Type="http://schemas.openxmlformats.org/officeDocument/2006/relationships/hyperlink" Target="https://fundacionclubcampestre.org/wp-content/uploads/elementor/forms/6940509c9e6db.pdf" TargetMode="External"/><Relationship Id="rId44" Type="http://schemas.openxmlformats.org/officeDocument/2006/relationships/hyperlink" Target="https://fundacionclubcampestre.org/wp-content/uploads/elementor/forms/69c2ceea8e27b.pdf" TargetMode="External"/><Relationship Id="rId43" Type="http://schemas.openxmlformats.org/officeDocument/2006/relationships/hyperlink" Target="https://fundacionclubcampestre.org/wp-content/uploads/elementor/forms/6998e5128421b.pdf" TargetMode="External"/><Relationship Id="rId46" Type="http://schemas.openxmlformats.org/officeDocument/2006/relationships/hyperlink" Target="https://fundacionclubcampestre.org/wp-content/uploads/elementor/forms/69864446d5688.pdf" TargetMode="External"/><Relationship Id="rId45" Type="http://schemas.openxmlformats.org/officeDocument/2006/relationships/hyperlink" Target="https://fundacionclubcampestre.org/wp-content/uploads/elementor/forms/6932de84d6995.pdf" TargetMode="External"/><Relationship Id="rId1" Type="http://schemas.openxmlformats.org/officeDocument/2006/relationships/hyperlink" Target="https://fundacionclubcampestre.org/wp-content/uploads/elementor/forms/697a2aa1e35e2.pdf" TargetMode="External"/><Relationship Id="rId2" Type="http://schemas.openxmlformats.org/officeDocument/2006/relationships/hyperlink" Target="http://../../../:b:/g/personal/laura_restrepo_fundacionclubcampestre_org/IQDr5bo7NW8WRI2uh2qIpzdJATAkeMGEXKNuZp9hOuGzZZ8?e=8Mhsfx" TargetMode="External"/><Relationship Id="rId3" Type="http://schemas.openxmlformats.org/officeDocument/2006/relationships/hyperlink" Target="https://fundacionclubcampestre.org/wp-content/uploads/elementor/forms/693a020a40306.pdf" TargetMode="External"/><Relationship Id="rId4" Type="http://schemas.openxmlformats.org/officeDocument/2006/relationships/hyperlink" Target="https://fundacionclubcampestre.org/wp-content/uploads/elementor/forms/694ebb21d02fd.png" TargetMode="External"/><Relationship Id="rId9" Type="http://schemas.openxmlformats.org/officeDocument/2006/relationships/hyperlink" Target="https://fundacionclubcampestre.org/wp-content/uploads/elementor/forms/69654ff3b5202.pdf" TargetMode="External"/><Relationship Id="rId48" Type="http://schemas.openxmlformats.org/officeDocument/2006/relationships/hyperlink" Target="https://fundacionclubcampestre.org/wp-content/uploads/elementor/forms/69528f716206e.pdf" TargetMode="External"/><Relationship Id="rId47" Type="http://schemas.openxmlformats.org/officeDocument/2006/relationships/hyperlink" Target="https://fundacionclubcampestre.org/wp-content/uploads/elementor/forms/696d7d68aef2f.pdf" TargetMode="External"/><Relationship Id="rId49" Type="http://schemas.openxmlformats.org/officeDocument/2006/relationships/hyperlink" Target="https://fundacionclubcampestre.org/wp-content/uploads/elementor/forms/6949d70329f8f.pdf" TargetMode="External"/><Relationship Id="rId5" Type="http://schemas.openxmlformats.org/officeDocument/2006/relationships/hyperlink" Target="https://fundacionclubcampestre.org/wp-content/uploads/elementor/forms/6951a55fae9b4.pdf" TargetMode="External"/><Relationship Id="rId6" Type="http://schemas.openxmlformats.org/officeDocument/2006/relationships/hyperlink" Target="http://../../../:b:/g/personal/laura_restrepo_fundacionclubcampestre_org/IQBPa_Y9_mv6R5JYI4ScEcDMAc5h1T6CM93Y4RpiGKJEulw?e=3ONDNx" TargetMode="External"/><Relationship Id="rId7" Type="http://schemas.openxmlformats.org/officeDocument/2006/relationships/hyperlink" Target="https://fundacionclubcampestre.org/wp-content/uploads/elementor/forms/699fbc85e89ff.pdf" TargetMode="External"/><Relationship Id="rId8" Type="http://schemas.openxmlformats.org/officeDocument/2006/relationships/hyperlink" Target="https://fundacionclubcampestre.org/wp-content/uploads/elementor/forms/698a7d55d4c5a.pdf" TargetMode="External"/><Relationship Id="rId73" Type="http://schemas.openxmlformats.org/officeDocument/2006/relationships/drawing" Target="../drawings/drawing4.xml"/><Relationship Id="rId72" Type="http://schemas.openxmlformats.org/officeDocument/2006/relationships/hyperlink" Target="https://fundacionclubcampestre.org/wp-content/uploads/elementor/forms/69b21cd051323.pdf" TargetMode="External"/><Relationship Id="rId31" Type="http://schemas.openxmlformats.org/officeDocument/2006/relationships/hyperlink" Target="https://fundacionclubcampestre.org/wp-content/uploads/elementor/forms/698e86bca15b3.pdf" TargetMode="External"/><Relationship Id="rId30" Type="http://schemas.openxmlformats.org/officeDocument/2006/relationships/hyperlink" Target="https://fundacionclubcampestre.org/wp-content/uploads/elementor/forms/694e144fde124.png" TargetMode="External"/><Relationship Id="rId33" Type="http://schemas.openxmlformats.org/officeDocument/2006/relationships/hyperlink" Target="https://fundacionclubcampestre.org/wp-content/uploads/elementor/forms/6988fbc3b16b1.pdf" TargetMode="External"/><Relationship Id="rId32" Type="http://schemas.openxmlformats.org/officeDocument/2006/relationships/hyperlink" Target="https://fundacionclubcampestre.org/wp-content/uploads/elementor/forms/69835ad76e573.pdf" TargetMode="External"/><Relationship Id="rId35" Type="http://schemas.openxmlformats.org/officeDocument/2006/relationships/hyperlink" Target="https://fundacionclubcampestre.org/wp-content/uploads/elementor/forms/697beeddb8edc.pdf" TargetMode="External"/><Relationship Id="rId34" Type="http://schemas.openxmlformats.org/officeDocument/2006/relationships/hyperlink" Target="https://fundacionclubcampestre.org/wp-content/uploads/elementor/forms/694162c307ec4.pdf" TargetMode="External"/><Relationship Id="rId71" Type="http://schemas.openxmlformats.org/officeDocument/2006/relationships/hyperlink" Target="https://fundacionclubcampestre.org/wp-content/uploads/elementor/forms/6972e50c6bfdc.pdf" TargetMode="External"/><Relationship Id="rId70" Type="http://schemas.openxmlformats.org/officeDocument/2006/relationships/hyperlink" Target="https://fundacionclubcampestre.org/wp-content/uploads/elementor/forms/6930ba60b4329.pdf" TargetMode="External"/><Relationship Id="rId37" Type="http://schemas.openxmlformats.org/officeDocument/2006/relationships/hyperlink" Target="https://fundacionclubcampestre.org/wp-content/uploads/elementor/forms/69a8bfc782d19.png" TargetMode="External"/><Relationship Id="rId36" Type="http://schemas.openxmlformats.org/officeDocument/2006/relationships/hyperlink" Target="https://fundacionclubcampestre.org/wp-content/uploads/elementor/forms/69700bcfd13d4.pdf" TargetMode="External"/><Relationship Id="rId39" Type="http://schemas.openxmlformats.org/officeDocument/2006/relationships/hyperlink" Target="https://fundacionclubcampestre.org/wp-content/uploads/elementor/forms/693c9e694c66b.pdf" TargetMode="External"/><Relationship Id="rId38" Type="http://schemas.openxmlformats.org/officeDocument/2006/relationships/hyperlink" Target="https://fundacionclubcampestre.org/wp-content/uploads/elementor/forms/695d25d53b6e5.png" TargetMode="External"/><Relationship Id="rId62" Type="http://schemas.openxmlformats.org/officeDocument/2006/relationships/hyperlink" Target="https://fundacionclubcampestre.org/wp-content/uploads/elementor/forms/69308ba75acd3.pdf" TargetMode="External"/><Relationship Id="rId61" Type="http://schemas.openxmlformats.org/officeDocument/2006/relationships/hyperlink" Target="https://fundacionclubcampestre.org/wp-content/uploads/elementor/forms/6945aa892850d.pdf" TargetMode="External"/><Relationship Id="rId20" Type="http://schemas.openxmlformats.org/officeDocument/2006/relationships/hyperlink" Target="http://../../../:i:/g/personal/laura_restrepo_fundacionclubcampestre_org/IQBeqUkEYKXPQYKnZfPxEhgvAX_qGP9lr-pY7YYNTwbCuOo?e=fr2sMv" TargetMode="External"/><Relationship Id="rId64" Type="http://schemas.openxmlformats.org/officeDocument/2006/relationships/hyperlink" Target="https://fundacionclubcampestre.org/wp-content/uploads/elementor/forms/697017825d357.pdf" TargetMode="External"/><Relationship Id="rId63" Type="http://schemas.openxmlformats.org/officeDocument/2006/relationships/hyperlink" Target="https://fundacionclubcampestre.org/wp-content/uploads/elementor/forms/6973eb2f7bfdb.pdf" TargetMode="External"/><Relationship Id="rId22" Type="http://schemas.openxmlformats.org/officeDocument/2006/relationships/hyperlink" Target="https://fundacionclubcampestre.org/wp-content/uploads/elementor/forms/69743b2731542.pdf" TargetMode="External"/><Relationship Id="rId66" Type="http://schemas.openxmlformats.org/officeDocument/2006/relationships/hyperlink" Target="http://../../../:b:/g/personal/laura_restrepo_fundacionclubcampestre_org/IQAqUASM4LzzQIeUop8CPZRsAXdGWdodi7Eymc4JunzjIKM?e=jxOFzu" TargetMode="External"/><Relationship Id="rId21" Type="http://schemas.openxmlformats.org/officeDocument/2006/relationships/hyperlink" Target="https://fundacionclubcampestre1.sharepoint.com/sites/FUNDACIONCLUBCAMPESTRE935/Shared%20Documents/Forms/AllItems.aspx?viewid=0255041c%2D32b4%2D4bba%2Dbdf3%2Dadcde68b747a&amp;newTargetListUrl=%2Fsites%2FFUNDACIONCLUBCAMPESTRE935%2FShared%20Documents&amp;viewpath=%2Fsites%2FFUNDACIONCLUBCAMPESTRE935%2FShared%20Documents%2FForms%2FAllItems%2Easpx&amp;id=%2Fsites%2FFUNDACIONCLUBCAMPESTRE935%2FShared%20Documents%2FGeneral%2FPROGRAMAS%2FBECARIOS%20PARTNER%2FEDUCATIVO%2FMATR%C3%8DCULA%2FFUNDACI%C3%93N%20CLUB%20CAMPESTRE%2FLEGALIZACIONES%2FLEGALIZACI%C3%93N%202026%2D1%2FJoshue%20Llano%20Vargas%2FHorario%2Epdf&amp;parent=%2Fsites%2FFUNDACIONCLUBCAMPESTRE935%2FShared%20Documents%2FGeneral%2FPROGRAMAS%2FBECARIOS%20PARTNER%2FEDUCATIVO%2FMATR%C3%8DCULA%2FFUNDACI%C3%93N%20CLUB%20CAMPESTRE%2FLEGALIZACIONES%2FLEGALIZACI%C3%93N%202026%2D1%2FJoshue%20Llano%20Vargas" TargetMode="External"/><Relationship Id="rId65" Type="http://schemas.openxmlformats.org/officeDocument/2006/relationships/hyperlink" Target="https://fundacionclubcampestre.org/wp-content/uploads/elementor/forms/693c8cca120ad.pdf" TargetMode="External"/><Relationship Id="rId24" Type="http://schemas.openxmlformats.org/officeDocument/2006/relationships/hyperlink" Target="https://fundacionclubcampestre.org/wp-content/uploads/elementor/forms/694c03da09f0a.pdf" TargetMode="External"/><Relationship Id="rId68" Type="http://schemas.openxmlformats.org/officeDocument/2006/relationships/hyperlink" Target="https://fundacionclubcampestre.org/wp-content/uploads/elementor/forms/695bfc1f148bd.pdf" TargetMode="External"/><Relationship Id="rId23" Type="http://schemas.openxmlformats.org/officeDocument/2006/relationships/hyperlink" Target="https://fundacionclubcampestre.org/wp-content/uploads/elementor/forms/696f902acf59d.pdf" TargetMode="External"/><Relationship Id="rId67" Type="http://schemas.openxmlformats.org/officeDocument/2006/relationships/hyperlink" Target="https://fundacionclubcampestre1.sharepoint.com/:b:/s/FUNDACIONCLUBCAMPESTRE935/IQBxsBXEfxRLS657IGzgY5ucAdxGrl-NWy4OJv4vyoSRzl0?e=795AGA" TargetMode="External"/><Relationship Id="rId60" Type="http://schemas.openxmlformats.org/officeDocument/2006/relationships/hyperlink" Target="https://fundacionclubcampestre.org/wp-content/uploads/elementor/forms/695d3a2a22b97.png" TargetMode="External"/><Relationship Id="rId26" Type="http://schemas.openxmlformats.org/officeDocument/2006/relationships/hyperlink" Target="https://fundacionclubcampestre.org/wp-content/uploads/elementor/forms/69a5d33a2c835.pdf" TargetMode="External"/><Relationship Id="rId25" Type="http://schemas.openxmlformats.org/officeDocument/2006/relationships/hyperlink" Target="https://fundacionclubcampestre.org/wp-content/uploads/elementor/forms/693c233b777b2.pdf" TargetMode="External"/><Relationship Id="rId69" Type="http://schemas.openxmlformats.org/officeDocument/2006/relationships/hyperlink" Target="https://fundacionclubcampestre.org/wp-content/uploads/elementor/forms/69838a926bbb4.pdf" TargetMode="External"/><Relationship Id="rId28" Type="http://schemas.openxmlformats.org/officeDocument/2006/relationships/hyperlink" Target="http://../../../:b:/g/personal/laura_restrepo_fundacionclubcampestre_org/IQBx1eH23qskTpQBh8ZV-41aAXqvcT_2QMxBAgbm_u9siq4?e=vMnqOR" TargetMode="External"/><Relationship Id="rId27" Type="http://schemas.openxmlformats.org/officeDocument/2006/relationships/hyperlink" Target="http://../../../:b:/g/personal/laura_restrepo_fundacionclubcampestre_org/IQD0Pr9GDaOcRJR-h4mnte6UAVBdvC2_SXyDdW7bT5asjZw?e=rleU3e" TargetMode="External"/><Relationship Id="rId29" Type="http://schemas.openxmlformats.org/officeDocument/2006/relationships/hyperlink" Target="https://fundacionclubcampestre.org/wp-content/uploads/elementor/forms/694a09a13b6cb.pdf" TargetMode="External"/><Relationship Id="rId51" Type="http://schemas.openxmlformats.org/officeDocument/2006/relationships/hyperlink" Target="https://fundacionclubcampestre.org/wp-content/uploads/elementor/forms/69419af19f3c9.pdf" TargetMode="External"/><Relationship Id="rId50" Type="http://schemas.openxmlformats.org/officeDocument/2006/relationships/hyperlink" Target="https://fundacionclubcampestre.org/wp-content/uploads/elementor/forms/697192cb85ad0.pdf" TargetMode="External"/><Relationship Id="rId53" Type="http://schemas.openxmlformats.org/officeDocument/2006/relationships/hyperlink" Target="https://fundacionclubcampestre.org/wp-content/uploads/elementor/forms/69697655bfc28.pdf" TargetMode="External"/><Relationship Id="rId52" Type="http://schemas.openxmlformats.org/officeDocument/2006/relationships/hyperlink" Target="https://fundacionclubcampestre.org/wp-content/uploads/elementor/forms/6984d51016ae2.pdf" TargetMode="External"/><Relationship Id="rId11" Type="http://schemas.openxmlformats.org/officeDocument/2006/relationships/hyperlink" Target="https://fundacionclubcampestre.org/wp-content/uploads/elementor/forms/69460c87e6b19.png" TargetMode="External"/><Relationship Id="rId55" Type="http://schemas.openxmlformats.org/officeDocument/2006/relationships/hyperlink" Target="https://fundacionclubcampestre.org/wp-content/uploads/elementor/forms/699f64693a084.pdf" TargetMode="External"/><Relationship Id="rId10" Type="http://schemas.openxmlformats.org/officeDocument/2006/relationships/hyperlink" Target="https://fundacionclubcampestre.org/wp-content/uploads/elementor/forms/6983a34d054fa.pdf" TargetMode="External"/><Relationship Id="rId54" Type="http://schemas.openxmlformats.org/officeDocument/2006/relationships/hyperlink" Target="https://fundacionclubcampestre.org/wp-content/uploads/elementor/forms/6989ff8431c99.pdf" TargetMode="External"/><Relationship Id="rId13" Type="http://schemas.openxmlformats.org/officeDocument/2006/relationships/hyperlink" Target="https://fundacionclubcampestre.org/wp-content/uploads/elementor/forms/6983db7675191.pdf" TargetMode="External"/><Relationship Id="rId57" Type="http://schemas.openxmlformats.org/officeDocument/2006/relationships/hyperlink" Target="https://fundacionclubcampestre.org/wp-content/uploads/elementor/forms/697289c519e17.pdf" TargetMode="External"/><Relationship Id="rId12" Type="http://schemas.openxmlformats.org/officeDocument/2006/relationships/hyperlink" Target="https://fundacionclubcampestre.org/wp-content/uploads/elementor/forms/698f8225b040a.png" TargetMode="External"/><Relationship Id="rId56" Type="http://schemas.openxmlformats.org/officeDocument/2006/relationships/hyperlink" Target="https://fundacionclubcampestre.org/wp-content/uploads/elementor/forms/698c750e06547.pdf" TargetMode="External"/><Relationship Id="rId15" Type="http://schemas.openxmlformats.org/officeDocument/2006/relationships/hyperlink" Target="http://../../../:b:/g/personal/laura_restrepo_fundacionclubcampestre_org/IQDjSmbtnGMkRp4De_HoTFrxAdCyT8nGYz1Ze3ZlhWY5flw?e=OeTdi5" TargetMode="External"/><Relationship Id="rId59" Type="http://schemas.openxmlformats.org/officeDocument/2006/relationships/hyperlink" Target="https://fundacionclubcampestre.org/wp-content/uploads/elementor/forms/697001e68b1bf.pdf" TargetMode="External"/><Relationship Id="rId14" Type="http://schemas.openxmlformats.org/officeDocument/2006/relationships/hyperlink" Target="https://fundacionclubcampestre.org/wp-content/uploads/elementor/forms/694b1af347638.pdf" TargetMode="External"/><Relationship Id="rId58" Type="http://schemas.openxmlformats.org/officeDocument/2006/relationships/hyperlink" Target="http://../../../:b:/g/personal/laura_restrepo_fundacionclubcampestre_org/IQB-o0yCMoDQRK1VpGT8rCaEAQIss8-7zh90b6R_vX63WIE?e=dA5neN" TargetMode="External"/><Relationship Id="rId17" Type="http://schemas.openxmlformats.org/officeDocument/2006/relationships/hyperlink" Target="https://fundacionclubcampestre.org/wp-content/uploads/elementor/forms/69933aa5dd97a.pdf" TargetMode="External"/><Relationship Id="rId16" Type="http://schemas.openxmlformats.org/officeDocument/2006/relationships/hyperlink" Target="https://fundacionclubcampestre.org/wp-content/uploads/elementor/forms/6938fb83a0f6a.pdf" TargetMode="External"/><Relationship Id="rId19" Type="http://schemas.openxmlformats.org/officeDocument/2006/relationships/hyperlink" Target="http://../../../:b:/g/personal/laura_restrepo_fundacionclubcampestre_org/IQCuLccAK_9_RLlScddNzjPLASc1PoZY1poDeySA6fATf5A?e=lUWJBP" TargetMode="External"/><Relationship Id="rId18" Type="http://schemas.openxmlformats.org/officeDocument/2006/relationships/hyperlink" Target="https://fundacionclubcampestre.org/wp-content/uploads/elementor/forms/698d5308acc76.jp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88"/>
    <col customWidth="1" min="2" max="2" width="24.25"/>
    <col customWidth="1" min="3" max="3" width="7.88"/>
    <col customWidth="1" min="4" max="4" width="14.0"/>
    <col customWidth="1" min="5" max="5" width="10.5"/>
    <col customWidth="1" min="6" max="8" width="8.88"/>
    <col customWidth="1" min="9" max="9" width="9.13"/>
    <col customWidth="1" min="10" max="13" width="8.88"/>
    <col customWidth="1" min="14" max="14" width="8.25"/>
    <col customWidth="1" hidden="1" min="15" max="20" width="8.63"/>
    <col customWidth="1" hidden="1" min="21" max="21" width="8.25"/>
    <col customWidth="1" hidden="1" min="22" max="46" width="7.88"/>
    <col customWidth="1" min="47" max="66" width="7.88"/>
  </cols>
  <sheetData>
    <row r="1" ht="16.5" customHeight="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3"/>
      <c r="AG1" s="11"/>
      <c r="AH1" s="11"/>
      <c r="AI1" s="13"/>
      <c r="AJ1" s="11"/>
      <c r="AK1" s="13"/>
      <c r="AL1" s="13"/>
      <c r="AM1" s="11"/>
      <c r="AN1" s="13"/>
      <c r="AO1" s="11"/>
      <c r="AP1" s="13"/>
      <c r="AQ1" s="13"/>
      <c r="AR1" s="11"/>
      <c r="AS1" s="13"/>
      <c r="AT1" s="13"/>
      <c r="AU1" s="11"/>
      <c r="AV1" s="13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</row>
    <row r="2" ht="16.5" customHeight="1">
      <c r="A2" s="21" t="s">
        <v>53</v>
      </c>
      <c r="B2" s="23" t="s">
        <v>54</v>
      </c>
      <c r="C2" s="4" t="s">
        <v>0</v>
      </c>
      <c r="D2" s="5" t="s">
        <v>55</v>
      </c>
      <c r="E2" s="6" t="s">
        <v>2</v>
      </c>
      <c r="F2" s="8" t="s">
        <v>3</v>
      </c>
      <c r="G2" s="6" t="s">
        <v>27</v>
      </c>
      <c r="H2" s="8" t="s">
        <v>28</v>
      </c>
      <c r="I2" s="6" t="s">
        <v>29</v>
      </c>
      <c r="J2" s="8" t="s">
        <v>30</v>
      </c>
      <c r="K2" s="6" t="s">
        <v>31</v>
      </c>
      <c r="L2" s="8" t="s">
        <v>32</v>
      </c>
      <c r="M2" s="6" t="s">
        <v>33</v>
      </c>
      <c r="N2" s="8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6" t="s">
        <v>47</v>
      </c>
      <c r="AB2" s="6" t="s">
        <v>12</v>
      </c>
      <c r="AC2" s="6" t="s">
        <v>13</v>
      </c>
      <c r="AD2" s="6" t="s">
        <v>14</v>
      </c>
      <c r="AE2" s="6" t="s">
        <v>15</v>
      </c>
      <c r="AF2" s="9">
        <v>46187.0</v>
      </c>
      <c r="AG2" s="6" t="s">
        <v>16</v>
      </c>
      <c r="AH2" s="6" t="s">
        <v>17</v>
      </c>
      <c r="AI2" s="9">
        <v>46194.0</v>
      </c>
      <c r="AJ2" s="6" t="s">
        <v>18</v>
      </c>
      <c r="AK2" s="9">
        <v>46201.0</v>
      </c>
      <c r="AL2" s="9">
        <v>46202.0</v>
      </c>
      <c r="AM2" s="6" t="s">
        <v>20</v>
      </c>
      <c r="AN2" s="9">
        <v>46208.0</v>
      </c>
      <c r="AO2" s="6" t="s">
        <v>21</v>
      </c>
      <c r="AP2" s="9">
        <v>46215.0</v>
      </c>
      <c r="AQ2" s="9">
        <v>46216.0</v>
      </c>
      <c r="AR2" s="6" t="s">
        <v>22</v>
      </c>
      <c r="AS2" s="9">
        <v>46222.0</v>
      </c>
      <c r="AT2" s="9">
        <v>46223.0</v>
      </c>
      <c r="AU2" s="6" t="s">
        <v>89</v>
      </c>
      <c r="AV2" s="9">
        <v>46229.0</v>
      </c>
      <c r="AW2" s="6" t="s">
        <v>91</v>
      </c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ht="16.5" customHeight="1">
      <c r="A3" s="14" t="s">
        <v>93</v>
      </c>
      <c r="B3" s="15" t="s">
        <v>48</v>
      </c>
      <c r="C3" s="16">
        <v>1.033178035E9</v>
      </c>
      <c r="D3" s="17" t="s">
        <v>49</v>
      </c>
      <c r="E3" s="18" t="s">
        <v>50</v>
      </c>
      <c r="F3" s="19" t="s">
        <v>51</v>
      </c>
      <c r="G3" s="20" t="s">
        <v>52</v>
      </c>
      <c r="H3" s="22"/>
      <c r="I3" s="17" t="s">
        <v>51</v>
      </c>
      <c r="J3" s="22"/>
      <c r="K3" s="19" t="s">
        <v>51</v>
      </c>
      <c r="L3" s="22"/>
      <c r="M3" s="22"/>
      <c r="N3" s="22"/>
      <c r="O3" s="18" t="s">
        <v>50</v>
      </c>
      <c r="P3" s="18" t="s">
        <v>50</v>
      </c>
      <c r="Q3" s="19" t="s">
        <v>51</v>
      </c>
      <c r="R3" s="19" t="s">
        <v>51</v>
      </c>
      <c r="S3" s="18" t="s">
        <v>50</v>
      </c>
      <c r="T3" s="18" t="s">
        <v>50</v>
      </c>
      <c r="U3" s="18" t="s">
        <v>50</v>
      </c>
      <c r="V3" s="18" t="s">
        <v>50</v>
      </c>
      <c r="W3" s="18" t="s">
        <v>50</v>
      </c>
      <c r="X3" s="18" t="s">
        <v>52</v>
      </c>
      <c r="Y3" s="18" t="s">
        <v>52</v>
      </c>
      <c r="Z3" s="18" t="s">
        <v>52</v>
      </c>
      <c r="AA3" s="18" t="s">
        <v>50</v>
      </c>
      <c r="AB3" s="18" t="s">
        <v>50</v>
      </c>
      <c r="AC3" s="18" t="s">
        <v>50</v>
      </c>
      <c r="AD3" s="18" t="s">
        <v>51</v>
      </c>
      <c r="AE3" s="18" t="s">
        <v>50</v>
      </c>
      <c r="AF3" s="18" t="s">
        <v>50</v>
      </c>
      <c r="AG3" s="18" t="s">
        <v>50</v>
      </c>
      <c r="AH3" s="18" t="s">
        <v>51</v>
      </c>
      <c r="AI3" s="18" t="s">
        <v>51</v>
      </c>
      <c r="AJ3" s="18" t="s">
        <v>50</v>
      </c>
      <c r="AK3" s="18" t="s">
        <v>50</v>
      </c>
      <c r="AL3" s="18" t="s">
        <v>50</v>
      </c>
      <c r="AM3" s="17" t="s">
        <v>51</v>
      </c>
      <c r="AN3" s="17" t="s">
        <v>51</v>
      </c>
      <c r="AO3" s="17" t="s">
        <v>50</v>
      </c>
      <c r="AP3" s="17" t="s">
        <v>50</v>
      </c>
      <c r="AQ3" s="17" t="s">
        <v>51</v>
      </c>
      <c r="AR3" s="17" t="s">
        <v>52</v>
      </c>
      <c r="AS3" s="17" t="s">
        <v>52</v>
      </c>
      <c r="AT3" s="17" t="s">
        <v>50</v>
      </c>
      <c r="AU3" s="17" t="s">
        <v>50</v>
      </c>
      <c r="AV3" s="17" t="s">
        <v>50</v>
      </c>
      <c r="AW3" s="17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</row>
    <row r="4" ht="16.5" customHeight="1">
      <c r="A4" s="14" t="s">
        <v>101</v>
      </c>
      <c r="B4" s="15" t="s">
        <v>88</v>
      </c>
      <c r="C4" s="25">
        <v>1.042764028E9</v>
      </c>
      <c r="D4" s="26" t="s">
        <v>90</v>
      </c>
      <c r="E4" s="22"/>
      <c r="F4" s="22"/>
      <c r="G4" s="22"/>
      <c r="H4" s="22"/>
      <c r="I4" s="20" t="s">
        <v>52</v>
      </c>
      <c r="J4" s="18" t="s">
        <v>52</v>
      </c>
      <c r="K4" s="22"/>
      <c r="L4" s="22"/>
      <c r="M4" s="22"/>
      <c r="N4" s="22"/>
      <c r="O4" s="27" t="s">
        <v>100</v>
      </c>
      <c r="P4" s="27" t="s">
        <v>92</v>
      </c>
      <c r="Q4" s="27" t="s">
        <v>100</v>
      </c>
      <c r="R4" s="27" t="s">
        <v>92</v>
      </c>
      <c r="S4" s="27" t="s">
        <v>100</v>
      </c>
      <c r="T4" s="27" t="s">
        <v>92</v>
      </c>
      <c r="U4" s="27" t="s">
        <v>100</v>
      </c>
      <c r="V4" s="27" t="s">
        <v>92</v>
      </c>
      <c r="W4" s="18" t="s">
        <v>52</v>
      </c>
      <c r="X4" s="27" t="s">
        <v>92</v>
      </c>
      <c r="Y4" s="27" t="s">
        <v>92</v>
      </c>
      <c r="Z4" s="27" t="s">
        <v>92</v>
      </c>
      <c r="AA4" s="27" t="s">
        <v>92</v>
      </c>
      <c r="AB4" s="27" t="s">
        <v>92</v>
      </c>
      <c r="AC4" s="27" t="s">
        <v>92</v>
      </c>
      <c r="AD4" s="27" t="s">
        <v>92</v>
      </c>
      <c r="AE4" s="27" t="s">
        <v>92</v>
      </c>
      <c r="AF4" s="27" t="s">
        <v>92</v>
      </c>
      <c r="AG4" s="27" t="s">
        <v>92</v>
      </c>
      <c r="AH4" s="27" t="s">
        <v>92</v>
      </c>
      <c r="AI4" s="27" t="s">
        <v>92</v>
      </c>
      <c r="AJ4" s="27" t="s">
        <v>92</v>
      </c>
      <c r="AK4" s="18" t="s">
        <v>50</v>
      </c>
      <c r="AL4" s="18" t="s">
        <v>50</v>
      </c>
      <c r="AM4" s="27" t="s">
        <v>92</v>
      </c>
      <c r="AN4" s="27" t="s">
        <v>92</v>
      </c>
      <c r="AO4" s="17" t="s">
        <v>50</v>
      </c>
      <c r="AP4" s="17" t="s">
        <v>50</v>
      </c>
      <c r="AQ4" s="17" t="s">
        <v>50</v>
      </c>
      <c r="AR4" s="27" t="s">
        <v>92</v>
      </c>
      <c r="AS4" s="27" t="s">
        <v>92</v>
      </c>
      <c r="AT4" s="17" t="s">
        <v>50</v>
      </c>
      <c r="AU4" s="17" t="s">
        <v>50</v>
      </c>
      <c r="AV4" s="17" t="s">
        <v>50</v>
      </c>
      <c r="AW4" s="17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</row>
    <row r="5" ht="16.5" customHeight="1">
      <c r="A5" s="30" t="s">
        <v>107</v>
      </c>
      <c r="B5" s="18" t="s">
        <v>95</v>
      </c>
      <c r="C5" s="32">
        <v>1.01139621E9</v>
      </c>
      <c r="D5" s="18" t="s">
        <v>49</v>
      </c>
      <c r="E5" s="19" t="s">
        <v>111</v>
      </c>
      <c r="F5" s="17" t="s">
        <v>111</v>
      </c>
      <c r="G5" s="17" t="s">
        <v>111</v>
      </c>
      <c r="H5" s="17" t="s">
        <v>111</v>
      </c>
      <c r="I5" s="19" t="s">
        <v>112</v>
      </c>
      <c r="J5" s="17" t="s">
        <v>111</v>
      </c>
      <c r="K5" s="17" t="s">
        <v>51</v>
      </c>
      <c r="L5" s="17" t="s">
        <v>111</v>
      </c>
      <c r="M5" s="17" t="s">
        <v>111</v>
      </c>
      <c r="N5" s="17" t="s">
        <v>111</v>
      </c>
      <c r="O5" s="18" t="s">
        <v>50</v>
      </c>
      <c r="P5" s="18" t="s">
        <v>50</v>
      </c>
      <c r="Q5" s="19" t="s">
        <v>51</v>
      </c>
      <c r="R5" s="19" t="s">
        <v>51</v>
      </c>
      <c r="S5" s="18" t="s">
        <v>50</v>
      </c>
      <c r="T5" s="18" t="s">
        <v>50</v>
      </c>
      <c r="U5" s="18" t="s">
        <v>50</v>
      </c>
      <c r="V5" s="18" t="s">
        <v>50</v>
      </c>
      <c r="W5" s="18" t="s">
        <v>50</v>
      </c>
      <c r="X5" s="18" t="s">
        <v>51</v>
      </c>
      <c r="Y5" s="18" t="s">
        <v>51</v>
      </c>
      <c r="Z5" s="18" t="s">
        <v>50</v>
      </c>
      <c r="AA5" s="18" t="s">
        <v>50</v>
      </c>
      <c r="AB5" s="18" t="s">
        <v>50</v>
      </c>
      <c r="AC5" s="18" t="s">
        <v>50</v>
      </c>
      <c r="AD5" s="18" t="s">
        <v>51</v>
      </c>
      <c r="AE5" s="18" t="s">
        <v>51</v>
      </c>
      <c r="AF5" s="18" t="s">
        <v>50</v>
      </c>
      <c r="AG5" s="18" t="s">
        <v>50</v>
      </c>
      <c r="AH5" s="18" t="s">
        <v>50</v>
      </c>
      <c r="AI5" s="18" t="s">
        <v>50</v>
      </c>
      <c r="AJ5" s="18" t="s">
        <v>50</v>
      </c>
      <c r="AK5" s="18" t="s">
        <v>50</v>
      </c>
      <c r="AL5" s="18" t="s">
        <v>50</v>
      </c>
      <c r="AM5" s="17" t="s">
        <v>51</v>
      </c>
      <c r="AN5" s="17" t="s">
        <v>51</v>
      </c>
      <c r="AO5" s="17" t="s">
        <v>50</v>
      </c>
      <c r="AP5" s="17" t="s">
        <v>50</v>
      </c>
      <c r="AQ5" s="17" t="s">
        <v>51</v>
      </c>
      <c r="AR5" s="17" t="s">
        <v>51</v>
      </c>
      <c r="AS5" s="17" t="s">
        <v>51</v>
      </c>
      <c r="AT5" s="17" t="s">
        <v>50</v>
      </c>
      <c r="AU5" s="17" t="s">
        <v>50</v>
      </c>
      <c r="AV5" s="17" t="s">
        <v>50</v>
      </c>
      <c r="AW5" s="17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</row>
    <row r="6" ht="16.5" customHeight="1">
      <c r="A6" s="14" t="s">
        <v>115</v>
      </c>
      <c r="B6" s="15" t="s">
        <v>97</v>
      </c>
      <c r="C6" s="25">
        <v>1.001577545E9</v>
      </c>
      <c r="D6" s="26" t="s">
        <v>98</v>
      </c>
      <c r="E6" s="18" t="s">
        <v>50</v>
      </c>
      <c r="F6" s="18" t="s">
        <v>50</v>
      </c>
      <c r="G6" s="22"/>
      <c r="H6" s="20" t="s">
        <v>99</v>
      </c>
      <c r="I6" s="22"/>
      <c r="J6" s="18" t="s">
        <v>50</v>
      </c>
      <c r="K6" s="22"/>
      <c r="L6" s="20" t="s">
        <v>52</v>
      </c>
      <c r="M6" s="22"/>
      <c r="N6" s="22"/>
      <c r="O6" s="27" t="s">
        <v>100</v>
      </c>
      <c r="P6" s="20" t="s">
        <v>52</v>
      </c>
      <c r="Q6" s="27" t="s">
        <v>100</v>
      </c>
      <c r="R6" s="18" t="s">
        <v>50</v>
      </c>
      <c r="S6" s="27" t="s">
        <v>100</v>
      </c>
      <c r="T6" s="18" t="s">
        <v>50</v>
      </c>
      <c r="U6" s="27" t="s">
        <v>100</v>
      </c>
      <c r="V6" s="18" t="s">
        <v>50</v>
      </c>
      <c r="W6" s="18" t="s">
        <v>52</v>
      </c>
      <c r="X6" s="18" t="s">
        <v>52</v>
      </c>
      <c r="Y6" s="18" t="s">
        <v>52</v>
      </c>
      <c r="Z6" s="27" t="s">
        <v>100</v>
      </c>
      <c r="AA6" s="18" t="s">
        <v>50</v>
      </c>
      <c r="AB6" s="27" t="s">
        <v>100</v>
      </c>
      <c r="AC6" s="18" t="s">
        <v>50</v>
      </c>
      <c r="AD6" s="27" t="s">
        <v>100</v>
      </c>
      <c r="AE6" s="18" t="s">
        <v>52</v>
      </c>
      <c r="AF6" s="27" t="s">
        <v>50</v>
      </c>
      <c r="AG6" s="18" t="s">
        <v>50</v>
      </c>
      <c r="AH6" s="27" t="s">
        <v>100</v>
      </c>
      <c r="AI6" s="18" t="s">
        <v>50</v>
      </c>
      <c r="AJ6" s="27" t="s">
        <v>100</v>
      </c>
      <c r="AK6" s="18" t="s">
        <v>50</v>
      </c>
      <c r="AL6" s="18" t="s">
        <v>50</v>
      </c>
      <c r="AM6" s="17" t="s">
        <v>52</v>
      </c>
      <c r="AN6" s="17" t="s">
        <v>52</v>
      </c>
      <c r="AO6" s="17" t="s">
        <v>50</v>
      </c>
      <c r="AP6" s="17" t="s">
        <v>50</v>
      </c>
      <c r="AQ6" s="17" t="s">
        <v>50</v>
      </c>
      <c r="AR6" s="17" t="s">
        <v>52</v>
      </c>
      <c r="AS6" s="17" t="s">
        <v>52</v>
      </c>
      <c r="AT6" s="17" t="s">
        <v>50</v>
      </c>
      <c r="AU6" s="17" t="s">
        <v>50</v>
      </c>
      <c r="AV6" s="17" t="s">
        <v>50</v>
      </c>
      <c r="AW6" s="17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</row>
    <row r="7" ht="16.5" customHeight="1">
      <c r="A7" s="14" t="s">
        <v>122</v>
      </c>
      <c r="B7" s="15" t="s">
        <v>103</v>
      </c>
      <c r="C7" s="16">
        <v>1.015070695E9</v>
      </c>
      <c r="D7" s="17" t="s">
        <v>104</v>
      </c>
      <c r="E7" s="18" t="s">
        <v>50</v>
      </c>
      <c r="F7" s="22"/>
      <c r="G7" s="19" t="s">
        <v>51</v>
      </c>
      <c r="H7" s="22"/>
      <c r="I7" s="20" t="s">
        <v>52</v>
      </c>
      <c r="J7" s="22"/>
      <c r="K7" s="20" t="s">
        <v>52</v>
      </c>
      <c r="L7" s="22"/>
      <c r="M7" s="22"/>
      <c r="N7" s="22"/>
      <c r="O7" s="19" t="s">
        <v>51</v>
      </c>
      <c r="P7" s="18" t="s">
        <v>50</v>
      </c>
      <c r="Q7" s="20" t="s">
        <v>99</v>
      </c>
      <c r="R7" s="18" t="s">
        <v>50</v>
      </c>
      <c r="S7" s="18" t="s">
        <v>50</v>
      </c>
      <c r="T7" s="18" t="s">
        <v>50</v>
      </c>
      <c r="U7" s="18" t="s">
        <v>99</v>
      </c>
      <c r="V7" s="18" t="s">
        <v>99</v>
      </c>
      <c r="W7" s="18" t="s">
        <v>52</v>
      </c>
      <c r="X7" s="18" t="s">
        <v>52</v>
      </c>
      <c r="Y7" s="18" t="s">
        <v>52</v>
      </c>
      <c r="Z7" s="18" t="s">
        <v>52</v>
      </c>
      <c r="AA7" s="18" t="s">
        <v>52</v>
      </c>
      <c r="AB7" s="18" t="s">
        <v>50</v>
      </c>
      <c r="AC7" s="18" t="s">
        <v>99</v>
      </c>
      <c r="AD7" s="18" t="s">
        <v>51</v>
      </c>
      <c r="AE7" s="18" t="s">
        <v>50</v>
      </c>
      <c r="AF7" s="18" t="s">
        <v>50</v>
      </c>
      <c r="AG7" s="18" t="s">
        <v>50</v>
      </c>
      <c r="AH7" s="18" t="s">
        <v>52</v>
      </c>
      <c r="AI7" s="18" t="s">
        <v>52</v>
      </c>
      <c r="AJ7" s="18" t="s">
        <v>50</v>
      </c>
      <c r="AK7" s="18" t="s">
        <v>50</v>
      </c>
      <c r="AL7" s="18" t="s">
        <v>50</v>
      </c>
      <c r="AM7" s="17" t="s">
        <v>52</v>
      </c>
      <c r="AN7" s="17" t="s">
        <v>52</v>
      </c>
      <c r="AO7" s="17" t="s">
        <v>50</v>
      </c>
      <c r="AP7" s="17" t="s">
        <v>50</v>
      </c>
      <c r="AQ7" s="17" t="s">
        <v>50</v>
      </c>
      <c r="AR7" s="17" t="s">
        <v>52</v>
      </c>
      <c r="AS7" s="17" t="s">
        <v>52</v>
      </c>
      <c r="AT7" s="17" t="s">
        <v>50</v>
      </c>
      <c r="AU7" s="17" t="s">
        <v>50</v>
      </c>
      <c r="AV7" s="17" t="s">
        <v>50</v>
      </c>
      <c r="AW7" s="17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</row>
    <row r="8" ht="16.5" customHeight="1">
      <c r="A8" s="14" t="s">
        <v>130</v>
      </c>
      <c r="B8" s="15" t="s">
        <v>108</v>
      </c>
      <c r="C8" s="16">
        <v>1.036254137E9</v>
      </c>
      <c r="D8" s="17" t="s">
        <v>49</v>
      </c>
      <c r="E8" s="18" t="s">
        <v>132</v>
      </c>
      <c r="F8" s="22"/>
      <c r="G8" s="19" t="s">
        <v>51</v>
      </c>
      <c r="H8" s="22"/>
      <c r="I8" s="18" t="s">
        <v>50</v>
      </c>
      <c r="J8" s="22"/>
      <c r="K8" s="20" t="s">
        <v>52</v>
      </c>
      <c r="L8" s="22"/>
      <c r="M8" s="19" t="s">
        <v>51</v>
      </c>
      <c r="N8" s="22"/>
      <c r="O8" s="27" t="s">
        <v>100</v>
      </c>
      <c r="P8" s="20" t="s">
        <v>52</v>
      </c>
      <c r="Q8" s="27" t="s">
        <v>100</v>
      </c>
      <c r="R8" s="18" t="s">
        <v>50</v>
      </c>
      <c r="S8" s="27" t="s">
        <v>100</v>
      </c>
      <c r="T8" s="18" t="s">
        <v>50</v>
      </c>
      <c r="U8" s="27" t="s">
        <v>100</v>
      </c>
      <c r="V8" s="18" t="s">
        <v>50</v>
      </c>
      <c r="W8" s="18" t="s">
        <v>50</v>
      </c>
      <c r="X8" s="18" t="s">
        <v>51</v>
      </c>
      <c r="Y8" s="18" t="s">
        <v>50</v>
      </c>
      <c r="Z8" s="27" t="s">
        <v>100</v>
      </c>
      <c r="AA8" s="18" t="s">
        <v>50</v>
      </c>
      <c r="AB8" s="27" t="s">
        <v>100</v>
      </c>
      <c r="AC8" s="18" t="s">
        <v>50</v>
      </c>
      <c r="AD8" s="27" t="s">
        <v>100</v>
      </c>
      <c r="AE8" s="18" t="s">
        <v>52</v>
      </c>
      <c r="AF8" s="18" t="s">
        <v>50</v>
      </c>
      <c r="AG8" s="18" t="s">
        <v>52</v>
      </c>
      <c r="AH8" s="27" t="s">
        <v>100</v>
      </c>
      <c r="AI8" s="18" t="s">
        <v>50</v>
      </c>
      <c r="AJ8" s="27" t="s">
        <v>100</v>
      </c>
      <c r="AK8" s="18" t="s">
        <v>50</v>
      </c>
      <c r="AL8" s="18" t="s">
        <v>50</v>
      </c>
      <c r="AM8" s="17" t="s">
        <v>52</v>
      </c>
      <c r="AN8" s="17" t="s">
        <v>52</v>
      </c>
      <c r="AO8" s="17" t="s">
        <v>50</v>
      </c>
      <c r="AP8" s="17" t="s">
        <v>50</v>
      </c>
      <c r="AQ8" s="17" t="s">
        <v>50</v>
      </c>
      <c r="AR8" s="17" t="s">
        <v>52</v>
      </c>
      <c r="AS8" s="17" t="s">
        <v>52</v>
      </c>
      <c r="AT8" s="17" t="s">
        <v>50</v>
      </c>
      <c r="AU8" s="17" t="s">
        <v>50</v>
      </c>
      <c r="AV8" s="17" t="s">
        <v>50</v>
      </c>
      <c r="AW8" s="17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</row>
    <row r="9" ht="16.5" customHeight="1">
      <c r="A9" s="33" t="s">
        <v>135</v>
      </c>
      <c r="B9" s="15" t="s">
        <v>113</v>
      </c>
      <c r="C9" s="25">
        <v>1.025652667E9</v>
      </c>
      <c r="D9" s="17" t="s">
        <v>49</v>
      </c>
      <c r="E9" s="18" t="s">
        <v>114</v>
      </c>
      <c r="F9" s="22"/>
      <c r="G9" s="22"/>
      <c r="H9" s="34" t="s">
        <v>51</v>
      </c>
      <c r="I9" s="22"/>
      <c r="J9" s="19" t="s">
        <v>51</v>
      </c>
      <c r="K9" s="22"/>
      <c r="L9" s="17" t="s">
        <v>51</v>
      </c>
      <c r="M9" s="17" t="s">
        <v>51</v>
      </c>
      <c r="N9" s="18" t="s">
        <v>52</v>
      </c>
      <c r="O9" s="35" t="s">
        <v>111</v>
      </c>
      <c r="P9" s="18" t="s">
        <v>50</v>
      </c>
      <c r="Q9" s="35" t="s">
        <v>111</v>
      </c>
      <c r="R9" s="18" t="s">
        <v>50</v>
      </c>
      <c r="S9" s="35" t="s">
        <v>111</v>
      </c>
      <c r="T9" s="18" t="s">
        <v>50</v>
      </c>
      <c r="U9" s="35" t="s">
        <v>111</v>
      </c>
      <c r="V9" s="18" t="s">
        <v>50</v>
      </c>
      <c r="W9" s="18" t="s">
        <v>50</v>
      </c>
      <c r="X9" s="35" t="s">
        <v>111</v>
      </c>
      <c r="Y9" s="18" t="s">
        <v>50</v>
      </c>
      <c r="Z9" s="35" t="s">
        <v>111</v>
      </c>
      <c r="AA9" s="18" t="s">
        <v>50</v>
      </c>
      <c r="AB9" s="35" t="s">
        <v>111</v>
      </c>
      <c r="AC9" s="18" t="s">
        <v>50</v>
      </c>
      <c r="AD9" s="18" t="s">
        <v>50</v>
      </c>
      <c r="AE9" s="35" t="s">
        <v>111</v>
      </c>
      <c r="AF9" s="18" t="s">
        <v>50</v>
      </c>
      <c r="AG9" s="18" t="s">
        <v>50</v>
      </c>
      <c r="AH9" s="18" t="s">
        <v>51</v>
      </c>
      <c r="AI9" s="18" t="s">
        <v>51</v>
      </c>
      <c r="AJ9" s="18" t="s">
        <v>50</v>
      </c>
      <c r="AK9" s="18" t="s">
        <v>50</v>
      </c>
      <c r="AL9" s="18" t="s">
        <v>52</v>
      </c>
      <c r="AM9" s="17" t="s">
        <v>50</v>
      </c>
      <c r="AN9" s="17" t="s">
        <v>50</v>
      </c>
      <c r="AO9" s="17" t="s">
        <v>52</v>
      </c>
      <c r="AP9" s="17" t="s">
        <v>52</v>
      </c>
      <c r="AQ9" s="17" t="s">
        <v>50</v>
      </c>
      <c r="AR9" s="17" t="s">
        <v>50</v>
      </c>
      <c r="AS9" s="17" t="s">
        <v>50</v>
      </c>
      <c r="AT9" s="17" t="s">
        <v>52</v>
      </c>
      <c r="AU9" s="17" t="s">
        <v>50</v>
      </c>
      <c r="AV9" s="17" t="s">
        <v>50</v>
      </c>
      <c r="AW9" s="17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</row>
    <row r="10" ht="16.5" customHeight="1">
      <c r="A10" s="14" t="s">
        <v>140</v>
      </c>
      <c r="B10" s="15" t="s">
        <v>117</v>
      </c>
      <c r="C10" s="25">
        <v>1.036451813E9</v>
      </c>
      <c r="D10" s="17" t="s">
        <v>118</v>
      </c>
      <c r="E10" s="19" t="s">
        <v>51</v>
      </c>
      <c r="F10" s="17" t="s">
        <v>119</v>
      </c>
      <c r="G10" s="18" t="s">
        <v>50</v>
      </c>
      <c r="H10" s="17" t="s">
        <v>119</v>
      </c>
      <c r="I10" s="19" t="s">
        <v>51</v>
      </c>
      <c r="J10" s="18" t="s">
        <v>50</v>
      </c>
      <c r="K10" s="19" t="s">
        <v>51</v>
      </c>
      <c r="L10" s="18" t="s">
        <v>50</v>
      </c>
      <c r="M10" s="19" t="s">
        <v>144</v>
      </c>
      <c r="N10" s="22"/>
      <c r="O10" s="35" t="s">
        <v>111</v>
      </c>
      <c r="P10" s="19" t="s">
        <v>51</v>
      </c>
      <c r="Q10" s="35" t="s">
        <v>111</v>
      </c>
      <c r="R10" s="18" t="s">
        <v>50</v>
      </c>
      <c r="S10" s="35" t="s">
        <v>111</v>
      </c>
      <c r="T10" s="18" t="s">
        <v>50</v>
      </c>
      <c r="U10" s="35" t="s">
        <v>111</v>
      </c>
      <c r="V10" s="18" t="s">
        <v>50</v>
      </c>
      <c r="W10" s="18" t="s">
        <v>50</v>
      </c>
      <c r="X10" s="35" t="s">
        <v>111</v>
      </c>
      <c r="Y10" s="18" t="s">
        <v>50</v>
      </c>
      <c r="Z10" s="35" t="s">
        <v>111</v>
      </c>
      <c r="AA10" s="18" t="s">
        <v>50</v>
      </c>
      <c r="AB10" s="35" t="s">
        <v>111</v>
      </c>
      <c r="AC10" s="18" t="s">
        <v>50</v>
      </c>
      <c r="AD10" s="18" t="s">
        <v>50</v>
      </c>
      <c r="AE10" s="35" t="s">
        <v>111</v>
      </c>
      <c r="AF10" s="18" t="s">
        <v>50</v>
      </c>
      <c r="AG10" s="18" t="s">
        <v>50</v>
      </c>
      <c r="AH10" s="18" t="s">
        <v>51</v>
      </c>
      <c r="AI10" s="18" t="s">
        <v>51</v>
      </c>
      <c r="AJ10" s="18" t="s">
        <v>50</v>
      </c>
      <c r="AK10" s="18" t="s">
        <v>50</v>
      </c>
      <c r="AL10" s="18" t="s">
        <v>51</v>
      </c>
      <c r="AM10" s="17" t="s">
        <v>50</v>
      </c>
      <c r="AN10" s="17" t="s">
        <v>50</v>
      </c>
      <c r="AO10" s="17" t="s">
        <v>50</v>
      </c>
      <c r="AP10" s="17" t="s">
        <v>50</v>
      </c>
      <c r="AQ10" s="17" t="s">
        <v>50</v>
      </c>
      <c r="AR10" s="17" t="s">
        <v>51</v>
      </c>
      <c r="AS10" s="17" t="s">
        <v>51</v>
      </c>
      <c r="AT10" s="17" t="s">
        <v>50</v>
      </c>
      <c r="AU10" s="17" t="s">
        <v>50</v>
      </c>
      <c r="AV10" s="17" t="s">
        <v>50</v>
      </c>
      <c r="AW10" s="17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</row>
    <row r="11" ht="16.5" customHeight="1">
      <c r="A11" s="14" t="s">
        <v>147</v>
      </c>
      <c r="B11" s="15" t="s">
        <v>123</v>
      </c>
      <c r="C11" s="25">
        <v>1.038869807E9</v>
      </c>
      <c r="D11" s="17" t="s">
        <v>124</v>
      </c>
      <c r="E11" s="22"/>
      <c r="F11" s="22"/>
      <c r="G11" s="22"/>
      <c r="H11" s="22"/>
      <c r="I11" s="22"/>
      <c r="J11" s="22"/>
      <c r="K11" s="17"/>
      <c r="L11" s="22"/>
      <c r="M11" s="22"/>
      <c r="N11" s="22"/>
      <c r="O11" s="36" t="s">
        <v>125</v>
      </c>
      <c r="P11" s="36" t="s">
        <v>125</v>
      </c>
      <c r="Q11" s="36" t="s">
        <v>125</v>
      </c>
      <c r="R11" s="36" t="s">
        <v>125</v>
      </c>
      <c r="S11" s="36" t="s">
        <v>125</v>
      </c>
      <c r="T11" s="36" t="s">
        <v>125</v>
      </c>
      <c r="U11" s="36" t="s">
        <v>125</v>
      </c>
      <c r="V11" s="36" t="s">
        <v>125</v>
      </c>
      <c r="W11" s="18" t="s">
        <v>50</v>
      </c>
      <c r="X11" s="36" t="s">
        <v>125</v>
      </c>
      <c r="Y11" s="36" t="s">
        <v>125</v>
      </c>
      <c r="Z11" s="36" t="s">
        <v>125</v>
      </c>
      <c r="AA11" s="36" t="s">
        <v>125</v>
      </c>
      <c r="AB11" s="36" t="s">
        <v>125</v>
      </c>
      <c r="AC11" s="36" t="s">
        <v>125</v>
      </c>
      <c r="AD11" s="36" t="s">
        <v>125</v>
      </c>
      <c r="AE11" s="36" t="s">
        <v>125</v>
      </c>
      <c r="AF11" s="36" t="s">
        <v>125</v>
      </c>
      <c r="AG11" s="18" t="s">
        <v>50</v>
      </c>
      <c r="AH11" s="36" t="s">
        <v>125</v>
      </c>
      <c r="AI11" s="36" t="s">
        <v>125</v>
      </c>
      <c r="AJ11" s="36" t="s">
        <v>125</v>
      </c>
      <c r="AK11" s="36" t="s">
        <v>125</v>
      </c>
      <c r="AL11" s="18" t="s">
        <v>50</v>
      </c>
      <c r="AM11" s="36" t="s">
        <v>125</v>
      </c>
      <c r="AN11" s="36" t="s">
        <v>125</v>
      </c>
      <c r="AO11" s="17" t="s">
        <v>50</v>
      </c>
      <c r="AP11" s="17" t="s">
        <v>50</v>
      </c>
      <c r="AQ11" s="17" t="s">
        <v>50</v>
      </c>
      <c r="AR11" s="36" t="s">
        <v>125</v>
      </c>
      <c r="AS11" s="36" t="s">
        <v>125</v>
      </c>
      <c r="AT11" s="17" t="s">
        <v>50</v>
      </c>
      <c r="AU11" s="17" t="s">
        <v>50</v>
      </c>
      <c r="AV11" s="17" t="s">
        <v>50</v>
      </c>
      <c r="AW11" s="17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</row>
    <row r="12" ht="16.5" customHeight="1">
      <c r="A12" s="14" t="s">
        <v>153</v>
      </c>
      <c r="B12" s="15" t="s">
        <v>129</v>
      </c>
      <c r="C12" s="25">
        <v>1.036519137E9</v>
      </c>
      <c r="D12" s="17" t="s">
        <v>124</v>
      </c>
      <c r="E12" s="22"/>
      <c r="F12" s="38" t="s">
        <v>50</v>
      </c>
      <c r="G12" s="38" t="s">
        <v>51</v>
      </c>
      <c r="H12" s="38" t="s">
        <v>50</v>
      </c>
      <c r="I12" s="22"/>
      <c r="J12" s="22"/>
      <c r="K12" s="22"/>
      <c r="L12" s="19" t="s">
        <v>50</v>
      </c>
      <c r="M12" s="22"/>
      <c r="N12" s="18" t="s">
        <v>52</v>
      </c>
      <c r="O12" s="36" t="s">
        <v>125</v>
      </c>
      <c r="P12" s="36" t="s">
        <v>125</v>
      </c>
      <c r="Q12" s="36" t="s">
        <v>125</v>
      </c>
      <c r="R12" s="36" t="s">
        <v>125</v>
      </c>
      <c r="S12" s="36" t="s">
        <v>125</v>
      </c>
      <c r="T12" s="36" t="s">
        <v>125</v>
      </c>
      <c r="U12" s="36" t="s">
        <v>125</v>
      </c>
      <c r="V12" s="36" t="s">
        <v>125</v>
      </c>
      <c r="W12" s="18" t="s">
        <v>50</v>
      </c>
      <c r="X12" s="36" t="s">
        <v>125</v>
      </c>
      <c r="Y12" s="36" t="s">
        <v>125</v>
      </c>
      <c r="Z12" s="36" t="s">
        <v>125</v>
      </c>
      <c r="AA12" s="36" t="s">
        <v>125</v>
      </c>
      <c r="AB12" s="36" t="s">
        <v>125</v>
      </c>
      <c r="AC12" s="36" t="s">
        <v>125</v>
      </c>
      <c r="AD12" s="36" t="s">
        <v>125</v>
      </c>
      <c r="AE12" s="36" t="s">
        <v>125</v>
      </c>
      <c r="AF12" s="36" t="s">
        <v>125</v>
      </c>
      <c r="AG12" s="18" t="s">
        <v>50</v>
      </c>
      <c r="AH12" s="36" t="s">
        <v>125</v>
      </c>
      <c r="AI12" s="36" t="s">
        <v>125</v>
      </c>
      <c r="AJ12" s="36" t="s">
        <v>125</v>
      </c>
      <c r="AK12" s="36" t="s">
        <v>125</v>
      </c>
      <c r="AL12" s="18" t="s">
        <v>50</v>
      </c>
      <c r="AM12" s="36" t="s">
        <v>125</v>
      </c>
      <c r="AN12" s="36" t="s">
        <v>125</v>
      </c>
      <c r="AO12" s="36" t="s">
        <v>125</v>
      </c>
      <c r="AP12" s="36" t="s">
        <v>125</v>
      </c>
      <c r="AQ12" s="17" t="s">
        <v>51</v>
      </c>
      <c r="AR12" s="17" t="s">
        <v>50</v>
      </c>
      <c r="AS12" s="17" t="s">
        <v>50</v>
      </c>
      <c r="AT12" s="17" t="s">
        <v>50</v>
      </c>
      <c r="AU12" s="17" t="s">
        <v>50</v>
      </c>
      <c r="AV12" s="17" t="s">
        <v>50</v>
      </c>
      <c r="AW12" s="17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</row>
    <row r="13" ht="16.5" customHeight="1">
      <c r="A13" s="47" t="s">
        <v>157</v>
      </c>
      <c r="B13" s="18" t="s">
        <v>133</v>
      </c>
      <c r="C13" s="32">
        <v>1.011393201E9</v>
      </c>
      <c r="D13" s="18" t="s">
        <v>49</v>
      </c>
      <c r="E13" s="17" t="s">
        <v>111</v>
      </c>
      <c r="F13" s="17" t="s">
        <v>111</v>
      </c>
      <c r="G13" s="17" t="s">
        <v>111</v>
      </c>
      <c r="H13" s="17" t="s">
        <v>111</v>
      </c>
      <c r="I13" s="17" t="s">
        <v>111</v>
      </c>
      <c r="J13" s="17" t="s">
        <v>111</v>
      </c>
      <c r="K13" s="17" t="s">
        <v>111</v>
      </c>
      <c r="L13" s="17" t="s">
        <v>111</v>
      </c>
      <c r="M13" s="17" t="s">
        <v>111</v>
      </c>
      <c r="N13" s="17" t="s">
        <v>111</v>
      </c>
      <c r="O13" s="27" t="s">
        <v>100</v>
      </c>
      <c r="P13" s="18" t="s">
        <v>50</v>
      </c>
      <c r="Q13" s="27" t="s">
        <v>100</v>
      </c>
      <c r="R13" s="18" t="s">
        <v>50</v>
      </c>
      <c r="S13" s="27" t="s">
        <v>100</v>
      </c>
      <c r="T13" s="18" t="s">
        <v>50</v>
      </c>
      <c r="U13" s="27" t="s">
        <v>100</v>
      </c>
      <c r="V13" s="18" t="s">
        <v>50</v>
      </c>
      <c r="W13" s="18" t="s">
        <v>50</v>
      </c>
      <c r="X13" s="18" t="s">
        <v>52</v>
      </c>
      <c r="Y13" s="18" t="s">
        <v>50</v>
      </c>
      <c r="Z13" s="27" t="s">
        <v>100</v>
      </c>
      <c r="AA13" s="18" t="s">
        <v>50</v>
      </c>
      <c r="AB13" s="27" t="s">
        <v>100</v>
      </c>
      <c r="AC13" s="18" t="s">
        <v>50</v>
      </c>
      <c r="AD13" s="27" t="s">
        <v>100</v>
      </c>
      <c r="AE13" s="18" t="s">
        <v>50</v>
      </c>
      <c r="AF13" s="27" t="s">
        <v>100</v>
      </c>
      <c r="AG13" s="27" t="s">
        <v>100</v>
      </c>
      <c r="AH13" s="27" t="s">
        <v>100</v>
      </c>
      <c r="AI13" s="27" t="s">
        <v>100</v>
      </c>
      <c r="AJ13" s="27" t="s">
        <v>100</v>
      </c>
      <c r="AK13" s="27" t="s">
        <v>100</v>
      </c>
      <c r="AL13" s="18" t="s">
        <v>50</v>
      </c>
      <c r="AM13" s="17" t="s">
        <v>51</v>
      </c>
      <c r="AN13" s="17" t="s">
        <v>51</v>
      </c>
      <c r="AO13" s="27" t="s">
        <v>100</v>
      </c>
      <c r="AP13" s="27" t="s">
        <v>100</v>
      </c>
      <c r="AQ13" s="17" t="s">
        <v>50</v>
      </c>
      <c r="AR13" s="17" t="s">
        <v>50</v>
      </c>
      <c r="AS13" s="17" t="s">
        <v>50</v>
      </c>
      <c r="AT13" s="17" t="s">
        <v>51</v>
      </c>
      <c r="AU13" s="27" t="s">
        <v>100</v>
      </c>
      <c r="AV13" s="27" t="s">
        <v>100</v>
      </c>
      <c r="AW13" s="17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</row>
    <row r="14" ht="16.5" customHeight="1">
      <c r="A14" s="14" t="s">
        <v>166</v>
      </c>
      <c r="B14" s="15" t="s">
        <v>138</v>
      </c>
      <c r="C14" s="25">
        <v>1.017925946E9</v>
      </c>
      <c r="D14" s="17" t="s">
        <v>124</v>
      </c>
      <c r="E14" s="18" t="s">
        <v>50</v>
      </c>
      <c r="F14" s="22"/>
      <c r="G14" s="19" t="s">
        <v>51</v>
      </c>
      <c r="H14" s="22"/>
      <c r="I14" s="19" t="s">
        <v>51</v>
      </c>
      <c r="J14" s="22"/>
      <c r="K14" s="18" t="s">
        <v>50</v>
      </c>
      <c r="L14" s="22"/>
      <c r="M14" s="18" t="s">
        <v>50</v>
      </c>
      <c r="N14" s="19" t="s">
        <v>51</v>
      </c>
      <c r="O14" s="19" t="s">
        <v>51</v>
      </c>
      <c r="P14" s="18" t="s">
        <v>50</v>
      </c>
      <c r="Q14" s="20" t="s">
        <v>99</v>
      </c>
      <c r="R14" s="18" t="s">
        <v>50</v>
      </c>
      <c r="S14" s="18" t="s">
        <v>50</v>
      </c>
      <c r="T14" s="18" t="s">
        <v>50</v>
      </c>
      <c r="U14" s="18" t="s">
        <v>50</v>
      </c>
      <c r="V14" s="18" t="s">
        <v>50</v>
      </c>
      <c r="W14" s="18" t="s">
        <v>51</v>
      </c>
      <c r="X14" s="18" t="s">
        <v>51</v>
      </c>
      <c r="Y14" s="18" t="s">
        <v>50</v>
      </c>
      <c r="Z14" s="18" t="s">
        <v>51</v>
      </c>
      <c r="AA14" s="18" t="s">
        <v>51</v>
      </c>
      <c r="AB14" s="18" t="s">
        <v>50</v>
      </c>
      <c r="AC14" s="18" t="s">
        <v>50</v>
      </c>
      <c r="AD14" s="18" t="s">
        <v>50</v>
      </c>
      <c r="AE14" s="18" t="s">
        <v>50</v>
      </c>
      <c r="AF14" s="18" t="s">
        <v>51</v>
      </c>
      <c r="AG14" s="18" t="s">
        <v>50</v>
      </c>
      <c r="AH14" s="18" t="s">
        <v>50</v>
      </c>
      <c r="AI14" s="18" t="s">
        <v>50</v>
      </c>
      <c r="AJ14" s="18" t="s">
        <v>51</v>
      </c>
      <c r="AK14" s="18" t="s">
        <v>51</v>
      </c>
      <c r="AL14" s="18" t="s">
        <v>50</v>
      </c>
      <c r="AM14" s="17" t="s">
        <v>51</v>
      </c>
      <c r="AN14" s="17" t="s">
        <v>51</v>
      </c>
      <c r="AO14" s="17" t="s">
        <v>50</v>
      </c>
      <c r="AP14" s="17" t="s">
        <v>50</v>
      </c>
      <c r="AQ14" s="17" t="s">
        <v>51</v>
      </c>
      <c r="AR14" s="17" t="s">
        <v>51</v>
      </c>
      <c r="AS14" s="17" t="s">
        <v>51</v>
      </c>
      <c r="AT14" s="17" t="s">
        <v>50</v>
      </c>
      <c r="AU14" s="17" t="s">
        <v>50</v>
      </c>
      <c r="AV14" s="17" t="s">
        <v>50</v>
      </c>
      <c r="AW14" s="17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</row>
    <row r="15" ht="16.5" customHeight="1">
      <c r="A15" s="14" t="s">
        <v>173</v>
      </c>
      <c r="B15" s="15" t="s">
        <v>141</v>
      </c>
      <c r="C15" s="25">
        <v>1.035973364E9</v>
      </c>
      <c r="D15" s="17" t="s">
        <v>124</v>
      </c>
      <c r="E15" s="22"/>
      <c r="F15" s="19" t="s">
        <v>51</v>
      </c>
      <c r="G15" s="19" t="s">
        <v>51</v>
      </c>
      <c r="H15" s="22"/>
      <c r="I15" s="22"/>
      <c r="J15" s="22"/>
      <c r="K15" s="19" t="s">
        <v>51</v>
      </c>
      <c r="L15" s="22"/>
      <c r="M15" s="22"/>
      <c r="N15" s="22"/>
      <c r="O15" s="36" t="s">
        <v>125</v>
      </c>
      <c r="P15" s="18" t="s">
        <v>50</v>
      </c>
      <c r="Q15" s="36" t="s">
        <v>125</v>
      </c>
      <c r="R15" s="19" t="s">
        <v>51</v>
      </c>
      <c r="S15" s="36" t="s">
        <v>125</v>
      </c>
      <c r="T15" s="18" t="s">
        <v>50</v>
      </c>
      <c r="U15" s="36" t="s">
        <v>125</v>
      </c>
      <c r="V15" s="18" t="s">
        <v>50</v>
      </c>
      <c r="W15" s="18" t="s">
        <v>50</v>
      </c>
      <c r="X15" s="18" t="s">
        <v>52</v>
      </c>
      <c r="Y15" s="18" t="s">
        <v>50</v>
      </c>
      <c r="Z15" s="18" t="s">
        <v>52</v>
      </c>
      <c r="AA15" s="18" t="s">
        <v>50</v>
      </c>
      <c r="AB15" s="18" t="s">
        <v>51</v>
      </c>
      <c r="AC15" s="18" t="s">
        <v>51</v>
      </c>
      <c r="AD15" s="18" t="s">
        <v>50</v>
      </c>
      <c r="AE15" s="18" t="s">
        <v>51</v>
      </c>
      <c r="AF15" s="18" t="s">
        <v>51</v>
      </c>
      <c r="AG15" s="18" t="s">
        <v>52</v>
      </c>
      <c r="AH15" s="36" t="s">
        <v>125</v>
      </c>
      <c r="AI15" s="18" t="s">
        <v>50</v>
      </c>
      <c r="AJ15" s="18" t="s">
        <v>50</v>
      </c>
      <c r="AK15" s="18" t="s">
        <v>50</v>
      </c>
      <c r="AL15" s="18" t="s">
        <v>50</v>
      </c>
      <c r="AM15" s="17" t="s">
        <v>52</v>
      </c>
      <c r="AN15" s="17" t="s">
        <v>52</v>
      </c>
      <c r="AO15" s="17" t="s">
        <v>50</v>
      </c>
      <c r="AP15" s="17" t="s">
        <v>50</v>
      </c>
      <c r="AQ15" s="17" t="s">
        <v>51</v>
      </c>
      <c r="AR15" s="17" t="s">
        <v>51</v>
      </c>
      <c r="AS15" s="17" t="s">
        <v>51</v>
      </c>
      <c r="AT15" s="17" t="s">
        <v>50</v>
      </c>
      <c r="AU15" s="17" t="s">
        <v>50</v>
      </c>
      <c r="AV15" s="17" t="s">
        <v>50</v>
      </c>
      <c r="AW15" s="17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</row>
    <row r="16" ht="16.5" customHeight="1">
      <c r="A16" s="14" t="s">
        <v>180</v>
      </c>
      <c r="B16" s="15" t="s">
        <v>146</v>
      </c>
      <c r="C16" s="25">
        <v>1.027880579E9</v>
      </c>
      <c r="D16" s="17" t="s">
        <v>49</v>
      </c>
      <c r="E16" s="22"/>
      <c r="F16" s="18" t="s">
        <v>50</v>
      </c>
      <c r="G16" s="22"/>
      <c r="H16" s="22"/>
      <c r="I16" s="22"/>
      <c r="J16" s="19" t="s">
        <v>51</v>
      </c>
      <c r="K16" s="22"/>
      <c r="L16" s="22"/>
      <c r="M16" s="19" t="s">
        <v>51</v>
      </c>
      <c r="N16" s="43"/>
      <c r="O16" s="18" t="s">
        <v>50</v>
      </c>
      <c r="P16" s="18" t="s">
        <v>50</v>
      </c>
      <c r="Q16" s="19" t="s">
        <v>51</v>
      </c>
      <c r="R16" s="19" t="s">
        <v>51</v>
      </c>
      <c r="S16" s="18" t="s">
        <v>50</v>
      </c>
      <c r="T16" s="18" t="s">
        <v>50</v>
      </c>
      <c r="U16" s="18" t="s">
        <v>99</v>
      </c>
      <c r="V16" s="18" t="s">
        <v>99</v>
      </c>
      <c r="W16" s="18" t="s">
        <v>51</v>
      </c>
      <c r="X16" s="18" t="s">
        <v>52</v>
      </c>
      <c r="Y16" s="18" t="s">
        <v>50</v>
      </c>
      <c r="Z16" s="18" t="s">
        <v>52</v>
      </c>
      <c r="AA16" s="18" t="s">
        <v>52</v>
      </c>
      <c r="AB16" s="18" t="s">
        <v>51</v>
      </c>
      <c r="AC16" s="18" t="s">
        <v>51</v>
      </c>
      <c r="AD16" s="18" t="s">
        <v>50</v>
      </c>
      <c r="AE16" s="18" t="s">
        <v>52</v>
      </c>
      <c r="AF16" s="18" t="s">
        <v>50</v>
      </c>
      <c r="AG16" s="18" t="s">
        <v>50</v>
      </c>
      <c r="AH16" s="18" t="s">
        <v>50</v>
      </c>
      <c r="AI16" s="18" t="s">
        <v>50</v>
      </c>
      <c r="AJ16" s="18" t="s">
        <v>51</v>
      </c>
      <c r="AK16" s="18" t="s">
        <v>51</v>
      </c>
      <c r="AL16" s="18" t="s">
        <v>50</v>
      </c>
      <c r="AM16" s="17" t="s">
        <v>51</v>
      </c>
      <c r="AN16" s="17" t="s">
        <v>51</v>
      </c>
      <c r="AO16" s="17" t="s">
        <v>51</v>
      </c>
      <c r="AP16" s="17" t="s">
        <v>51</v>
      </c>
      <c r="AQ16" s="17" t="s">
        <v>50</v>
      </c>
      <c r="AR16" s="17" t="s">
        <v>50</v>
      </c>
      <c r="AS16" s="17" t="s">
        <v>50</v>
      </c>
      <c r="AT16" s="17" t="s">
        <v>51</v>
      </c>
      <c r="AU16" s="17" t="s">
        <v>50</v>
      </c>
      <c r="AV16" s="17" t="s">
        <v>50</v>
      </c>
      <c r="AW16" s="17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</row>
    <row r="17" ht="16.5" customHeight="1">
      <c r="A17" s="44" t="s">
        <v>183</v>
      </c>
      <c r="B17" s="15" t="s">
        <v>149</v>
      </c>
      <c r="C17" s="25">
        <v>1.036448454E9</v>
      </c>
      <c r="D17" s="26" t="s">
        <v>150</v>
      </c>
      <c r="E17" s="22"/>
      <c r="F17" s="18" t="s">
        <v>50</v>
      </c>
      <c r="G17" s="22"/>
      <c r="H17" s="22"/>
      <c r="I17" s="22"/>
      <c r="J17" s="20" t="s">
        <v>52</v>
      </c>
      <c r="K17" s="22"/>
      <c r="L17" s="22"/>
      <c r="M17" s="22"/>
      <c r="N17" s="18" t="s">
        <v>52</v>
      </c>
      <c r="O17" s="27" t="s">
        <v>100</v>
      </c>
      <c r="P17" s="27" t="s">
        <v>100</v>
      </c>
      <c r="Q17" s="27" t="s">
        <v>100</v>
      </c>
      <c r="R17" s="27" t="s">
        <v>100</v>
      </c>
      <c r="S17" s="27" t="s">
        <v>100</v>
      </c>
      <c r="T17" s="27" t="s">
        <v>100</v>
      </c>
      <c r="U17" s="27" t="s">
        <v>100</v>
      </c>
      <c r="V17" s="27" t="s">
        <v>100</v>
      </c>
      <c r="W17" s="18" t="s">
        <v>50</v>
      </c>
      <c r="X17" s="27" t="s">
        <v>100</v>
      </c>
      <c r="Y17" s="27" t="s">
        <v>100</v>
      </c>
      <c r="Z17" s="27" t="s">
        <v>100</v>
      </c>
      <c r="AA17" s="27" t="s">
        <v>100</v>
      </c>
      <c r="AB17" s="27" t="s">
        <v>100</v>
      </c>
      <c r="AC17" s="27" t="s">
        <v>100</v>
      </c>
      <c r="AD17" s="18" t="s">
        <v>50</v>
      </c>
      <c r="AE17" s="27" t="s">
        <v>100</v>
      </c>
      <c r="AF17" s="27" t="s">
        <v>100</v>
      </c>
      <c r="AG17" s="18" t="s">
        <v>50</v>
      </c>
      <c r="AH17" s="27" t="s">
        <v>100</v>
      </c>
      <c r="AI17" s="27" t="s">
        <v>100</v>
      </c>
      <c r="AJ17" s="27" t="s">
        <v>100</v>
      </c>
      <c r="AK17" s="27" t="s">
        <v>100</v>
      </c>
      <c r="AL17" s="18" t="s">
        <v>50</v>
      </c>
      <c r="AM17" s="17" t="s">
        <v>50</v>
      </c>
      <c r="AN17" s="17" t="s">
        <v>50</v>
      </c>
      <c r="AO17" s="27" t="s">
        <v>100</v>
      </c>
      <c r="AP17" s="27" t="s">
        <v>100</v>
      </c>
      <c r="AQ17" s="17" t="s">
        <v>50</v>
      </c>
      <c r="AR17" s="17" t="s">
        <v>50</v>
      </c>
      <c r="AS17" s="17" t="s">
        <v>50</v>
      </c>
      <c r="AT17" s="18" t="s">
        <v>52</v>
      </c>
      <c r="AU17" s="17" t="s">
        <v>50</v>
      </c>
      <c r="AV17" s="17" t="s">
        <v>50</v>
      </c>
      <c r="AW17" s="17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</row>
    <row r="18" ht="16.5" customHeight="1">
      <c r="A18" s="14" t="s">
        <v>189</v>
      </c>
      <c r="B18" s="15" t="s">
        <v>154</v>
      </c>
      <c r="C18" s="25">
        <v>1.017922146E9</v>
      </c>
      <c r="D18" s="26" t="s">
        <v>90</v>
      </c>
      <c r="E18" s="18" t="s">
        <v>50</v>
      </c>
      <c r="F18" s="18" t="s">
        <v>50</v>
      </c>
      <c r="G18" s="22"/>
      <c r="H18" s="20" t="s">
        <v>99</v>
      </c>
      <c r="I18" s="20" t="s">
        <v>99</v>
      </c>
      <c r="J18" s="22"/>
      <c r="K18" s="18" t="s">
        <v>50</v>
      </c>
      <c r="L18" s="18" t="s">
        <v>50</v>
      </c>
      <c r="M18" s="18" t="s">
        <v>52</v>
      </c>
      <c r="N18" s="18" t="s">
        <v>50</v>
      </c>
      <c r="O18" s="27" t="s">
        <v>100</v>
      </c>
      <c r="P18" s="27" t="s">
        <v>100</v>
      </c>
      <c r="Q18" s="27" t="s">
        <v>100</v>
      </c>
      <c r="R18" s="27" t="s">
        <v>100</v>
      </c>
      <c r="S18" s="27" t="s">
        <v>100</v>
      </c>
      <c r="T18" s="27" t="s">
        <v>100</v>
      </c>
      <c r="U18" s="27" t="s">
        <v>100</v>
      </c>
      <c r="V18" s="27" t="s">
        <v>100</v>
      </c>
      <c r="W18" s="18" t="s">
        <v>50</v>
      </c>
      <c r="X18" s="27" t="s">
        <v>100</v>
      </c>
      <c r="Y18" s="27" t="s">
        <v>100</v>
      </c>
      <c r="Z18" s="27" t="s">
        <v>100</v>
      </c>
      <c r="AA18" s="27" t="s">
        <v>100</v>
      </c>
      <c r="AB18" s="27" t="s">
        <v>100</v>
      </c>
      <c r="AC18" s="27" t="s">
        <v>100</v>
      </c>
      <c r="AD18" s="18" t="s">
        <v>50</v>
      </c>
      <c r="AE18" s="27" t="s">
        <v>100</v>
      </c>
      <c r="AF18" s="27" t="s">
        <v>100</v>
      </c>
      <c r="AG18" s="18" t="s">
        <v>50</v>
      </c>
      <c r="AH18" s="27" t="s">
        <v>100</v>
      </c>
      <c r="AI18" s="27" t="s">
        <v>100</v>
      </c>
      <c r="AJ18" s="27" t="s">
        <v>100</v>
      </c>
      <c r="AK18" s="27" t="s">
        <v>100</v>
      </c>
      <c r="AL18" s="18" t="s">
        <v>50</v>
      </c>
      <c r="AM18" s="27" t="s">
        <v>100</v>
      </c>
      <c r="AN18" s="27" t="s">
        <v>100</v>
      </c>
      <c r="AO18" s="17" t="s">
        <v>50</v>
      </c>
      <c r="AP18" s="17" t="s">
        <v>50</v>
      </c>
      <c r="AQ18" s="17" t="s">
        <v>50</v>
      </c>
      <c r="AR18" s="27" t="s">
        <v>100</v>
      </c>
      <c r="AS18" s="27" t="s">
        <v>100</v>
      </c>
      <c r="AT18" s="17" t="s">
        <v>50</v>
      </c>
      <c r="AU18" s="17" t="s">
        <v>50</v>
      </c>
      <c r="AV18" s="17" t="s">
        <v>50</v>
      </c>
      <c r="AW18" s="17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</row>
    <row r="19" ht="16.5" customHeight="1">
      <c r="A19" s="37" t="s">
        <v>195</v>
      </c>
      <c r="B19" s="18" t="s">
        <v>158</v>
      </c>
      <c r="C19" s="32">
        <v>1.011512703E9</v>
      </c>
      <c r="D19" s="18" t="s">
        <v>49</v>
      </c>
      <c r="E19" s="19" t="s">
        <v>111</v>
      </c>
      <c r="F19" s="17" t="s">
        <v>51</v>
      </c>
      <c r="G19" s="19" t="s">
        <v>51</v>
      </c>
      <c r="H19" s="19" t="s">
        <v>111</v>
      </c>
      <c r="I19" s="19" t="s">
        <v>111</v>
      </c>
      <c r="J19" s="19" t="s">
        <v>111</v>
      </c>
      <c r="K19" s="17" t="s">
        <v>51</v>
      </c>
      <c r="L19" s="19" t="s">
        <v>111</v>
      </c>
      <c r="M19" s="19" t="s">
        <v>111</v>
      </c>
      <c r="N19" s="17" t="s">
        <v>51</v>
      </c>
      <c r="O19" s="19" t="s">
        <v>51</v>
      </c>
      <c r="P19" s="18" t="s">
        <v>50</v>
      </c>
      <c r="Q19" s="18" t="s">
        <v>50</v>
      </c>
      <c r="R19" s="18" t="s">
        <v>50</v>
      </c>
      <c r="S19" s="20" t="s">
        <v>52</v>
      </c>
      <c r="T19" s="20" t="s">
        <v>52</v>
      </c>
      <c r="U19" s="18" t="s">
        <v>50</v>
      </c>
      <c r="V19" s="18" t="s">
        <v>50</v>
      </c>
      <c r="W19" s="18" t="s">
        <v>50</v>
      </c>
      <c r="X19" s="18" t="s">
        <v>51</v>
      </c>
      <c r="Y19" s="18" t="s">
        <v>50</v>
      </c>
      <c r="Z19" s="18" t="s">
        <v>51</v>
      </c>
      <c r="AA19" s="18" t="s">
        <v>51</v>
      </c>
      <c r="AB19" s="18" t="s">
        <v>50</v>
      </c>
      <c r="AC19" s="18" t="s">
        <v>50</v>
      </c>
      <c r="AD19" s="18" t="s">
        <v>50</v>
      </c>
      <c r="AE19" s="18" t="s">
        <v>51</v>
      </c>
      <c r="AF19" s="18" t="s">
        <v>51</v>
      </c>
      <c r="AG19" s="18" t="s">
        <v>51</v>
      </c>
      <c r="AH19" s="18" t="s">
        <v>50</v>
      </c>
      <c r="AI19" s="18" t="s">
        <v>50</v>
      </c>
      <c r="AJ19" s="18" t="s">
        <v>50</v>
      </c>
      <c r="AK19" s="18" t="s">
        <v>50</v>
      </c>
      <c r="AL19" s="18" t="s">
        <v>50</v>
      </c>
      <c r="AM19" s="17" t="s">
        <v>51</v>
      </c>
      <c r="AN19" s="17" t="s">
        <v>51</v>
      </c>
      <c r="AO19" s="17" t="s">
        <v>50</v>
      </c>
      <c r="AP19" s="17" t="s">
        <v>50</v>
      </c>
      <c r="AQ19" s="17" t="s">
        <v>50</v>
      </c>
      <c r="AR19" s="17" t="s">
        <v>51</v>
      </c>
      <c r="AS19" s="17" t="s">
        <v>51</v>
      </c>
      <c r="AT19" s="17" t="s">
        <v>50</v>
      </c>
      <c r="AU19" s="17" t="s">
        <v>50</v>
      </c>
      <c r="AV19" s="17" t="s">
        <v>50</v>
      </c>
      <c r="AW19" s="17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</row>
    <row r="20" ht="16.5" customHeight="1">
      <c r="A20" s="14" t="s">
        <v>201</v>
      </c>
      <c r="B20" s="15" t="s">
        <v>161</v>
      </c>
      <c r="C20" s="25">
        <v>1.032178131E9</v>
      </c>
      <c r="D20" s="17" t="s">
        <v>49</v>
      </c>
      <c r="E20" s="22"/>
      <c r="F20" s="22"/>
      <c r="G20" s="19" t="s">
        <v>51</v>
      </c>
      <c r="H20" s="22"/>
      <c r="I20" s="19" t="s">
        <v>162</v>
      </c>
      <c r="J20" s="22"/>
      <c r="K20" s="18" t="s">
        <v>50</v>
      </c>
      <c r="L20" s="22"/>
      <c r="M20" s="19" t="s">
        <v>163</v>
      </c>
      <c r="N20" s="22"/>
      <c r="O20" s="27" t="s">
        <v>100</v>
      </c>
      <c r="P20" s="20" t="s">
        <v>52</v>
      </c>
      <c r="Q20" s="27" t="s">
        <v>100</v>
      </c>
      <c r="R20" s="18" t="s">
        <v>50</v>
      </c>
      <c r="S20" s="27" t="s">
        <v>100</v>
      </c>
      <c r="T20" s="18" t="s">
        <v>50</v>
      </c>
      <c r="U20" s="27" t="s">
        <v>100</v>
      </c>
      <c r="V20" s="18" t="s">
        <v>50</v>
      </c>
      <c r="W20" s="18" t="s">
        <v>50</v>
      </c>
      <c r="X20" s="18" t="s">
        <v>51</v>
      </c>
      <c r="Y20" s="18" t="s">
        <v>50</v>
      </c>
      <c r="Z20" s="27" t="s">
        <v>100</v>
      </c>
      <c r="AA20" s="18" t="s">
        <v>50</v>
      </c>
      <c r="AB20" s="27" t="s">
        <v>100</v>
      </c>
      <c r="AC20" s="18" t="s">
        <v>50</v>
      </c>
      <c r="AD20" s="27" t="s">
        <v>100</v>
      </c>
      <c r="AE20" s="18" t="s">
        <v>50</v>
      </c>
      <c r="AF20" s="27" t="s">
        <v>100</v>
      </c>
      <c r="AG20" s="27" t="s">
        <v>100</v>
      </c>
      <c r="AH20" s="27" t="s">
        <v>100</v>
      </c>
      <c r="AI20" s="27" t="s">
        <v>100</v>
      </c>
      <c r="AJ20" s="27" t="s">
        <v>100</v>
      </c>
      <c r="AK20" s="27" t="s">
        <v>100</v>
      </c>
      <c r="AL20" s="18" t="s">
        <v>50</v>
      </c>
      <c r="AM20" s="17" t="s">
        <v>165</v>
      </c>
      <c r="AN20" s="17" t="s">
        <v>165</v>
      </c>
      <c r="AO20" s="17" t="s">
        <v>165</v>
      </c>
      <c r="AP20" s="17" t="s">
        <v>165</v>
      </c>
      <c r="AQ20" s="17"/>
      <c r="AR20" s="17" t="s">
        <v>165</v>
      </c>
      <c r="AS20" s="17" t="s">
        <v>165</v>
      </c>
      <c r="AT20" s="17" t="s">
        <v>165</v>
      </c>
      <c r="AU20" s="17" t="s">
        <v>165</v>
      </c>
      <c r="AV20" s="17" t="s">
        <v>165</v>
      </c>
      <c r="AW20" s="17" t="s">
        <v>165</v>
      </c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</row>
    <row r="21" ht="16.5" customHeight="1">
      <c r="A21" s="37" t="s">
        <v>206</v>
      </c>
      <c r="B21" s="18" t="s">
        <v>169</v>
      </c>
      <c r="C21" s="32">
        <v>1.018228842E9</v>
      </c>
      <c r="D21" s="18" t="s">
        <v>104</v>
      </c>
      <c r="E21" s="19" t="s">
        <v>51</v>
      </c>
      <c r="F21" s="18" t="s">
        <v>50</v>
      </c>
      <c r="G21" s="19" t="s">
        <v>111</v>
      </c>
      <c r="H21" s="19" t="s">
        <v>111</v>
      </c>
      <c r="I21" s="19" t="s">
        <v>51</v>
      </c>
      <c r="J21" s="17" t="s">
        <v>111</v>
      </c>
      <c r="K21" s="17" t="s">
        <v>111</v>
      </c>
      <c r="L21" s="17" t="s">
        <v>111</v>
      </c>
      <c r="M21" s="17" t="s">
        <v>111</v>
      </c>
      <c r="N21" s="17" t="s">
        <v>52</v>
      </c>
      <c r="O21" s="19" t="s">
        <v>51</v>
      </c>
      <c r="P21" s="27" t="s">
        <v>100</v>
      </c>
      <c r="Q21" s="18" t="s">
        <v>50</v>
      </c>
      <c r="R21" s="27" t="s">
        <v>100</v>
      </c>
      <c r="S21" s="18" t="s">
        <v>50</v>
      </c>
      <c r="T21" s="27" t="s">
        <v>100</v>
      </c>
      <c r="U21" s="18" t="s">
        <v>50</v>
      </c>
      <c r="V21" s="27" t="s">
        <v>100</v>
      </c>
      <c r="W21" s="18" t="s">
        <v>50</v>
      </c>
      <c r="X21" s="27" t="s">
        <v>100</v>
      </c>
      <c r="Y21" s="27" t="s">
        <v>100</v>
      </c>
      <c r="Z21" s="18" t="s">
        <v>52</v>
      </c>
      <c r="AA21" s="27" t="s">
        <v>100</v>
      </c>
      <c r="AB21" s="18" t="s">
        <v>50</v>
      </c>
      <c r="AC21" s="27" t="s">
        <v>100</v>
      </c>
      <c r="AD21" s="18" t="s">
        <v>50</v>
      </c>
      <c r="AE21" s="27"/>
      <c r="AF21" s="18" t="s">
        <v>50</v>
      </c>
      <c r="AG21" s="18" t="s">
        <v>50</v>
      </c>
      <c r="AH21" s="18" t="s">
        <v>50</v>
      </c>
      <c r="AI21" s="18" t="s">
        <v>50</v>
      </c>
      <c r="AJ21" s="18" t="s">
        <v>52</v>
      </c>
      <c r="AK21" s="18" t="s">
        <v>52</v>
      </c>
      <c r="AL21" s="18" t="s">
        <v>50</v>
      </c>
      <c r="AM21" s="17" t="s">
        <v>50</v>
      </c>
      <c r="AN21" s="17" t="s">
        <v>50</v>
      </c>
      <c r="AO21" s="17" t="s">
        <v>52</v>
      </c>
      <c r="AP21" s="17" t="s">
        <v>52</v>
      </c>
      <c r="AQ21" s="17" t="s">
        <v>51</v>
      </c>
      <c r="AR21" s="17" t="s">
        <v>50</v>
      </c>
      <c r="AS21" s="17" t="s">
        <v>50</v>
      </c>
      <c r="AT21" s="17" t="s">
        <v>52</v>
      </c>
      <c r="AU21" s="17" t="s">
        <v>50</v>
      </c>
      <c r="AV21" s="27" t="s">
        <v>100</v>
      </c>
      <c r="AW21" s="17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</row>
    <row r="22" ht="16.5" customHeight="1">
      <c r="A22" s="14" t="s">
        <v>212</v>
      </c>
      <c r="B22" s="15" t="s">
        <v>174</v>
      </c>
      <c r="C22" s="25">
        <v>1.011391701E9</v>
      </c>
      <c r="D22" s="17" t="s">
        <v>214</v>
      </c>
      <c r="E22" s="22"/>
      <c r="F22" s="18" t="s">
        <v>50</v>
      </c>
      <c r="G22" s="22"/>
      <c r="H22" s="19" t="s">
        <v>51</v>
      </c>
      <c r="I22" s="22"/>
      <c r="J22" s="19" t="s">
        <v>51</v>
      </c>
      <c r="K22" s="22"/>
      <c r="L22" s="19" t="s">
        <v>51</v>
      </c>
      <c r="M22" s="22"/>
      <c r="N22" s="50"/>
      <c r="O22" s="35" t="s">
        <v>111</v>
      </c>
      <c r="P22" s="19" t="s">
        <v>51</v>
      </c>
      <c r="Q22" s="35" t="s">
        <v>111</v>
      </c>
      <c r="R22" s="18" t="s">
        <v>50</v>
      </c>
      <c r="S22" s="35" t="s">
        <v>111</v>
      </c>
      <c r="T22" s="18" t="s">
        <v>50</v>
      </c>
      <c r="U22" s="35" t="s">
        <v>111</v>
      </c>
      <c r="V22" s="18" t="s">
        <v>50</v>
      </c>
      <c r="W22" s="18" t="s">
        <v>50</v>
      </c>
      <c r="X22" s="35" t="s">
        <v>111</v>
      </c>
      <c r="Y22" s="18" t="s">
        <v>50</v>
      </c>
      <c r="Z22" s="35" t="s">
        <v>111</v>
      </c>
      <c r="AA22" s="18" t="s">
        <v>50</v>
      </c>
      <c r="AB22" s="35" t="s">
        <v>111</v>
      </c>
      <c r="AC22" s="18" t="s">
        <v>50</v>
      </c>
      <c r="AD22" s="35" t="s">
        <v>111</v>
      </c>
      <c r="AE22" s="35" t="s">
        <v>111</v>
      </c>
      <c r="AF22" s="35" t="s">
        <v>50</v>
      </c>
      <c r="AG22" s="18" t="s">
        <v>50</v>
      </c>
      <c r="AH22" s="18" t="s">
        <v>50</v>
      </c>
      <c r="AI22" s="18" t="s">
        <v>50</v>
      </c>
      <c r="AJ22" s="18" t="s">
        <v>51</v>
      </c>
      <c r="AK22" s="18" t="s">
        <v>51</v>
      </c>
      <c r="AL22" s="18" t="s">
        <v>50</v>
      </c>
      <c r="AM22" s="17" t="s">
        <v>50</v>
      </c>
      <c r="AN22" s="17" t="s">
        <v>50</v>
      </c>
      <c r="AO22" s="17" t="s">
        <v>51</v>
      </c>
      <c r="AP22" s="17" t="s">
        <v>51</v>
      </c>
      <c r="AQ22" s="17" t="s">
        <v>50</v>
      </c>
      <c r="AR22" s="17" t="s">
        <v>50</v>
      </c>
      <c r="AS22" s="17" t="s">
        <v>50</v>
      </c>
      <c r="AT22" s="17" t="s">
        <v>51</v>
      </c>
      <c r="AU22" s="17" t="s">
        <v>50</v>
      </c>
      <c r="AV22" s="17" t="s">
        <v>50</v>
      </c>
      <c r="AW22" s="17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</row>
    <row r="23" ht="16.5" customHeight="1">
      <c r="A23" s="30" t="s">
        <v>218</v>
      </c>
      <c r="B23" s="18" t="s">
        <v>178</v>
      </c>
      <c r="C23" s="32">
        <v>1.036256602E9</v>
      </c>
      <c r="D23" s="18" t="s">
        <v>49</v>
      </c>
      <c r="E23" s="18" t="s">
        <v>50</v>
      </c>
      <c r="F23" s="19" t="s">
        <v>51</v>
      </c>
      <c r="G23" s="19" t="s">
        <v>51</v>
      </c>
      <c r="H23" s="17" t="s">
        <v>111</v>
      </c>
      <c r="I23" s="17" t="s">
        <v>111</v>
      </c>
      <c r="J23" s="20" t="s">
        <v>51</v>
      </c>
      <c r="K23" s="17" t="s">
        <v>111</v>
      </c>
      <c r="L23" s="17" t="s">
        <v>111</v>
      </c>
      <c r="M23" s="17" t="s">
        <v>111</v>
      </c>
      <c r="N23" s="17" t="s">
        <v>50</v>
      </c>
      <c r="O23" s="19" t="s">
        <v>51</v>
      </c>
      <c r="P23" s="19" t="s">
        <v>51</v>
      </c>
      <c r="Q23" s="18" t="s">
        <v>50</v>
      </c>
      <c r="R23" s="18" t="s">
        <v>50</v>
      </c>
      <c r="S23" s="18" t="s">
        <v>50</v>
      </c>
      <c r="T23" s="18" t="s">
        <v>50</v>
      </c>
      <c r="U23" s="18" t="s">
        <v>51</v>
      </c>
      <c r="V23" s="18" t="s">
        <v>51</v>
      </c>
      <c r="W23" s="18" t="s">
        <v>50</v>
      </c>
      <c r="X23" s="18" t="s">
        <v>50</v>
      </c>
      <c r="Y23" s="18" t="s">
        <v>51</v>
      </c>
      <c r="Z23" s="18" t="s">
        <v>51</v>
      </c>
      <c r="AA23" s="18" t="s">
        <v>50</v>
      </c>
      <c r="AB23" s="18" t="s">
        <v>50</v>
      </c>
      <c r="AC23" s="18" t="s">
        <v>50</v>
      </c>
      <c r="AD23" s="18" t="s">
        <v>52</v>
      </c>
      <c r="AE23" s="18" t="s">
        <v>50</v>
      </c>
      <c r="AF23" s="18" t="s">
        <v>50</v>
      </c>
      <c r="AG23" s="18" t="s">
        <v>52</v>
      </c>
      <c r="AH23" s="18" t="s">
        <v>50</v>
      </c>
      <c r="AI23" s="18" t="s">
        <v>50</v>
      </c>
      <c r="AJ23" s="18" t="s">
        <v>50</v>
      </c>
      <c r="AK23" s="18" t="s">
        <v>51</v>
      </c>
      <c r="AL23" s="18" t="s">
        <v>51</v>
      </c>
      <c r="AM23" s="17" t="s">
        <v>50</v>
      </c>
      <c r="AN23" s="17" t="s">
        <v>50</v>
      </c>
      <c r="AO23" s="17" t="s">
        <v>50</v>
      </c>
      <c r="AP23" s="17" t="s">
        <v>50</v>
      </c>
      <c r="AQ23" s="18" t="s">
        <v>51</v>
      </c>
      <c r="AR23" s="18" t="s">
        <v>51</v>
      </c>
      <c r="AS23" s="18" t="s">
        <v>51</v>
      </c>
      <c r="AT23" s="17" t="s">
        <v>50</v>
      </c>
      <c r="AU23" s="17" t="s">
        <v>50</v>
      </c>
      <c r="AV23" s="17" t="s">
        <v>50</v>
      </c>
      <c r="AW23" s="17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</row>
    <row r="24" ht="16.5" customHeight="1">
      <c r="A24" s="44" t="s">
        <v>225</v>
      </c>
      <c r="B24" s="15" t="s">
        <v>185</v>
      </c>
      <c r="C24" s="25">
        <v>1.021808617E9</v>
      </c>
      <c r="D24" s="17" t="s">
        <v>124</v>
      </c>
      <c r="E24" s="18" t="s">
        <v>50</v>
      </c>
      <c r="F24" s="19" t="s">
        <v>51</v>
      </c>
      <c r="G24" s="52"/>
      <c r="H24" s="22"/>
      <c r="I24" s="20" t="s">
        <v>52</v>
      </c>
      <c r="J24" s="18" t="s">
        <v>50</v>
      </c>
      <c r="K24" s="22"/>
      <c r="L24" s="22"/>
      <c r="M24" s="18" t="s">
        <v>50</v>
      </c>
      <c r="N24" s="19" t="s">
        <v>51</v>
      </c>
      <c r="O24" s="35" t="s">
        <v>111</v>
      </c>
      <c r="P24" s="22"/>
      <c r="Q24" s="35" t="s">
        <v>111</v>
      </c>
      <c r="R24" s="22"/>
      <c r="S24" s="35" t="s">
        <v>111</v>
      </c>
      <c r="T24" s="22"/>
      <c r="U24" s="35" t="s">
        <v>111</v>
      </c>
      <c r="V24" s="22"/>
      <c r="W24" s="18" t="s">
        <v>50</v>
      </c>
      <c r="X24" s="35" t="s">
        <v>111</v>
      </c>
      <c r="Y24" s="22"/>
      <c r="Z24" s="35" t="s">
        <v>111</v>
      </c>
      <c r="AA24" s="22"/>
      <c r="AB24" s="35" t="s">
        <v>111</v>
      </c>
      <c r="AC24" s="22"/>
      <c r="AD24" s="35" t="s">
        <v>111</v>
      </c>
      <c r="AE24" s="22"/>
      <c r="AF24" s="35" t="s">
        <v>111</v>
      </c>
      <c r="AG24" s="18" t="s">
        <v>51</v>
      </c>
      <c r="AH24" s="18" t="s">
        <v>50</v>
      </c>
      <c r="AI24" s="18" t="s">
        <v>50</v>
      </c>
      <c r="AJ24" s="18" t="s">
        <v>50</v>
      </c>
      <c r="AK24" s="18" t="s">
        <v>50</v>
      </c>
      <c r="AL24" s="18" t="s">
        <v>52</v>
      </c>
      <c r="AM24" s="17" t="s">
        <v>52</v>
      </c>
      <c r="AN24" s="17" t="s">
        <v>52</v>
      </c>
      <c r="AO24" s="17" t="s">
        <v>50</v>
      </c>
      <c r="AP24" s="17" t="s">
        <v>50</v>
      </c>
      <c r="AQ24" s="18" t="s">
        <v>51</v>
      </c>
      <c r="AR24" s="18" t="s">
        <v>52</v>
      </c>
      <c r="AS24" s="18" t="s">
        <v>52</v>
      </c>
      <c r="AT24" s="17" t="s">
        <v>50</v>
      </c>
      <c r="AU24" s="17" t="s">
        <v>50</v>
      </c>
      <c r="AV24" s="17" t="s">
        <v>50</v>
      </c>
      <c r="AW24" s="17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</row>
    <row r="25" ht="16.5" customHeight="1">
      <c r="A25" s="14" t="s">
        <v>238</v>
      </c>
      <c r="B25" s="15" t="s">
        <v>191</v>
      </c>
      <c r="C25" s="25">
        <v>1.023624972E9</v>
      </c>
      <c r="D25" s="17" t="s">
        <v>49</v>
      </c>
      <c r="E25" s="18" t="s">
        <v>50</v>
      </c>
      <c r="F25" s="22"/>
      <c r="G25" s="19" t="s">
        <v>51</v>
      </c>
      <c r="H25" s="22"/>
      <c r="I25" s="20" t="s">
        <v>52</v>
      </c>
      <c r="J25" s="22"/>
      <c r="K25" s="18" t="s">
        <v>50</v>
      </c>
      <c r="L25" s="22"/>
      <c r="M25" s="19" t="s">
        <v>51</v>
      </c>
      <c r="N25" s="22"/>
      <c r="O25" s="19" t="s">
        <v>51</v>
      </c>
      <c r="P25" s="19" t="s">
        <v>51</v>
      </c>
      <c r="Q25" s="18" t="s">
        <v>50</v>
      </c>
      <c r="R25" s="18" t="s">
        <v>50</v>
      </c>
      <c r="S25" s="18" t="s">
        <v>50</v>
      </c>
      <c r="T25" s="18" t="s">
        <v>50</v>
      </c>
      <c r="U25" s="18" t="s">
        <v>51</v>
      </c>
      <c r="V25" s="18" t="s">
        <v>51</v>
      </c>
      <c r="W25" s="18" t="s">
        <v>50</v>
      </c>
      <c r="X25" s="18" t="s">
        <v>50</v>
      </c>
      <c r="Y25" s="18" t="s">
        <v>51</v>
      </c>
      <c r="Z25" s="18" t="s">
        <v>50</v>
      </c>
      <c r="AA25" s="18" t="s">
        <v>50</v>
      </c>
      <c r="AB25" s="18" t="s">
        <v>50</v>
      </c>
      <c r="AC25" s="18" t="s">
        <v>50</v>
      </c>
      <c r="AD25" s="18" t="s">
        <v>51</v>
      </c>
      <c r="AE25" s="18" t="s">
        <v>52</v>
      </c>
      <c r="AF25" s="18" t="s">
        <v>51</v>
      </c>
      <c r="AG25" s="18" t="s">
        <v>50</v>
      </c>
      <c r="AH25" s="18" t="s">
        <v>51</v>
      </c>
      <c r="AI25" s="18" t="s">
        <v>51</v>
      </c>
      <c r="AJ25" s="18" t="s">
        <v>50</v>
      </c>
      <c r="AK25" s="18" t="s">
        <v>50</v>
      </c>
      <c r="AL25" s="18" t="s">
        <v>51</v>
      </c>
      <c r="AM25" s="17" t="s">
        <v>52</v>
      </c>
      <c r="AN25" s="17" t="s">
        <v>52</v>
      </c>
      <c r="AO25" s="17" t="s">
        <v>50</v>
      </c>
      <c r="AP25" s="17" t="s">
        <v>50</v>
      </c>
      <c r="AQ25" s="18" t="s">
        <v>51</v>
      </c>
      <c r="AR25" s="18" t="s">
        <v>51</v>
      </c>
      <c r="AS25" s="18" t="s">
        <v>51</v>
      </c>
      <c r="AT25" s="17" t="s">
        <v>50</v>
      </c>
      <c r="AU25" s="17" t="s">
        <v>50</v>
      </c>
      <c r="AV25" s="17" t="s">
        <v>50</v>
      </c>
      <c r="AW25" s="17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</row>
    <row r="26" ht="16.5" customHeight="1">
      <c r="A26" s="53" t="s">
        <v>243</v>
      </c>
      <c r="B26" s="15" t="s">
        <v>194</v>
      </c>
      <c r="C26" s="25">
        <v>1.043414149E9</v>
      </c>
      <c r="D26" s="17" t="s">
        <v>104</v>
      </c>
      <c r="E26" s="18" t="s">
        <v>50</v>
      </c>
      <c r="F26" s="22"/>
      <c r="G26" s="22"/>
      <c r="H26" s="19" t="s">
        <v>51</v>
      </c>
      <c r="I26" s="22"/>
      <c r="J26" s="22"/>
      <c r="K26" s="22"/>
      <c r="L26" s="20" t="s">
        <v>52</v>
      </c>
      <c r="M26" s="22"/>
      <c r="N26" s="18" t="s">
        <v>52</v>
      </c>
      <c r="O26" s="19" t="s">
        <v>51</v>
      </c>
      <c r="P26" s="19" t="s">
        <v>51</v>
      </c>
      <c r="Q26" s="18" t="s">
        <v>50</v>
      </c>
      <c r="R26" s="18" t="s">
        <v>50</v>
      </c>
      <c r="S26" s="18" t="s">
        <v>50</v>
      </c>
      <c r="T26" s="18" t="s">
        <v>50</v>
      </c>
      <c r="U26" s="18" t="s">
        <v>52</v>
      </c>
      <c r="V26" s="18" t="s">
        <v>51</v>
      </c>
      <c r="W26" s="18" t="s">
        <v>50</v>
      </c>
      <c r="X26" s="18" t="s">
        <v>50</v>
      </c>
      <c r="Y26" s="18" t="s">
        <v>51</v>
      </c>
      <c r="Z26" s="18" t="s">
        <v>52</v>
      </c>
      <c r="AA26" s="18" t="s">
        <v>50</v>
      </c>
      <c r="AB26" s="18" t="s">
        <v>50</v>
      </c>
      <c r="AC26" s="18" t="s">
        <v>50</v>
      </c>
      <c r="AD26" s="18" t="s">
        <v>52</v>
      </c>
      <c r="AE26" s="18" t="s">
        <v>50</v>
      </c>
      <c r="AF26" s="18" t="s">
        <v>52</v>
      </c>
      <c r="AG26" s="18" t="s">
        <v>50</v>
      </c>
      <c r="AH26" s="18" t="s">
        <v>50</v>
      </c>
      <c r="AI26" s="18" t="s">
        <v>50</v>
      </c>
      <c r="AJ26" s="18" t="s">
        <v>50</v>
      </c>
      <c r="AK26" s="18" t="s">
        <v>52</v>
      </c>
      <c r="AL26" s="18" t="s">
        <v>52</v>
      </c>
      <c r="AM26" s="17" t="s">
        <v>50</v>
      </c>
      <c r="AN26" s="17" t="s">
        <v>50</v>
      </c>
      <c r="AO26" s="18" t="s">
        <v>52</v>
      </c>
      <c r="AP26" s="18" t="s">
        <v>52</v>
      </c>
      <c r="AQ26" s="17" t="s">
        <v>50</v>
      </c>
      <c r="AR26" s="17" t="s">
        <v>50</v>
      </c>
      <c r="AS26" s="17" t="s">
        <v>50</v>
      </c>
      <c r="AT26" s="18" t="s">
        <v>51</v>
      </c>
      <c r="AU26" s="17" t="s">
        <v>50</v>
      </c>
      <c r="AV26" s="17" t="s">
        <v>50</v>
      </c>
      <c r="AW26" s="17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</row>
    <row r="27" ht="16.5" customHeight="1">
      <c r="A27" s="59" t="s">
        <v>251</v>
      </c>
      <c r="B27" s="18" t="s">
        <v>198</v>
      </c>
      <c r="C27" s="32">
        <v>1.04057022E9</v>
      </c>
      <c r="D27" s="18" t="s">
        <v>104</v>
      </c>
      <c r="E27" s="17" t="s">
        <v>50</v>
      </c>
      <c r="F27" s="17" t="s">
        <v>111</v>
      </c>
      <c r="G27" s="17" t="s">
        <v>254</v>
      </c>
      <c r="H27" s="17" t="s">
        <v>111</v>
      </c>
      <c r="I27" s="19" t="s">
        <v>51</v>
      </c>
      <c r="J27" s="17" t="s">
        <v>111</v>
      </c>
      <c r="K27" s="19" t="s">
        <v>254</v>
      </c>
      <c r="L27" s="19" t="s">
        <v>51</v>
      </c>
      <c r="M27" s="17" t="s">
        <v>111</v>
      </c>
      <c r="N27" s="17" t="s">
        <v>50</v>
      </c>
      <c r="O27" s="19" t="s">
        <v>51</v>
      </c>
      <c r="P27" s="18" t="s">
        <v>50</v>
      </c>
      <c r="Q27" s="35" t="s">
        <v>111</v>
      </c>
      <c r="R27" s="18" t="s">
        <v>50</v>
      </c>
      <c r="S27" s="35" t="s">
        <v>111</v>
      </c>
      <c r="T27" s="19" t="s">
        <v>51</v>
      </c>
      <c r="U27" s="35" t="s">
        <v>111</v>
      </c>
      <c r="V27" s="18" t="s">
        <v>50</v>
      </c>
      <c r="W27" s="18" t="s">
        <v>50</v>
      </c>
      <c r="X27" s="18" t="s">
        <v>51</v>
      </c>
      <c r="Y27" s="18" t="s">
        <v>50</v>
      </c>
      <c r="Z27" s="18" t="s">
        <v>50</v>
      </c>
      <c r="AA27" s="18" t="s">
        <v>50</v>
      </c>
      <c r="AB27" s="18" t="s">
        <v>51</v>
      </c>
      <c r="AC27" s="18" t="s">
        <v>51</v>
      </c>
      <c r="AD27" s="18" t="s">
        <v>50</v>
      </c>
      <c r="AE27" s="18" t="s">
        <v>50</v>
      </c>
      <c r="AF27" s="18" t="s">
        <v>50</v>
      </c>
      <c r="AG27" s="18" t="s">
        <v>51</v>
      </c>
      <c r="AH27" s="18" t="s">
        <v>50</v>
      </c>
      <c r="AI27" s="18" t="s">
        <v>50</v>
      </c>
      <c r="AJ27" s="18" t="s">
        <v>50</v>
      </c>
      <c r="AK27" s="18" t="s">
        <v>50</v>
      </c>
      <c r="AL27" s="18" t="s">
        <v>51</v>
      </c>
      <c r="AM27" s="17" t="s">
        <v>51</v>
      </c>
      <c r="AN27" s="17" t="s">
        <v>51</v>
      </c>
      <c r="AO27" s="17" t="s">
        <v>50</v>
      </c>
      <c r="AP27" s="17" t="s">
        <v>50</v>
      </c>
      <c r="AQ27" s="17" t="s">
        <v>51</v>
      </c>
      <c r="AR27" s="17" t="s">
        <v>51</v>
      </c>
      <c r="AS27" s="17" t="s">
        <v>51</v>
      </c>
      <c r="AT27" s="17" t="s">
        <v>50</v>
      </c>
      <c r="AU27" s="17" t="s">
        <v>50</v>
      </c>
      <c r="AV27" s="17" t="s">
        <v>50</v>
      </c>
      <c r="AW27" s="17" t="s">
        <v>111</v>
      </c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</row>
    <row r="28" ht="16.5" customHeight="1">
      <c r="A28" s="60"/>
      <c r="B28" s="17" t="s">
        <v>200</v>
      </c>
      <c r="C28" s="16"/>
      <c r="D28" s="17" t="s">
        <v>127</v>
      </c>
      <c r="E28" s="18" t="s">
        <v>50</v>
      </c>
      <c r="F28" s="18" t="s">
        <v>111</v>
      </c>
      <c r="G28" s="18" t="s">
        <v>50</v>
      </c>
      <c r="H28" s="19" t="s">
        <v>51</v>
      </c>
      <c r="I28" s="18" t="s">
        <v>50</v>
      </c>
      <c r="J28" s="19" t="s">
        <v>51</v>
      </c>
      <c r="K28" s="18" t="s">
        <v>50</v>
      </c>
      <c r="L28" s="19" t="s">
        <v>51</v>
      </c>
      <c r="M28" s="18" t="s">
        <v>50</v>
      </c>
      <c r="N28" s="17" t="s">
        <v>111</v>
      </c>
      <c r="O28" s="61"/>
      <c r="P28" s="29"/>
      <c r="Q28" s="61"/>
      <c r="R28" s="17"/>
      <c r="S28" s="61"/>
      <c r="T28" s="17"/>
      <c r="U28" s="61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 t="s">
        <v>50</v>
      </c>
      <c r="AR28" s="17" t="s">
        <v>50</v>
      </c>
      <c r="AS28" s="17" t="s">
        <v>50</v>
      </c>
      <c r="AT28" s="17" t="s">
        <v>50</v>
      </c>
      <c r="AU28" s="18" t="s">
        <v>51</v>
      </c>
      <c r="AV28" s="18" t="s">
        <v>51</v>
      </c>
      <c r="AW28" s="17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</row>
    <row r="29" ht="16.5" customHeight="1">
      <c r="A29" s="30" t="s">
        <v>245</v>
      </c>
      <c r="B29" s="18" t="s">
        <v>204</v>
      </c>
      <c r="C29" s="32">
        <v>1.036448863E9</v>
      </c>
      <c r="D29" s="18" t="s">
        <v>124</v>
      </c>
      <c r="E29" s="19" t="s">
        <v>248</v>
      </c>
      <c r="F29" s="18" t="s">
        <v>111</v>
      </c>
      <c r="G29" s="17" t="s">
        <v>111</v>
      </c>
      <c r="H29" s="17" t="s">
        <v>111</v>
      </c>
      <c r="I29" s="17" t="s">
        <v>111</v>
      </c>
      <c r="J29" s="17" t="s">
        <v>111</v>
      </c>
      <c r="K29" s="19" t="s">
        <v>248</v>
      </c>
      <c r="L29" s="17" t="s">
        <v>111</v>
      </c>
      <c r="M29" s="17" t="s">
        <v>51</v>
      </c>
      <c r="N29" s="18" t="s">
        <v>50</v>
      </c>
      <c r="O29" s="36" t="s">
        <v>125</v>
      </c>
      <c r="P29" s="19" t="s">
        <v>51</v>
      </c>
      <c r="Q29" s="36" t="s">
        <v>125</v>
      </c>
      <c r="R29" s="18" t="s">
        <v>50</v>
      </c>
      <c r="S29" s="36" t="s">
        <v>125</v>
      </c>
      <c r="T29" s="18" t="s">
        <v>50</v>
      </c>
      <c r="U29" s="36" t="s">
        <v>125</v>
      </c>
      <c r="V29" s="18" t="s">
        <v>50</v>
      </c>
      <c r="W29" s="18" t="s">
        <v>50</v>
      </c>
      <c r="X29" s="18" t="s">
        <v>51</v>
      </c>
      <c r="Y29" s="18" t="s">
        <v>50</v>
      </c>
      <c r="Z29" s="18" t="s">
        <v>52</v>
      </c>
      <c r="AA29" s="18" t="s">
        <v>50</v>
      </c>
      <c r="AB29" s="18" t="s">
        <v>51</v>
      </c>
      <c r="AC29" s="18" t="s">
        <v>51</v>
      </c>
      <c r="AD29" s="18" t="s">
        <v>50</v>
      </c>
      <c r="AE29" s="18" t="s">
        <v>50</v>
      </c>
      <c r="AF29" s="18" t="s">
        <v>50</v>
      </c>
      <c r="AG29" s="18" t="s">
        <v>51</v>
      </c>
      <c r="AH29" s="18" t="s">
        <v>50</v>
      </c>
      <c r="AI29" s="18" t="s">
        <v>50</v>
      </c>
      <c r="AJ29" s="18" t="s">
        <v>50</v>
      </c>
      <c r="AK29" s="18" t="s">
        <v>50</v>
      </c>
      <c r="AL29" s="18" t="s">
        <v>52</v>
      </c>
      <c r="AM29" s="18" t="s">
        <v>52</v>
      </c>
      <c r="AN29" s="18" t="s">
        <v>52</v>
      </c>
      <c r="AO29" s="17" t="s">
        <v>50</v>
      </c>
      <c r="AP29" s="17" t="s">
        <v>50</v>
      </c>
      <c r="AQ29" s="17" t="s">
        <v>51</v>
      </c>
      <c r="AR29" s="17" t="s">
        <v>51</v>
      </c>
      <c r="AS29" s="17" t="s">
        <v>51</v>
      </c>
      <c r="AT29" s="17" t="s">
        <v>50</v>
      </c>
      <c r="AU29" s="17" t="s">
        <v>50</v>
      </c>
      <c r="AV29" s="17" t="s">
        <v>50</v>
      </c>
      <c r="AW29" s="17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</row>
    <row r="30" ht="16.5" customHeight="1">
      <c r="A30" s="14" t="s">
        <v>267</v>
      </c>
      <c r="B30" s="15" t="s">
        <v>207</v>
      </c>
      <c r="C30" s="25">
        <v>1.022003016E9</v>
      </c>
      <c r="D30" s="17" t="s">
        <v>49</v>
      </c>
      <c r="E30" s="19" t="s">
        <v>51</v>
      </c>
      <c r="F30" s="22"/>
      <c r="G30" s="19" t="s">
        <v>51</v>
      </c>
      <c r="H30" s="22"/>
      <c r="I30" s="22"/>
      <c r="J30" s="22"/>
      <c r="K30" s="19" t="s">
        <v>51</v>
      </c>
      <c r="L30" s="22"/>
      <c r="M30" s="22"/>
      <c r="N30" s="22"/>
      <c r="O30" s="20" t="s">
        <v>52</v>
      </c>
      <c r="P30" s="18" t="s">
        <v>50</v>
      </c>
      <c r="Q30" s="18" t="s">
        <v>50</v>
      </c>
      <c r="R30" s="18" t="s">
        <v>50</v>
      </c>
      <c r="S30" s="19" t="s">
        <v>51</v>
      </c>
      <c r="T30" s="20" t="s">
        <v>52</v>
      </c>
      <c r="U30" s="18" t="s">
        <v>50</v>
      </c>
      <c r="V30" s="18" t="s">
        <v>50</v>
      </c>
      <c r="W30" s="18" t="s">
        <v>50</v>
      </c>
      <c r="X30" s="18" t="s">
        <v>51</v>
      </c>
      <c r="Y30" s="18" t="s">
        <v>50</v>
      </c>
      <c r="Z30" s="18" t="s">
        <v>50</v>
      </c>
      <c r="AA30" s="18" t="s">
        <v>50</v>
      </c>
      <c r="AB30" s="18" t="s">
        <v>51</v>
      </c>
      <c r="AC30" s="18" t="s">
        <v>51</v>
      </c>
      <c r="AD30" s="18" t="s">
        <v>50</v>
      </c>
      <c r="AE30" s="18" t="s">
        <v>50</v>
      </c>
      <c r="AF30" s="18" t="s">
        <v>50</v>
      </c>
      <c r="AG30" s="18" t="s">
        <v>51</v>
      </c>
      <c r="AH30" s="18" t="s">
        <v>50</v>
      </c>
      <c r="AI30" s="18" t="s">
        <v>50</v>
      </c>
      <c r="AJ30" s="18" t="s">
        <v>50</v>
      </c>
      <c r="AK30" s="18" t="s">
        <v>50</v>
      </c>
      <c r="AL30" s="18" t="s">
        <v>51</v>
      </c>
      <c r="AM30" s="17" t="s">
        <v>51</v>
      </c>
      <c r="AN30" s="17" t="s">
        <v>51</v>
      </c>
      <c r="AO30" s="17" t="s">
        <v>50</v>
      </c>
      <c r="AP30" s="17" t="s">
        <v>50</v>
      </c>
      <c r="AQ30" s="17" t="s">
        <v>51</v>
      </c>
      <c r="AR30" s="17" t="s">
        <v>51</v>
      </c>
      <c r="AS30" s="17" t="s">
        <v>51</v>
      </c>
      <c r="AT30" s="17" t="s">
        <v>50</v>
      </c>
      <c r="AU30" s="17" t="s">
        <v>50</v>
      </c>
      <c r="AV30" s="17" t="s">
        <v>50</v>
      </c>
      <c r="AW30" s="17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</row>
    <row r="31" ht="16.5" customHeight="1">
      <c r="A31" s="14" t="s">
        <v>272</v>
      </c>
      <c r="B31" s="15" t="s">
        <v>211</v>
      </c>
      <c r="C31" s="25">
        <v>1.039446686E9</v>
      </c>
      <c r="D31" s="17" t="s">
        <v>127</v>
      </c>
      <c r="E31" s="19" t="s">
        <v>51</v>
      </c>
      <c r="F31" s="17" t="s">
        <v>50</v>
      </c>
      <c r="G31" s="17" t="s">
        <v>111</v>
      </c>
      <c r="H31" s="17" t="s">
        <v>50</v>
      </c>
      <c r="I31" s="19" t="s">
        <v>51</v>
      </c>
      <c r="J31" s="17" t="s">
        <v>50</v>
      </c>
      <c r="K31" s="17" t="s">
        <v>111</v>
      </c>
      <c r="L31" s="17" t="s">
        <v>111</v>
      </c>
      <c r="M31" s="17" t="s">
        <v>51</v>
      </c>
      <c r="N31" s="17" t="s">
        <v>50</v>
      </c>
      <c r="O31" s="19" t="s">
        <v>51</v>
      </c>
      <c r="P31" s="19" t="s">
        <v>51</v>
      </c>
      <c r="Q31" s="18" t="s">
        <v>50</v>
      </c>
      <c r="R31" s="18" t="s">
        <v>50</v>
      </c>
      <c r="S31" s="18" t="s">
        <v>50</v>
      </c>
      <c r="T31" s="18" t="s">
        <v>50</v>
      </c>
      <c r="U31" s="18" t="s">
        <v>51</v>
      </c>
      <c r="V31" s="18" t="s">
        <v>51</v>
      </c>
      <c r="W31" s="18" t="s">
        <v>50</v>
      </c>
      <c r="X31" s="18" t="s">
        <v>50</v>
      </c>
      <c r="Y31" s="18" t="s">
        <v>50</v>
      </c>
      <c r="Z31" s="18" t="s">
        <v>51</v>
      </c>
      <c r="AA31" s="18" t="s">
        <v>51</v>
      </c>
      <c r="AB31" s="18" t="s">
        <v>50</v>
      </c>
      <c r="AC31" s="18" t="s">
        <v>50</v>
      </c>
      <c r="AD31" s="18" t="s">
        <v>50</v>
      </c>
      <c r="AE31" s="18" t="s">
        <v>50</v>
      </c>
      <c r="AF31" s="18" t="s">
        <v>51</v>
      </c>
      <c r="AG31" s="18" t="s">
        <v>51</v>
      </c>
      <c r="AH31" s="18" t="s">
        <v>50</v>
      </c>
      <c r="AI31" s="18" t="s">
        <v>50</v>
      </c>
      <c r="AJ31" s="18" t="s">
        <v>50</v>
      </c>
      <c r="AK31" s="18" t="s">
        <v>50</v>
      </c>
      <c r="AL31" s="18" t="s">
        <v>51</v>
      </c>
      <c r="AM31" s="17" t="s">
        <v>51</v>
      </c>
      <c r="AN31" s="17" t="s">
        <v>51</v>
      </c>
      <c r="AO31" s="17" t="s">
        <v>50</v>
      </c>
      <c r="AP31" s="17" t="s">
        <v>50</v>
      </c>
      <c r="AQ31" s="17" t="s">
        <v>50</v>
      </c>
      <c r="AR31" s="17" t="s">
        <v>51</v>
      </c>
      <c r="AS31" s="17" t="s">
        <v>51</v>
      </c>
      <c r="AT31" s="17" t="s">
        <v>50</v>
      </c>
      <c r="AU31" s="17" t="s">
        <v>50</v>
      </c>
      <c r="AV31" s="17" t="s">
        <v>50</v>
      </c>
      <c r="AW31" s="17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</row>
    <row r="32" ht="16.5" customHeight="1">
      <c r="A32" s="14" t="s">
        <v>277</v>
      </c>
      <c r="B32" s="15" t="s">
        <v>215</v>
      </c>
      <c r="C32" s="25">
        <v>1.033180843E9</v>
      </c>
      <c r="D32" s="17" t="s">
        <v>104</v>
      </c>
      <c r="E32" s="22"/>
      <c r="F32" s="22"/>
      <c r="G32" s="22"/>
      <c r="H32" s="19" t="s">
        <v>51</v>
      </c>
      <c r="I32" s="22"/>
      <c r="J32" s="20" t="s">
        <v>52</v>
      </c>
      <c r="K32" s="22"/>
      <c r="L32" s="22"/>
      <c r="M32" s="22"/>
      <c r="N32" s="18" t="s">
        <v>52</v>
      </c>
      <c r="O32" s="18" t="s">
        <v>50</v>
      </c>
      <c r="P32" s="18" t="s">
        <v>50</v>
      </c>
      <c r="Q32" s="19" t="s">
        <v>51</v>
      </c>
      <c r="R32" s="19" t="s">
        <v>51</v>
      </c>
      <c r="S32" s="18" t="s">
        <v>50</v>
      </c>
      <c r="T32" s="18" t="s">
        <v>50</v>
      </c>
      <c r="U32" s="18" t="s">
        <v>51</v>
      </c>
      <c r="V32" s="18" t="s">
        <v>51</v>
      </c>
      <c r="W32" s="18" t="s">
        <v>50</v>
      </c>
      <c r="X32" s="18" t="s">
        <v>50</v>
      </c>
      <c r="Y32" s="18" t="s">
        <v>50</v>
      </c>
      <c r="Z32" s="18" t="s">
        <v>52</v>
      </c>
      <c r="AA32" s="18" t="s">
        <v>50</v>
      </c>
      <c r="AB32" s="18" t="s">
        <v>50</v>
      </c>
      <c r="AC32" s="18" t="s">
        <v>50</v>
      </c>
      <c r="AD32" s="18" t="s">
        <v>52</v>
      </c>
      <c r="AE32" s="18" t="s">
        <v>50</v>
      </c>
      <c r="AF32" s="18" t="s">
        <v>52</v>
      </c>
      <c r="AG32" s="18" t="s">
        <v>52</v>
      </c>
      <c r="AH32" s="18" t="s">
        <v>50</v>
      </c>
      <c r="AI32" s="18" t="s">
        <v>50</v>
      </c>
      <c r="AJ32" s="18" t="s">
        <v>50</v>
      </c>
      <c r="AK32" s="18" t="s">
        <v>50</v>
      </c>
      <c r="AL32" s="18" t="s">
        <v>52</v>
      </c>
      <c r="AM32" s="18" t="s">
        <v>52</v>
      </c>
      <c r="AN32" s="18" t="s">
        <v>52</v>
      </c>
      <c r="AO32" s="17" t="s">
        <v>50</v>
      </c>
      <c r="AP32" s="17" t="s">
        <v>50</v>
      </c>
      <c r="AQ32" s="18" t="s">
        <v>52</v>
      </c>
      <c r="AR32" s="18" t="s">
        <v>52</v>
      </c>
      <c r="AS32" s="18" t="s">
        <v>52</v>
      </c>
      <c r="AT32" s="17" t="s">
        <v>50</v>
      </c>
      <c r="AU32" s="17"/>
      <c r="AV32" s="17"/>
      <c r="AW32" s="17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</row>
    <row r="33" ht="16.5" customHeight="1">
      <c r="A33" s="14" t="s">
        <v>280</v>
      </c>
      <c r="B33" s="15" t="s">
        <v>220</v>
      </c>
      <c r="C33" s="25">
        <v>1.033180843E9</v>
      </c>
      <c r="D33" s="17" t="s">
        <v>221</v>
      </c>
      <c r="E33" s="19" t="s">
        <v>51</v>
      </c>
      <c r="F33" s="22"/>
      <c r="G33" s="22"/>
      <c r="H33" s="22"/>
      <c r="I33" s="20" t="s">
        <v>52</v>
      </c>
      <c r="J33" s="22"/>
      <c r="K33" s="22"/>
      <c r="L33" s="20" t="s">
        <v>52</v>
      </c>
      <c r="M33" s="22"/>
      <c r="N33" s="22"/>
      <c r="O33" s="27" t="s">
        <v>100</v>
      </c>
      <c r="P33" s="27" t="s">
        <v>100</v>
      </c>
      <c r="Q33" s="27" t="s">
        <v>100</v>
      </c>
      <c r="R33" s="27" t="s">
        <v>100</v>
      </c>
      <c r="S33" s="27" t="s">
        <v>100</v>
      </c>
      <c r="T33" s="27" t="s">
        <v>100</v>
      </c>
      <c r="U33" s="27" t="s">
        <v>100</v>
      </c>
      <c r="V33" s="27" t="s">
        <v>100</v>
      </c>
      <c r="W33" s="18" t="s">
        <v>50</v>
      </c>
      <c r="X33" s="27" t="s">
        <v>100</v>
      </c>
      <c r="Y33" s="27" t="s">
        <v>100</v>
      </c>
      <c r="Z33" s="27" t="s">
        <v>100</v>
      </c>
      <c r="AA33" s="27" t="s">
        <v>100</v>
      </c>
      <c r="AB33" s="27" t="s">
        <v>100</v>
      </c>
      <c r="AC33" s="27" t="s">
        <v>100</v>
      </c>
      <c r="AD33" s="18" t="s">
        <v>50</v>
      </c>
      <c r="AE33" s="27" t="s">
        <v>100</v>
      </c>
      <c r="AF33" s="27" t="s">
        <v>50</v>
      </c>
      <c r="AG33" s="18" t="s">
        <v>50</v>
      </c>
      <c r="AH33" s="27" t="s">
        <v>100</v>
      </c>
      <c r="AI33" s="27" t="s">
        <v>100</v>
      </c>
      <c r="AJ33" s="27" t="s">
        <v>100</v>
      </c>
      <c r="AK33" s="27" t="s">
        <v>100</v>
      </c>
      <c r="AL33" s="18" t="s">
        <v>50</v>
      </c>
      <c r="AM33" s="18" t="s">
        <v>50</v>
      </c>
      <c r="AN33" s="18" t="s">
        <v>50</v>
      </c>
      <c r="AO33" s="17" t="s">
        <v>52</v>
      </c>
      <c r="AP33" s="17" t="s">
        <v>52</v>
      </c>
      <c r="AQ33" s="17" t="s">
        <v>50</v>
      </c>
      <c r="AR33" s="17" t="s">
        <v>50</v>
      </c>
      <c r="AS33" s="17" t="s">
        <v>50</v>
      </c>
      <c r="AT33" s="17" t="s">
        <v>50</v>
      </c>
      <c r="AU33" s="18" t="s">
        <v>52</v>
      </c>
      <c r="AV33" s="18" t="s">
        <v>52</v>
      </c>
      <c r="AW33" s="17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</row>
    <row r="34" ht="16.5" customHeight="1">
      <c r="A34" s="30" t="s">
        <v>193</v>
      </c>
      <c r="B34" s="18" t="s">
        <v>224</v>
      </c>
      <c r="C34" s="32">
        <v>1.000654693E9</v>
      </c>
      <c r="D34" s="18" t="s">
        <v>104</v>
      </c>
      <c r="E34" s="19" t="s">
        <v>51</v>
      </c>
      <c r="F34" s="18" t="s">
        <v>111</v>
      </c>
      <c r="G34" s="20" t="s">
        <v>52</v>
      </c>
      <c r="H34" s="18" t="s">
        <v>50</v>
      </c>
      <c r="I34" s="19" t="s">
        <v>51</v>
      </c>
      <c r="J34" s="17" t="s">
        <v>111</v>
      </c>
      <c r="K34" s="18" t="s">
        <v>111</v>
      </c>
      <c r="L34" s="17" t="s">
        <v>111</v>
      </c>
      <c r="M34" s="20" t="s">
        <v>52</v>
      </c>
      <c r="N34" s="17" t="s">
        <v>50</v>
      </c>
      <c r="O34" s="19" t="s">
        <v>51</v>
      </c>
      <c r="P34" s="18" t="s">
        <v>50</v>
      </c>
      <c r="Q34" s="18" t="s">
        <v>50</v>
      </c>
      <c r="R34" s="18" t="s">
        <v>50</v>
      </c>
      <c r="S34" s="20" t="s">
        <v>52</v>
      </c>
      <c r="T34" s="19" t="s">
        <v>51</v>
      </c>
      <c r="U34" s="18" t="s">
        <v>50</v>
      </c>
      <c r="V34" s="18" t="s">
        <v>50</v>
      </c>
      <c r="W34" s="18" t="s">
        <v>50</v>
      </c>
      <c r="X34" s="18" t="s">
        <v>50</v>
      </c>
      <c r="Y34" s="18" t="s">
        <v>50</v>
      </c>
      <c r="Z34" s="18" t="s">
        <v>52</v>
      </c>
      <c r="AA34" s="18" t="s">
        <v>50</v>
      </c>
      <c r="AB34" s="18" t="s">
        <v>50</v>
      </c>
      <c r="AC34" s="18" t="s">
        <v>50</v>
      </c>
      <c r="AD34" s="18" t="s">
        <v>50</v>
      </c>
      <c r="AE34" s="18" t="s">
        <v>50</v>
      </c>
      <c r="AF34" s="18" t="s">
        <v>51</v>
      </c>
      <c r="AG34" s="18" t="s">
        <v>50</v>
      </c>
      <c r="AH34" s="18" t="s">
        <v>50</v>
      </c>
      <c r="AI34" s="18" t="s">
        <v>50</v>
      </c>
      <c r="AJ34" s="18" t="s">
        <v>50</v>
      </c>
      <c r="AK34" s="18" t="s">
        <v>50</v>
      </c>
      <c r="AL34" s="18" t="s">
        <v>52</v>
      </c>
      <c r="AM34" s="17" t="s">
        <v>52</v>
      </c>
      <c r="AN34" s="17" t="s">
        <v>52</v>
      </c>
      <c r="AO34" s="17" t="s">
        <v>50</v>
      </c>
      <c r="AP34" s="17" t="s">
        <v>50</v>
      </c>
      <c r="AQ34" s="18" t="s">
        <v>51</v>
      </c>
      <c r="AR34" s="18" t="s">
        <v>51</v>
      </c>
      <c r="AS34" s="18" t="s">
        <v>51</v>
      </c>
      <c r="AT34" s="17" t="s">
        <v>50</v>
      </c>
      <c r="AU34" s="18" t="s">
        <v>51</v>
      </c>
      <c r="AV34" s="18" t="s">
        <v>51</v>
      </c>
      <c r="AW34" s="17" t="s">
        <v>111</v>
      </c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</row>
    <row r="35" ht="16.5" customHeight="1">
      <c r="A35" s="14" t="s">
        <v>290</v>
      </c>
      <c r="B35" s="15" t="s">
        <v>228</v>
      </c>
      <c r="C35" s="25">
        <v>1.033184338E9</v>
      </c>
      <c r="D35" s="17" t="s">
        <v>49</v>
      </c>
      <c r="E35" s="22"/>
      <c r="F35" s="22"/>
      <c r="G35" s="18" t="s">
        <v>50</v>
      </c>
      <c r="H35" s="22"/>
      <c r="I35" s="19" t="s">
        <v>51</v>
      </c>
      <c r="J35" s="22"/>
      <c r="K35" s="19" t="s">
        <v>51</v>
      </c>
      <c r="L35" s="22"/>
      <c r="M35" s="19" t="s">
        <v>51</v>
      </c>
      <c r="N35" s="22"/>
      <c r="O35" s="19" t="s">
        <v>51</v>
      </c>
      <c r="P35" s="18" t="s">
        <v>50</v>
      </c>
      <c r="Q35" s="18" t="s">
        <v>50</v>
      </c>
      <c r="R35" s="18" t="s">
        <v>50</v>
      </c>
      <c r="S35" s="19" t="s">
        <v>51</v>
      </c>
      <c r="T35" s="19" t="s">
        <v>51</v>
      </c>
      <c r="U35" s="18" t="s">
        <v>50</v>
      </c>
      <c r="V35" s="18" t="s">
        <v>50</v>
      </c>
      <c r="W35" s="18" t="s">
        <v>50</v>
      </c>
      <c r="X35" s="18" t="s">
        <v>51</v>
      </c>
      <c r="Y35" s="18" t="s">
        <v>50</v>
      </c>
      <c r="Z35" s="18" t="s">
        <v>51</v>
      </c>
      <c r="AA35" s="18" t="s">
        <v>50</v>
      </c>
      <c r="AB35" s="18" t="s">
        <v>51</v>
      </c>
      <c r="AC35" s="18" t="s">
        <v>51</v>
      </c>
      <c r="AD35" s="18" t="s">
        <v>50</v>
      </c>
      <c r="AE35" s="18" t="s">
        <v>50</v>
      </c>
      <c r="AF35" s="18" t="s">
        <v>50</v>
      </c>
      <c r="AG35" s="18" t="s">
        <v>51</v>
      </c>
      <c r="AH35" s="18" t="s">
        <v>50</v>
      </c>
      <c r="AI35" s="18" t="s">
        <v>50</v>
      </c>
      <c r="AJ35" s="18" t="s">
        <v>50</v>
      </c>
      <c r="AK35" s="18" t="s">
        <v>50</v>
      </c>
      <c r="AL35" s="18" t="s">
        <v>51</v>
      </c>
      <c r="AM35" s="17" t="s">
        <v>51</v>
      </c>
      <c r="AN35" s="17" t="s">
        <v>51</v>
      </c>
      <c r="AO35" s="17" t="s">
        <v>50</v>
      </c>
      <c r="AP35" s="17" t="s">
        <v>50</v>
      </c>
      <c r="AQ35" s="17" t="s">
        <v>50</v>
      </c>
      <c r="AR35" s="18" t="s">
        <v>51</v>
      </c>
      <c r="AS35" s="18" t="s">
        <v>51</v>
      </c>
      <c r="AT35" s="17" t="s">
        <v>50</v>
      </c>
      <c r="AU35" s="18" t="s">
        <v>51</v>
      </c>
      <c r="AV35" s="18" t="s">
        <v>51</v>
      </c>
      <c r="AW35" s="17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</row>
    <row r="36" ht="16.5" customHeight="1">
      <c r="A36" s="14" t="s">
        <v>297</v>
      </c>
      <c r="B36" s="15" t="s">
        <v>231</v>
      </c>
      <c r="C36" s="25">
        <v>1.000548531E9</v>
      </c>
      <c r="D36" s="17" t="s">
        <v>214</v>
      </c>
      <c r="E36" s="22"/>
      <c r="F36" s="18" t="s">
        <v>50</v>
      </c>
      <c r="G36" s="22"/>
      <c r="H36" s="19" t="s">
        <v>51</v>
      </c>
      <c r="I36" s="22"/>
      <c r="J36" s="19" t="s">
        <v>51</v>
      </c>
      <c r="K36" s="22"/>
      <c r="L36" s="19" t="s">
        <v>51</v>
      </c>
      <c r="M36" s="22"/>
      <c r="N36" s="22"/>
      <c r="O36" s="18" t="s">
        <v>50</v>
      </c>
      <c r="P36" s="18" t="s">
        <v>50</v>
      </c>
      <c r="Q36" s="19" t="s">
        <v>51</v>
      </c>
      <c r="R36" s="19" t="s">
        <v>51</v>
      </c>
      <c r="S36" s="18" t="s">
        <v>50</v>
      </c>
      <c r="T36" s="18" t="s">
        <v>50</v>
      </c>
      <c r="U36" s="18" t="s">
        <v>51</v>
      </c>
      <c r="V36" s="18" t="s">
        <v>51</v>
      </c>
      <c r="W36" s="18" t="s">
        <v>50</v>
      </c>
      <c r="X36" s="18" t="s">
        <v>50</v>
      </c>
      <c r="Y36" s="18" t="s">
        <v>51</v>
      </c>
      <c r="Z36" s="18" t="s">
        <v>50</v>
      </c>
      <c r="AA36" s="18" t="s">
        <v>50</v>
      </c>
      <c r="AB36" s="18" t="s">
        <v>50</v>
      </c>
      <c r="AC36" s="18" t="s">
        <v>50</v>
      </c>
      <c r="AD36" s="18" t="s">
        <v>51</v>
      </c>
      <c r="AE36" s="18" t="s">
        <v>50</v>
      </c>
      <c r="AF36" s="18" t="s">
        <v>50</v>
      </c>
      <c r="AG36" s="18" t="s">
        <v>50</v>
      </c>
      <c r="AH36" s="18" t="s">
        <v>51</v>
      </c>
      <c r="AI36" s="18" t="s">
        <v>51</v>
      </c>
      <c r="AJ36" s="18" t="s">
        <v>50</v>
      </c>
      <c r="AK36" s="18" t="s">
        <v>50</v>
      </c>
      <c r="AL36" s="18" t="s">
        <v>51</v>
      </c>
      <c r="AM36" s="18" t="s">
        <v>50</v>
      </c>
      <c r="AN36" s="18" t="s">
        <v>50</v>
      </c>
      <c r="AO36" s="17" t="s">
        <v>51</v>
      </c>
      <c r="AP36" s="17" t="s">
        <v>51</v>
      </c>
      <c r="AQ36" s="17" t="s">
        <v>50</v>
      </c>
      <c r="AR36" s="17" t="s">
        <v>50</v>
      </c>
      <c r="AS36" s="17" t="s">
        <v>50</v>
      </c>
      <c r="AT36" s="17" t="s">
        <v>51</v>
      </c>
      <c r="AU36" s="18" t="s">
        <v>51</v>
      </c>
      <c r="AV36" s="18" t="s">
        <v>51</v>
      </c>
      <c r="AW36" s="17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</row>
    <row r="37" ht="16.5" customHeight="1">
      <c r="A37" s="30" t="s">
        <v>186</v>
      </c>
      <c r="B37" s="18" t="s">
        <v>236</v>
      </c>
      <c r="C37" s="32">
        <v>1.025886622E9</v>
      </c>
      <c r="D37" s="18" t="s">
        <v>49</v>
      </c>
      <c r="E37" s="19" t="s">
        <v>51</v>
      </c>
      <c r="F37" s="18" t="s">
        <v>50</v>
      </c>
      <c r="G37" s="17" t="s">
        <v>111</v>
      </c>
      <c r="H37" s="17" t="s">
        <v>111</v>
      </c>
      <c r="I37" s="17" t="s">
        <v>111</v>
      </c>
      <c r="J37" s="19" t="s">
        <v>51</v>
      </c>
      <c r="K37" s="17" t="s">
        <v>111</v>
      </c>
      <c r="L37" s="17" t="s">
        <v>111</v>
      </c>
      <c r="M37" s="19" t="s">
        <v>51</v>
      </c>
      <c r="N37" s="17" t="s">
        <v>50</v>
      </c>
      <c r="O37" s="19" t="s">
        <v>51</v>
      </c>
      <c r="P37" s="18" t="s">
        <v>50</v>
      </c>
      <c r="Q37" s="18" t="s">
        <v>50</v>
      </c>
      <c r="R37" s="18" t="s">
        <v>50</v>
      </c>
      <c r="S37" s="18" t="s">
        <v>50</v>
      </c>
      <c r="T37" s="19" t="s">
        <v>51</v>
      </c>
      <c r="U37" s="18" t="s">
        <v>50</v>
      </c>
      <c r="V37" s="18" t="s">
        <v>50</v>
      </c>
      <c r="W37" s="18" t="s">
        <v>50</v>
      </c>
      <c r="X37" s="18" t="s">
        <v>51</v>
      </c>
      <c r="Y37" s="18" t="s">
        <v>50</v>
      </c>
      <c r="Z37" s="18" t="s">
        <v>51</v>
      </c>
      <c r="AA37" s="18" t="s">
        <v>50</v>
      </c>
      <c r="AB37" s="18" t="s">
        <v>51</v>
      </c>
      <c r="AC37" s="18" t="s">
        <v>51</v>
      </c>
      <c r="AD37" s="18" t="s">
        <v>50</v>
      </c>
      <c r="AE37" s="18" t="s">
        <v>50</v>
      </c>
      <c r="AF37" s="18" t="s">
        <v>50</v>
      </c>
      <c r="AG37" s="18" t="s">
        <v>51</v>
      </c>
      <c r="AH37" s="18" t="s">
        <v>50</v>
      </c>
      <c r="AI37" s="18" t="s">
        <v>50</v>
      </c>
      <c r="AJ37" s="18" t="s">
        <v>50</v>
      </c>
      <c r="AK37" s="18" t="s">
        <v>190</v>
      </c>
      <c r="AL37" s="18" t="s">
        <v>51</v>
      </c>
      <c r="AM37" s="17" t="s">
        <v>51</v>
      </c>
      <c r="AN37" s="17" t="s">
        <v>51</v>
      </c>
      <c r="AO37" s="17" t="s">
        <v>50</v>
      </c>
      <c r="AP37" s="17" t="s">
        <v>50</v>
      </c>
      <c r="AQ37" s="17" t="s">
        <v>50</v>
      </c>
      <c r="AR37" s="18" t="s">
        <v>51</v>
      </c>
      <c r="AS37" s="17" t="s">
        <v>50</v>
      </c>
      <c r="AT37" s="17" t="s">
        <v>50</v>
      </c>
      <c r="AU37" s="18" t="s">
        <v>51</v>
      </c>
      <c r="AV37" s="18" t="s">
        <v>51</v>
      </c>
      <c r="AW37" s="17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</row>
    <row r="38" ht="16.5" customHeight="1">
      <c r="A38" s="68" t="s">
        <v>306</v>
      </c>
      <c r="B38" s="18" t="s">
        <v>240</v>
      </c>
      <c r="C38" s="32">
        <v>1.025887911E9</v>
      </c>
      <c r="D38" s="18" t="s">
        <v>118</v>
      </c>
      <c r="E38" s="17" t="s">
        <v>111</v>
      </c>
      <c r="F38" s="17" t="s">
        <v>111</v>
      </c>
      <c r="G38" s="19" t="s">
        <v>51</v>
      </c>
      <c r="H38" s="18" t="s">
        <v>50</v>
      </c>
      <c r="I38" s="17" t="s">
        <v>111</v>
      </c>
      <c r="J38" s="19" t="s">
        <v>51</v>
      </c>
      <c r="K38" s="17" t="s">
        <v>111</v>
      </c>
      <c r="L38" s="17" t="s">
        <v>111</v>
      </c>
      <c r="M38" s="19" t="s">
        <v>51</v>
      </c>
      <c r="N38" s="17" t="s">
        <v>50</v>
      </c>
      <c r="O38" s="22"/>
      <c r="P38" s="22"/>
      <c r="Q38" s="20" t="s">
        <v>99</v>
      </c>
      <c r="R38" s="20" t="s">
        <v>99</v>
      </c>
      <c r="S38" s="18" t="s">
        <v>50</v>
      </c>
      <c r="T38" s="18" t="s">
        <v>50</v>
      </c>
      <c r="U38" s="18" t="s">
        <v>51</v>
      </c>
      <c r="V38" s="18" t="s">
        <v>51</v>
      </c>
      <c r="W38" s="18" t="s">
        <v>50</v>
      </c>
      <c r="X38" s="18" t="s">
        <v>50</v>
      </c>
      <c r="Y38" s="18" t="s">
        <v>51</v>
      </c>
      <c r="Z38" s="18" t="s">
        <v>50</v>
      </c>
      <c r="AA38" s="18" t="s">
        <v>50</v>
      </c>
      <c r="AB38" s="18" t="s">
        <v>50</v>
      </c>
      <c r="AC38" s="18" t="s">
        <v>50</v>
      </c>
      <c r="AD38" s="18" t="s">
        <v>51</v>
      </c>
      <c r="AE38" s="18" t="s">
        <v>50</v>
      </c>
      <c r="AF38" s="18" t="s">
        <v>50</v>
      </c>
      <c r="AG38" s="18" t="s">
        <v>50</v>
      </c>
      <c r="AH38" s="18" t="s">
        <v>51</v>
      </c>
      <c r="AI38" s="18" t="s">
        <v>51</v>
      </c>
      <c r="AJ38" s="18" t="s">
        <v>50</v>
      </c>
      <c r="AK38" s="18" t="s">
        <v>50</v>
      </c>
      <c r="AL38" s="18" t="s">
        <v>51</v>
      </c>
      <c r="AM38" s="17" t="s">
        <v>52</v>
      </c>
      <c r="AN38" s="17" t="s">
        <v>52</v>
      </c>
      <c r="AO38" s="17" t="s">
        <v>50</v>
      </c>
      <c r="AP38" s="17" t="s">
        <v>50</v>
      </c>
      <c r="AQ38" s="17" t="s">
        <v>50</v>
      </c>
      <c r="AR38" s="17" t="s">
        <v>52</v>
      </c>
      <c r="AS38" s="17" t="s">
        <v>52</v>
      </c>
      <c r="AT38" s="17" t="s">
        <v>50</v>
      </c>
      <c r="AU38" s="18" t="s">
        <v>51</v>
      </c>
      <c r="AV38" s="18" t="s">
        <v>51</v>
      </c>
      <c r="AW38" s="17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</row>
    <row r="39" ht="16.5" customHeight="1">
      <c r="A39" s="44" t="s">
        <v>311</v>
      </c>
      <c r="B39" s="15" t="s">
        <v>244</v>
      </c>
      <c r="C39" s="25">
        <v>1.020113476E9</v>
      </c>
      <c r="D39" s="17" t="s">
        <v>49</v>
      </c>
      <c r="E39" s="22"/>
      <c r="F39" s="22"/>
      <c r="G39" s="18" t="s">
        <v>50</v>
      </c>
      <c r="H39" s="20" t="s">
        <v>52</v>
      </c>
      <c r="I39" s="22"/>
      <c r="J39" s="22"/>
      <c r="K39" s="19" t="s">
        <v>51</v>
      </c>
      <c r="L39" s="22"/>
      <c r="M39" s="22"/>
      <c r="N39" s="22"/>
      <c r="O39" s="20" t="s">
        <v>52</v>
      </c>
      <c r="P39" s="18" t="s">
        <v>50</v>
      </c>
      <c r="Q39" s="36" t="s">
        <v>125</v>
      </c>
      <c r="R39" s="18" t="s">
        <v>50</v>
      </c>
      <c r="S39" s="19" t="s">
        <v>51</v>
      </c>
      <c r="T39" s="18" t="s">
        <v>50</v>
      </c>
      <c r="U39" s="36" t="s">
        <v>125</v>
      </c>
      <c r="V39" s="18" t="s">
        <v>50</v>
      </c>
      <c r="W39" s="18" t="s">
        <v>50</v>
      </c>
      <c r="X39" s="36" t="s">
        <v>125</v>
      </c>
      <c r="Y39" s="18" t="s">
        <v>50</v>
      </c>
      <c r="Z39" s="36" t="s">
        <v>125</v>
      </c>
      <c r="AA39" s="18" t="s">
        <v>50</v>
      </c>
      <c r="AB39" s="36" t="s">
        <v>125</v>
      </c>
      <c r="AC39" s="18" t="s">
        <v>50</v>
      </c>
      <c r="AD39" s="18" t="s">
        <v>50</v>
      </c>
      <c r="AE39" s="36" t="s">
        <v>125</v>
      </c>
      <c r="AF39" s="18" t="s">
        <v>50</v>
      </c>
      <c r="AG39" s="18" t="s">
        <v>50</v>
      </c>
      <c r="AH39" s="36" t="s">
        <v>125</v>
      </c>
      <c r="AI39" s="18" t="s">
        <v>50</v>
      </c>
      <c r="AJ39" s="36" t="s">
        <v>125</v>
      </c>
      <c r="AK39" s="18" t="s">
        <v>50</v>
      </c>
      <c r="AL39" s="18" t="s">
        <v>51</v>
      </c>
      <c r="AM39" s="17" t="s">
        <v>52</v>
      </c>
      <c r="AN39" s="17" t="s">
        <v>52</v>
      </c>
      <c r="AO39" s="17" t="s">
        <v>50</v>
      </c>
      <c r="AP39" s="17" t="s">
        <v>50</v>
      </c>
      <c r="AQ39" s="17" t="s">
        <v>50</v>
      </c>
      <c r="AR39" s="18" t="s">
        <v>51</v>
      </c>
      <c r="AS39" s="17" t="s">
        <v>50</v>
      </c>
      <c r="AT39" s="17" t="s">
        <v>52</v>
      </c>
      <c r="AU39" s="18" t="s">
        <v>51</v>
      </c>
      <c r="AV39" s="18" t="s">
        <v>51</v>
      </c>
      <c r="AW39" s="17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</row>
    <row r="40" ht="16.5" customHeight="1">
      <c r="A40" s="14" t="s">
        <v>317</v>
      </c>
      <c r="B40" s="15" t="s">
        <v>249</v>
      </c>
      <c r="C40" s="58">
        <v>1.034918934E9</v>
      </c>
      <c r="D40" s="26" t="s">
        <v>250</v>
      </c>
      <c r="E40" s="18" t="s">
        <v>50</v>
      </c>
      <c r="F40" s="22"/>
      <c r="G40" s="18" t="s">
        <v>50</v>
      </c>
      <c r="H40" s="22"/>
      <c r="I40" s="18" t="s">
        <v>50</v>
      </c>
      <c r="J40" s="22"/>
      <c r="K40" s="18" t="s">
        <v>52</v>
      </c>
      <c r="L40" s="22"/>
      <c r="M40" s="18" t="s">
        <v>52</v>
      </c>
      <c r="N40" s="22"/>
      <c r="O40" s="27" t="s">
        <v>100</v>
      </c>
      <c r="P40" s="18" t="s">
        <v>50</v>
      </c>
      <c r="Q40" s="27" t="s">
        <v>100</v>
      </c>
      <c r="R40" s="20" t="s">
        <v>52</v>
      </c>
      <c r="S40" s="27" t="s">
        <v>100</v>
      </c>
      <c r="T40" s="18" t="s">
        <v>50</v>
      </c>
      <c r="U40" s="27" t="s">
        <v>100</v>
      </c>
      <c r="V40" s="18" t="s">
        <v>50</v>
      </c>
      <c r="W40" s="18" t="s">
        <v>50</v>
      </c>
      <c r="X40" s="18" t="s">
        <v>50</v>
      </c>
      <c r="Y40" s="18" t="s">
        <v>50</v>
      </c>
      <c r="Z40" s="27" t="s">
        <v>100</v>
      </c>
      <c r="AA40" s="18" t="s">
        <v>50</v>
      </c>
      <c r="AB40" s="27" t="s">
        <v>100</v>
      </c>
      <c r="AC40" s="18" t="s">
        <v>50</v>
      </c>
      <c r="AD40" s="27" t="s">
        <v>100</v>
      </c>
      <c r="AE40" s="18" t="s">
        <v>50</v>
      </c>
      <c r="AF40" s="18" t="s">
        <v>50</v>
      </c>
      <c r="AG40" s="27" t="s">
        <v>100</v>
      </c>
      <c r="AH40" s="27" t="s">
        <v>100</v>
      </c>
      <c r="AI40" s="18" t="s">
        <v>50</v>
      </c>
      <c r="AJ40" s="27" t="s">
        <v>100</v>
      </c>
      <c r="AK40" s="18" t="s">
        <v>50</v>
      </c>
      <c r="AL40" s="18" t="s">
        <v>50</v>
      </c>
      <c r="AM40" s="27" t="s">
        <v>100</v>
      </c>
      <c r="AN40" s="27" t="s">
        <v>100</v>
      </c>
      <c r="AO40" s="17" t="s">
        <v>50</v>
      </c>
      <c r="AP40" s="17" t="s">
        <v>50</v>
      </c>
      <c r="AQ40" s="17" t="s">
        <v>50</v>
      </c>
      <c r="AR40" s="17" t="s">
        <v>52</v>
      </c>
      <c r="AS40" s="17" t="s">
        <v>50</v>
      </c>
      <c r="AT40" s="17" t="s">
        <v>52</v>
      </c>
      <c r="AU40" s="17" t="s">
        <v>52</v>
      </c>
      <c r="AV40" s="17" t="s">
        <v>52</v>
      </c>
      <c r="AW40" s="17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</row>
    <row r="41" ht="16.5" customHeight="1">
      <c r="A41" s="14" t="s">
        <v>322</v>
      </c>
      <c r="B41" s="15" t="s">
        <v>255</v>
      </c>
      <c r="C41" s="25">
        <v>1.000411471E9</v>
      </c>
      <c r="D41" s="17" t="s">
        <v>256</v>
      </c>
      <c r="E41" s="22"/>
      <c r="F41" s="22"/>
      <c r="G41" s="18" t="s">
        <v>52</v>
      </c>
      <c r="H41" s="22"/>
      <c r="I41" s="19" t="s">
        <v>51</v>
      </c>
      <c r="J41" s="22"/>
      <c r="K41" s="20" t="s">
        <v>52</v>
      </c>
      <c r="L41" s="22"/>
      <c r="M41" s="18" t="s">
        <v>52</v>
      </c>
      <c r="N41" s="22"/>
      <c r="O41" s="27" t="s">
        <v>100</v>
      </c>
      <c r="P41" s="18" t="s">
        <v>50</v>
      </c>
      <c r="Q41" s="27" t="s">
        <v>100</v>
      </c>
      <c r="R41" s="20" t="s">
        <v>52</v>
      </c>
      <c r="S41" s="27" t="s">
        <v>100</v>
      </c>
      <c r="T41" s="18" t="s">
        <v>50</v>
      </c>
      <c r="U41" s="27" t="s">
        <v>100</v>
      </c>
      <c r="V41" s="18" t="s">
        <v>50</v>
      </c>
      <c r="W41" s="18" t="s">
        <v>50</v>
      </c>
      <c r="X41" s="18" t="s">
        <v>50</v>
      </c>
      <c r="Y41" s="18" t="s">
        <v>50</v>
      </c>
      <c r="Z41" s="27" t="s">
        <v>100</v>
      </c>
      <c r="AA41" s="18" t="s">
        <v>50</v>
      </c>
      <c r="AB41" s="27" t="s">
        <v>100</v>
      </c>
      <c r="AC41" s="18" t="s">
        <v>50</v>
      </c>
      <c r="AD41" s="27" t="s">
        <v>100</v>
      </c>
      <c r="AE41" s="18" t="s">
        <v>50</v>
      </c>
      <c r="AF41" s="18" t="s">
        <v>50</v>
      </c>
      <c r="AG41" s="27" t="s">
        <v>100</v>
      </c>
      <c r="AH41" s="27" t="s">
        <v>100</v>
      </c>
      <c r="AI41" s="18" t="s">
        <v>50</v>
      </c>
      <c r="AJ41" s="27" t="s">
        <v>100</v>
      </c>
      <c r="AK41" s="18" t="s">
        <v>50</v>
      </c>
      <c r="AL41" s="18" t="s">
        <v>50</v>
      </c>
      <c r="AM41" s="17" t="s">
        <v>52</v>
      </c>
      <c r="AN41" s="17" t="s">
        <v>51</v>
      </c>
      <c r="AO41" s="17" t="s">
        <v>50</v>
      </c>
      <c r="AP41" s="17" t="s">
        <v>50</v>
      </c>
      <c r="AQ41" s="18" t="s">
        <v>52</v>
      </c>
      <c r="AR41" s="17" t="s">
        <v>52</v>
      </c>
      <c r="AS41" s="17" t="s">
        <v>50</v>
      </c>
      <c r="AT41" s="17" t="s">
        <v>52</v>
      </c>
      <c r="AU41" s="17" t="s">
        <v>52</v>
      </c>
      <c r="AV41" s="17" t="s">
        <v>52</v>
      </c>
      <c r="AW41" s="17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</row>
    <row r="42" ht="16.5" customHeight="1">
      <c r="A42" s="37" t="s">
        <v>331</v>
      </c>
      <c r="B42" s="18" t="s">
        <v>259</v>
      </c>
      <c r="C42" s="32">
        <v>1.03498784E9</v>
      </c>
      <c r="D42" s="18" t="s">
        <v>49</v>
      </c>
      <c r="E42" s="17" t="s">
        <v>111</v>
      </c>
      <c r="F42" s="17" t="s">
        <v>111</v>
      </c>
      <c r="G42" s="17" t="s">
        <v>111</v>
      </c>
      <c r="H42" s="17" t="s">
        <v>111</v>
      </c>
      <c r="I42" s="19" t="s">
        <v>51</v>
      </c>
      <c r="J42" s="17" t="s">
        <v>111</v>
      </c>
      <c r="K42" s="17" t="s">
        <v>111</v>
      </c>
      <c r="L42" s="17" t="s">
        <v>111</v>
      </c>
      <c r="M42" s="18" t="s">
        <v>52</v>
      </c>
      <c r="N42" s="18" t="s">
        <v>50</v>
      </c>
      <c r="O42" s="18" t="s">
        <v>50</v>
      </c>
      <c r="P42" s="18" t="s">
        <v>50</v>
      </c>
      <c r="Q42" s="20" t="s">
        <v>99</v>
      </c>
      <c r="R42" s="18" t="s">
        <v>50</v>
      </c>
      <c r="S42" s="18" t="s">
        <v>50</v>
      </c>
      <c r="T42" s="18" t="s">
        <v>50</v>
      </c>
      <c r="U42" s="18" t="s">
        <v>51</v>
      </c>
      <c r="V42" s="18" t="s">
        <v>51</v>
      </c>
      <c r="W42" s="18" t="s">
        <v>50</v>
      </c>
      <c r="X42" s="18" t="s">
        <v>50</v>
      </c>
      <c r="Y42" s="18" t="s">
        <v>51</v>
      </c>
      <c r="Z42" s="18" t="s">
        <v>52</v>
      </c>
      <c r="AA42" s="18" t="s">
        <v>50</v>
      </c>
      <c r="AB42" s="18" t="s">
        <v>50</v>
      </c>
      <c r="AC42" s="18" t="s">
        <v>50</v>
      </c>
      <c r="AD42" s="18" t="s">
        <v>50</v>
      </c>
      <c r="AE42" s="18" t="s">
        <v>52</v>
      </c>
      <c r="AF42" s="18" t="s">
        <v>50</v>
      </c>
      <c r="AG42" s="18" t="s">
        <v>52</v>
      </c>
      <c r="AH42" s="18" t="s">
        <v>50</v>
      </c>
      <c r="AI42" s="18" t="s">
        <v>50</v>
      </c>
      <c r="AJ42" s="18" t="s">
        <v>50</v>
      </c>
      <c r="AK42" s="18" t="s">
        <v>50</v>
      </c>
      <c r="AL42" s="18" t="s">
        <v>52</v>
      </c>
      <c r="AM42" s="17" t="s">
        <v>51</v>
      </c>
      <c r="AN42" s="17" t="s">
        <v>51</v>
      </c>
      <c r="AO42" s="17" t="s">
        <v>50</v>
      </c>
      <c r="AP42" s="17" t="s">
        <v>50</v>
      </c>
      <c r="AQ42" s="17" t="s">
        <v>50</v>
      </c>
      <c r="AR42" s="17" t="s">
        <v>52</v>
      </c>
      <c r="AS42" s="17" t="s">
        <v>50</v>
      </c>
      <c r="AT42" s="17" t="s">
        <v>52</v>
      </c>
      <c r="AU42" s="18" t="s">
        <v>51</v>
      </c>
      <c r="AV42" s="18" t="s">
        <v>51</v>
      </c>
      <c r="AW42" s="17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</row>
    <row r="43" ht="16.5" customHeight="1">
      <c r="A43" s="74" t="s">
        <v>338</v>
      </c>
      <c r="B43" s="42" t="s">
        <v>262</v>
      </c>
      <c r="C43" s="76">
        <v>1.017929273E9</v>
      </c>
      <c r="D43" s="42" t="s">
        <v>49</v>
      </c>
      <c r="E43" s="18" t="s">
        <v>50</v>
      </c>
      <c r="F43" s="17" t="s">
        <v>111</v>
      </c>
      <c r="G43" s="18" t="s">
        <v>51</v>
      </c>
      <c r="H43" s="19" t="s">
        <v>111</v>
      </c>
      <c r="I43" s="18" t="s">
        <v>52</v>
      </c>
      <c r="J43" s="17" t="s">
        <v>111</v>
      </c>
      <c r="K43" s="62" t="s">
        <v>51</v>
      </c>
      <c r="L43" s="17" t="s">
        <v>111</v>
      </c>
      <c r="M43" s="19" t="s">
        <v>343</v>
      </c>
      <c r="N43" s="17" t="s">
        <v>111</v>
      </c>
      <c r="O43" s="19" t="s">
        <v>51</v>
      </c>
      <c r="P43" s="18" t="s">
        <v>50</v>
      </c>
      <c r="Q43" s="18" t="s">
        <v>50</v>
      </c>
      <c r="R43" s="18" t="s">
        <v>50</v>
      </c>
      <c r="S43" s="20" t="s">
        <v>52</v>
      </c>
      <c r="T43" s="20" t="s">
        <v>52</v>
      </c>
      <c r="U43" s="18" t="s">
        <v>50</v>
      </c>
      <c r="V43" s="18" t="s">
        <v>50</v>
      </c>
      <c r="W43" s="18" t="s">
        <v>50</v>
      </c>
      <c r="X43" s="18" t="s">
        <v>52</v>
      </c>
      <c r="Y43" s="18" t="s">
        <v>50</v>
      </c>
      <c r="Z43" s="18" t="s">
        <v>52</v>
      </c>
      <c r="AA43" s="18" t="s">
        <v>50</v>
      </c>
      <c r="AB43" s="18" t="s">
        <v>51</v>
      </c>
      <c r="AC43" s="18" t="s">
        <v>51</v>
      </c>
      <c r="AD43" s="18" t="s">
        <v>50</v>
      </c>
      <c r="AE43" s="18" t="s">
        <v>52</v>
      </c>
      <c r="AF43" s="18" t="s">
        <v>50</v>
      </c>
      <c r="AG43" s="18" t="s">
        <v>50</v>
      </c>
      <c r="AH43" s="18" t="s">
        <v>50</v>
      </c>
      <c r="AI43" s="18" t="s">
        <v>50</v>
      </c>
      <c r="AJ43" s="18" t="s">
        <v>51</v>
      </c>
      <c r="AK43" s="18" t="s">
        <v>51</v>
      </c>
      <c r="AL43" s="18" t="s">
        <v>50</v>
      </c>
      <c r="AM43" s="17" t="s">
        <v>50</v>
      </c>
      <c r="AN43" s="17" t="s">
        <v>50</v>
      </c>
      <c r="AO43" s="17" t="s">
        <v>51</v>
      </c>
      <c r="AP43" s="17" t="s">
        <v>51</v>
      </c>
      <c r="AQ43" s="17" t="s">
        <v>50</v>
      </c>
      <c r="AR43" s="17" t="s">
        <v>50</v>
      </c>
      <c r="AS43" s="17" t="s">
        <v>50</v>
      </c>
      <c r="AT43" s="17" t="s">
        <v>51</v>
      </c>
      <c r="AU43" s="17" t="s">
        <v>52</v>
      </c>
      <c r="AV43" s="17" t="s">
        <v>52</v>
      </c>
      <c r="AW43" s="17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</row>
    <row r="44" ht="16.5" customHeight="1">
      <c r="A44" s="14" t="s">
        <v>349</v>
      </c>
      <c r="B44" s="15" t="s">
        <v>268</v>
      </c>
      <c r="C44" s="25">
        <v>1.040574294E9</v>
      </c>
      <c r="D44" s="17" t="s">
        <v>124</v>
      </c>
      <c r="E44" s="19" t="s">
        <v>51</v>
      </c>
      <c r="F44" s="22"/>
      <c r="G44" s="63"/>
      <c r="H44" s="22"/>
      <c r="I44" s="19" t="s">
        <v>51</v>
      </c>
      <c r="J44" s="22"/>
      <c r="K44" s="18" t="s">
        <v>50</v>
      </c>
      <c r="L44" s="22"/>
      <c r="M44" s="22"/>
      <c r="N44" s="22"/>
      <c r="O44" s="36" t="s">
        <v>125</v>
      </c>
      <c r="P44" s="18" t="s">
        <v>50</v>
      </c>
      <c r="Q44" s="36" t="s">
        <v>125</v>
      </c>
      <c r="R44" s="20" t="s">
        <v>99</v>
      </c>
      <c r="S44" s="36" t="s">
        <v>125</v>
      </c>
      <c r="T44" s="18" t="s">
        <v>50</v>
      </c>
      <c r="U44" s="36" t="s">
        <v>125</v>
      </c>
      <c r="V44" s="18" t="s">
        <v>50</v>
      </c>
      <c r="W44" s="18" t="s">
        <v>50</v>
      </c>
      <c r="X44" s="36" t="s">
        <v>125</v>
      </c>
      <c r="Y44" s="18" t="s">
        <v>50</v>
      </c>
      <c r="Z44" s="36" t="s">
        <v>125</v>
      </c>
      <c r="AA44" s="18" t="s">
        <v>50</v>
      </c>
      <c r="AB44" s="36" t="s">
        <v>125</v>
      </c>
      <c r="AC44" s="18" t="s">
        <v>50</v>
      </c>
      <c r="AD44" s="36" t="s">
        <v>125</v>
      </c>
      <c r="AE44" s="18" t="s">
        <v>50</v>
      </c>
      <c r="AF44" s="36" t="s">
        <v>125</v>
      </c>
      <c r="AG44" s="18" t="s">
        <v>50</v>
      </c>
      <c r="AH44" s="36" t="s">
        <v>125</v>
      </c>
      <c r="AI44" s="36" t="s">
        <v>125</v>
      </c>
      <c r="AJ44" s="36" t="s">
        <v>125</v>
      </c>
      <c r="AK44" s="18" t="s">
        <v>50</v>
      </c>
      <c r="AL44" s="18" t="s">
        <v>51</v>
      </c>
      <c r="AM44" s="17" t="s">
        <v>50</v>
      </c>
      <c r="AN44" s="17" t="s">
        <v>52</v>
      </c>
      <c r="AO44" s="17" t="s">
        <v>50</v>
      </c>
      <c r="AP44" s="17" t="s">
        <v>50</v>
      </c>
      <c r="AQ44" s="18" t="s">
        <v>52</v>
      </c>
      <c r="AR44" s="17" t="s">
        <v>50</v>
      </c>
      <c r="AS44" s="17" t="s">
        <v>50</v>
      </c>
      <c r="AT44" s="17" t="s">
        <v>52</v>
      </c>
      <c r="AU44" s="17" t="s">
        <v>52</v>
      </c>
      <c r="AV44" s="17" t="s">
        <v>52</v>
      </c>
      <c r="AW44" s="17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</row>
    <row r="45" ht="16.5" customHeight="1">
      <c r="A45" s="14" t="s">
        <v>354</v>
      </c>
      <c r="B45" s="15" t="s">
        <v>271</v>
      </c>
      <c r="C45" s="25">
        <v>1.04057022E9</v>
      </c>
      <c r="D45" s="64" t="s">
        <v>90</v>
      </c>
      <c r="E45" s="22"/>
      <c r="F45" s="18" t="s">
        <v>50</v>
      </c>
      <c r="G45" s="22"/>
      <c r="H45" s="22"/>
      <c r="I45" s="22"/>
      <c r="J45" s="22"/>
      <c r="K45" s="22"/>
      <c r="L45" s="22"/>
      <c r="M45" s="18" t="s">
        <v>52</v>
      </c>
      <c r="N45" s="18" t="s">
        <v>50</v>
      </c>
      <c r="O45" s="27" t="s">
        <v>100</v>
      </c>
      <c r="P45" s="27" t="s">
        <v>100</v>
      </c>
      <c r="Q45" s="27" t="s">
        <v>100</v>
      </c>
      <c r="R45" s="27" t="s">
        <v>100</v>
      </c>
      <c r="S45" s="27" t="s">
        <v>100</v>
      </c>
      <c r="T45" s="27" t="s">
        <v>100</v>
      </c>
      <c r="U45" s="27" t="s">
        <v>100</v>
      </c>
      <c r="V45" s="27" t="s">
        <v>100</v>
      </c>
      <c r="W45" s="18" t="s">
        <v>50</v>
      </c>
      <c r="X45" s="27" t="s">
        <v>100</v>
      </c>
      <c r="Y45" s="27" t="s">
        <v>100</v>
      </c>
      <c r="Z45" s="27" t="s">
        <v>100</v>
      </c>
      <c r="AA45" s="27" t="s">
        <v>100</v>
      </c>
      <c r="AB45" s="27" t="s">
        <v>100</v>
      </c>
      <c r="AC45" s="27" t="s">
        <v>100</v>
      </c>
      <c r="AD45" s="27" t="s">
        <v>100</v>
      </c>
      <c r="AE45" s="27" t="s">
        <v>100</v>
      </c>
      <c r="AF45" s="27" t="s">
        <v>100</v>
      </c>
      <c r="AG45" s="18" t="s">
        <v>52</v>
      </c>
      <c r="AH45" s="27" t="s">
        <v>100</v>
      </c>
      <c r="AI45" s="27" t="s">
        <v>100</v>
      </c>
      <c r="AJ45" s="27" t="s">
        <v>100</v>
      </c>
      <c r="AK45" s="27" t="s">
        <v>100</v>
      </c>
      <c r="AL45" s="18" t="s">
        <v>52</v>
      </c>
      <c r="AM45" s="18" t="s">
        <v>50</v>
      </c>
      <c r="AN45" s="17" t="s">
        <v>50</v>
      </c>
      <c r="AO45" s="17" t="s">
        <v>52</v>
      </c>
      <c r="AP45" s="17" t="s">
        <v>52</v>
      </c>
      <c r="AQ45" s="18" t="s">
        <v>52</v>
      </c>
      <c r="AR45" s="17" t="s">
        <v>50</v>
      </c>
      <c r="AS45" s="17" t="s">
        <v>50</v>
      </c>
      <c r="AT45" s="17" t="s">
        <v>52</v>
      </c>
      <c r="AU45" s="17" t="s">
        <v>52</v>
      </c>
      <c r="AV45" s="17" t="s">
        <v>52</v>
      </c>
      <c r="AW45" s="17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</row>
    <row r="46" ht="16.5" customHeight="1">
      <c r="A46" s="65"/>
      <c r="B46" s="15" t="s">
        <v>361</v>
      </c>
      <c r="C46" s="25">
        <v>1.038868428E9</v>
      </c>
      <c r="D46" s="17" t="s">
        <v>124</v>
      </c>
      <c r="E46" s="17"/>
      <c r="F46" s="19" t="s">
        <v>51</v>
      </c>
      <c r="G46" s="19" t="s">
        <v>52</v>
      </c>
      <c r="H46" s="17"/>
      <c r="I46" s="17"/>
      <c r="J46" s="19" t="s">
        <v>52</v>
      </c>
      <c r="K46" s="17"/>
      <c r="L46" s="19" t="s">
        <v>51</v>
      </c>
      <c r="M46" s="19" t="s">
        <v>51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 t="s">
        <v>50</v>
      </c>
      <c r="AP46" s="17" t="s">
        <v>50</v>
      </c>
      <c r="AQ46" s="18" t="s">
        <v>52</v>
      </c>
      <c r="AR46" s="17" t="s">
        <v>50</v>
      </c>
      <c r="AS46" s="17" t="s">
        <v>50</v>
      </c>
      <c r="AT46" s="17" t="s">
        <v>50</v>
      </c>
      <c r="AU46" s="17" t="s">
        <v>52</v>
      </c>
      <c r="AV46" s="17" t="s">
        <v>52</v>
      </c>
      <c r="AW46" s="17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</row>
    <row r="47" ht="16.5" customHeight="1">
      <c r="A47" s="44" t="s">
        <v>364</v>
      </c>
      <c r="B47" s="15" t="s">
        <v>278</v>
      </c>
      <c r="C47" s="25">
        <v>1.04035541E9</v>
      </c>
      <c r="D47" s="17" t="s">
        <v>49</v>
      </c>
      <c r="E47" s="18" t="s">
        <v>50</v>
      </c>
      <c r="F47" s="22"/>
      <c r="G47" s="34" t="s">
        <v>50</v>
      </c>
      <c r="H47" s="19" t="s">
        <v>51</v>
      </c>
      <c r="I47" s="19" t="s">
        <v>50</v>
      </c>
      <c r="J47" s="18" t="s">
        <v>51</v>
      </c>
      <c r="K47" s="18" t="s">
        <v>50</v>
      </c>
      <c r="L47" s="22"/>
      <c r="M47" s="18" t="s">
        <v>50</v>
      </c>
      <c r="N47" s="19" t="s">
        <v>51</v>
      </c>
      <c r="O47" s="19" t="s">
        <v>51</v>
      </c>
      <c r="P47" s="18" t="s">
        <v>50</v>
      </c>
      <c r="Q47" s="18" t="s">
        <v>50</v>
      </c>
      <c r="R47" s="18" t="s">
        <v>50</v>
      </c>
      <c r="S47" s="20" t="s">
        <v>52</v>
      </c>
      <c r="T47" s="18" t="s">
        <v>50</v>
      </c>
      <c r="U47" s="18" t="s">
        <v>51</v>
      </c>
      <c r="V47" s="18" t="s">
        <v>51</v>
      </c>
      <c r="W47" s="18" t="s">
        <v>50</v>
      </c>
      <c r="X47" s="18" t="s">
        <v>50</v>
      </c>
      <c r="Y47" s="18" t="s">
        <v>51</v>
      </c>
      <c r="Z47" s="18" t="s">
        <v>51</v>
      </c>
      <c r="AA47" s="18" t="s">
        <v>50</v>
      </c>
      <c r="AB47" s="18" t="s">
        <v>50</v>
      </c>
      <c r="AC47" s="18" t="s">
        <v>50</v>
      </c>
      <c r="AD47" s="18" t="s">
        <v>51</v>
      </c>
      <c r="AE47" s="18" t="s">
        <v>50</v>
      </c>
      <c r="AF47" s="18" t="s">
        <v>50</v>
      </c>
      <c r="AG47" s="18" t="s">
        <v>50</v>
      </c>
      <c r="AH47" s="18" t="s">
        <v>51</v>
      </c>
      <c r="AI47" s="18" t="s">
        <v>51</v>
      </c>
      <c r="AJ47" s="18" t="s">
        <v>50</v>
      </c>
      <c r="AK47" s="18" t="s">
        <v>50</v>
      </c>
      <c r="AL47" s="18" t="s">
        <v>50</v>
      </c>
      <c r="AM47" s="17" t="s">
        <v>51</v>
      </c>
      <c r="AN47" s="17" t="s">
        <v>50</v>
      </c>
      <c r="AO47" s="17" t="s">
        <v>52</v>
      </c>
      <c r="AP47" s="17" t="s">
        <v>52</v>
      </c>
      <c r="AQ47" s="17" t="s">
        <v>50</v>
      </c>
      <c r="AR47" s="17" t="s">
        <v>50</v>
      </c>
      <c r="AS47" s="17" t="s">
        <v>50</v>
      </c>
      <c r="AT47" s="17" t="s">
        <v>52</v>
      </c>
      <c r="AU47" s="19" t="s">
        <v>51</v>
      </c>
      <c r="AV47" s="19" t="s">
        <v>51</v>
      </c>
      <c r="AW47" s="17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</row>
    <row r="48" ht="16.5" customHeight="1">
      <c r="A48" s="49" t="s">
        <v>279</v>
      </c>
      <c r="B48" s="15" t="s">
        <v>281</v>
      </c>
      <c r="C48" s="25">
        <v>1.000889013E9</v>
      </c>
      <c r="D48" s="17" t="s">
        <v>127</v>
      </c>
      <c r="E48" s="19" t="s">
        <v>162</v>
      </c>
      <c r="F48" s="22"/>
      <c r="G48" s="22"/>
      <c r="H48" s="22"/>
      <c r="I48" s="19" t="s">
        <v>162</v>
      </c>
      <c r="J48" s="22"/>
      <c r="K48" s="22"/>
      <c r="L48" s="22"/>
      <c r="M48" s="22"/>
      <c r="N48" s="22"/>
      <c r="O48" s="19" t="s">
        <v>51</v>
      </c>
      <c r="P48" s="18" t="s">
        <v>50</v>
      </c>
      <c r="Q48" s="18" t="s">
        <v>50</v>
      </c>
      <c r="R48" s="18" t="s">
        <v>50</v>
      </c>
      <c r="S48" s="19" t="s">
        <v>51</v>
      </c>
      <c r="T48" s="18" t="s">
        <v>50</v>
      </c>
      <c r="U48" s="18" t="s">
        <v>50</v>
      </c>
      <c r="V48" s="18" t="s">
        <v>51</v>
      </c>
      <c r="W48" s="18" t="s">
        <v>50</v>
      </c>
      <c r="X48" s="18" t="s">
        <v>50</v>
      </c>
      <c r="Y48" s="18" t="s">
        <v>51</v>
      </c>
      <c r="Z48" s="18" t="s">
        <v>51</v>
      </c>
      <c r="AA48" s="18" t="s">
        <v>50</v>
      </c>
      <c r="AB48" s="18" t="s">
        <v>50</v>
      </c>
      <c r="AC48" s="18" t="s">
        <v>50</v>
      </c>
      <c r="AD48" s="18" t="s">
        <v>51</v>
      </c>
      <c r="AE48" s="18" t="s">
        <v>50</v>
      </c>
      <c r="AF48" s="18" t="s">
        <v>50</v>
      </c>
      <c r="AG48" s="18" t="s">
        <v>50</v>
      </c>
      <c r="AH48" s="18" t="s">
        <v>51</v>
      </c>
      <c r="AI48" s="18" t="s">
        <v>51</v>
      </c>
      <c r="AJ48" s="18" t="s">
        <v>50</v>
      </c>
      <c r="AK48" s="18" t="s">
        <v>51</v>
      </c>
      <c r="AL48" s="18" t="s">
        <v>50</v>
      </c>
      <c r="AM48" s="18" t="s">
        <v>50</v>
      </c>
      <c r="AN48" s="17" t="s">
        <v>51</v>
      </c>
      <c r="AO48" s="17" t="s">
        <v>51</v>
      </c>
      <c r="AP48" s="17" t="s">
        <v>51</v>
      </c>
      <c r="AQ48" s="17" t="s">
        <v>50</v>
      </c>
      <c r="AR48" s="17" t="s">
        <v>50</v>
      </c>
      <c r="AS48" s="17" t="s">
        <v>50</v>
      </c>
      <c r="AT48" s="17" t="s">
        <v>51</v>
      </c>
      <c r="AU48" s="19" t="s">
        <v>51</v>
      </c>
      <c r="AV48" s="19" t="s">
        <v>51</v>
      </c>
      <c r="AW48" s="17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</row>
    <row r="49" ht="16.5" customHeight="1">
      <c r="A49" s="14" t="s">
        <v>376</v>
      </c>
      <c r="B49" s="15" t="s">
        <v>285</v>
      </c>
      <c r="C49" s="25">
        <v>1.125276976E9</v>
      </c>
      <c r="D49" s="17" t="s">
        <v>127</v>
      </c>
      <c r="E49" s="19" t="s">
        <v>51</v>
      </c>
      <c r="F49" s="18" t="s">
        <v>50</v>
      </c>
      <c r="G49" s="22"/>
      <c r="H49" s="19" t="s">
        <v>51</v>
      </c>
      <c r="I49" s="22"/>
      <c r="J49" s="15"/>
      <c r="K49" s="22"/>
      <c r="L49" s="19" t="s">
        <v>51</v>
      </c>
      <c r="M49" s="22"/>
      <c r="N49" s="22"/>
      <c r="O49" s="19" t="s">
        <v>51</v>
      </c>
      <c r="P49" s="18" t="s">
        <v>50</v>
      </c>
      <c r="Q49" s="18" t="s">
        <v>50</v>
      </c>
      <c r="R49" s="18" t="s">
        <v>50</v>
      </c>
      <c r="S49" s="19" t="s">
        <v>51</v>
      </c>
      <c r="T49" s="18" t="s">
        <v>50</v>
      </c>
      <c r="U49" s="18" t="s">
        <v>50</v>
      </c>
      <c r="V49" s="18" t="s">
        <v>50</v>
      </c>
      <c r="W49" s="18" t="s">
        <v>51</v>
      </c>
      <c r="X49" s="18" t="s">
        <v>50</v>
      </c>
      <c r="Y49" s="18" t="s">
        <v>50</v>
      </c>
      <c r="Z49" s="18" t="s">
        <v>51</v>
      </c>
      <c r="AA49" s="18" t="s">
        <v>51</v>
      </c>
      <c r="AB49" s="18" t="s">
        <v>50</v>
      </c>
      <c r="AC49" s="18" t="s">
        <v>50</v>
      </c>
      <c r="AD49" s="18" t="s">
        <v>50</v>
      </c>
      <c r="AE49" s="18" t="s">
        <v>51</v>
      </c>
      <c r="AF49" s="18" t="s">
        <v>51</v>
      </c>
      <c r="AG49" s="18" t="s">
        <v>50</v>
      </c>
      <c r="AH49" s="18" t="s">
        <v>50</v>
      </c>
      <c r="AI49" s="18" t="s">
        <v>50</v>
      </c>
      <c r="AJ49" s="18" t="s">
        <v>51</v>
      </c>
      <c r="AK49" s="18" t="s">
        <v>50</v>
      </c>
      <c r="AL49" s="18" t="s">
        <v>50</v>
      </c>
      <c r="AM49" s="17" t="s">
        <v>51</v>
      </c>
      <c r="AN49" s="17" t="s">
        <v>50</v>
      </c>
      <c r="AO49" s="17" t="s">
        <v>51</v>
      </c>
      <c r="AP49" s="17" t="s">
        <v>51</v>
      </c>
      <c r="AQ49" s="17" t="s">
        <v>50</v>
      </c>
      <c r="AR49" s="17" t="s">
        <v>50</v>
      </c>
      <c r="AS49" s="17" t="s">
        <v>50</v>
      </c>
      <c r="AT49" s="17" t="s">
        <v>50</v>
      </c>
      <c r="AU49" s="19" t="s">
        <v>51</v>
      </c>
      <c r="AV49" s="19" t="s">
        <v>51</v>
      </c>
      <c r="AW49" s="17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</row>
    <row r="50" ht="16.5" customHeight="1">
      <c r="A50" s="30" t="s">
        <v>381</v>
      </c>
      <c r="B50" s="18" t="s">
        <v>288</v>
      </c>
      <c r="C50" s="32">
        <v>1.038867205E9</v>
      </c>
      <c r="D50" s="18" t="s">
        <v>127</v>
      </c>
      <c r="E50" s="19" t="s">
        <v>111</v>
      </c>
      <c r="F50" s="19" t="s">
        <v>111</v>
      </c>
      <c r="G50" s="19" t="s">
        <v>111</v>
      </c>
      <c r="H50" s="17" t="s">
        <v>384</v>
      </c>
      <c r="I50" s="19" t="s">
        <v>111</v>
      </c>
      <c r="J50" s="19" t="s">
        <v>111</v>
      </c>
      <c r="K50" s="19" t="s">
        <v>111</v>
      </c>
      <c r="L50" s="17" t="s">
        <v>384</v>
      </c>
      <c r="M50" s="18" t="s">
        <v>50</v>
      </c>
      <c r="N50" s="18" t="s">
        <v>50</v>
      </c>
      <c r="O50" s="19" t="s">
        <v>51</v>
      </c>
      <c r="P50" s="18" t="s">
        <v>50</v>
      </c>
      <c r="Q50" s="18" t="s">
        <v>50</v>
      </c>
      <c r="R50" s="18" t="s">
        <v>50</v>
      </c>
      <c r="S50" s="19" t="s">
        <v>51</v>
      </c>
      <c r="T50" s="18" t="s">
        <v>50</v>
      </c>
      <c r="U50" s="18" t="s">
        <v>50</v>
      </c>
      <c r="V50" s="18" t="s">
        <v>50</v>
      </c>
      <c r="W50" s="18" t="s">
        <v>51</v>
      </c>
      <c r="X50" s="18" t="s">
        <v>50</v>
      </c>
      <c r="Y50" s="18" t="s">
        <v>50</v>
      </c>
      <c r="Z50" s="18" t="s">
        <v>52</v>
      </c>
      <c r="AA50" s="18" t="s">
        <v>51</v>
      </c>
      <c r="AB50" s="18" t="s">
        <v>50</v>
      </c>
      <c r="AC50" s="18" t="s">
        <v>50</v>
      </c>
      <c r="AD50" s="18" t="s">
        <v>50</v>
      </c>
      <c r="AE50" s="18" t="s">
        <v>51</v>
      </c>
      <c r="AF50" s="18" t="s">
        <v>51</v>
      </c>
      <c r="AG50" s="18" t="s">
        <v>50</v>
      </c>
      <c r="AH50" s="18" t="s">
        <v>50</v>
      </c>
      <c r="AI50" s="18" t="s">
        <v>50</v>
      </c>
      <c r="AJ50" s="18" t="s">
        <v>51</v>
      </c>
      <c r="AK50" s="18" t="s">
        <v>50</v>
      </c>
      <c r="AL50" s="18" t="s">
        <v>50</v>
      </c>
      <c r="AM50" s="17" t="s">
        <v>51</v>
      </c>
      <c r="AN50" s="17" t="s">
        <v>50</v>
      </c>
      <c r="AO50" s="17" t="s">
        <v>51</v>
      </c>
      <c r="AP50" s="17" t="s">
        <v>51</v>
      </c>
      <c r="AQ50" s="17" t="s">
        <v>50</v>
      </c>
      <c r="AR50" s="17" t="s">
        <v>50</v>
      </c>
      <c r="AS50" s="17" t="s">
        <v>50</v>
      </c>
      <c r="AT50" s="17" t="s">
        <v>51</v>
      </c>
      <c r="AU50" s="17" t="s">
        <v>51</v>
      </c>
      <c r="AV50" s="17" t="s">
        <v>51</v>
      </c>
      <c r="AW50" s="17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</row>
    <row r="51" ht="16.5" customHeight="1">
      <c r="A51" s="47" t="s">
        <v>332</v>
      </c>
      <c r="B51" s="18" t="s">
        <v>294</v>
      </c>
      <c r="C51" s="32">
        <v>1.040572295E9</v>
      </c>
      <c r="D51" s="18" t="s">
        <v>124</v>
      </c>
      <c r="E51" s="19" t="s">
        <v>51</v>
      </c>
      <c r="F51" s="17" t="s">
        <v>111</v>
      </c>
      <c r="G51" s="19" t="s">
        <v>111</v>
      </c>
      <c r="H51" s="17" t="s">
        <v>111</v>
      </c>
      <c r="I51" s="17" t="s">
        <v>51</v>
      </c>
      <c r="J51" s="17" t="s">
        <v>111</v>
      </c>
      <c r="K51" s="19" t="s">
        <v>111</v>
      </c>
      <c r="L51" s="17" t="s">
        <v>111</v>
      </c>
      <c r="M51" s="17" t="s">
        <v>51</v>
      </c>
      <c r="N51" s="17" t="s">
        <v>111</v>
      </c>
      <c r="O51" s="19" t="s">
        <v>51</v>
      </c>
      <c r="P51" s="18" t="s">
        <v>50</v>
      </c>
      <c r="Q51" s="18" t="s">
        <v>50</v>
      </c>
      <c r="R51" s="18" t="s">
        <v>50</v>
      </c>
      <c r="S51" s="20" t="s">
        <v>52</v>
      </c>
      <c r="T51" s="18" t="s">
        <v>50</v>
      </c>
      <c r="U51" s="18" t="s">
        <v>50</v>
      </c>
      <c r="V51" s="18" t="s">
        <v>50</v>
      </c>
      <c r="W51" s="18" t="s">
        <v>51</v>
      </c>
      <c r="X51" s="18" t="s">
        <v>50</v>
      </c>
      <c r="Y51" s="18" t="s">
        <v>50</v>
      </c>
      <c r="Z51" s="18" t="s">
        <v>52</v>
      </c>
      <c r="AA51" s="18" t="s">
        <v>51</v>
      </c>
      <c r="AB51" s="18" t="s">
        <v>50</v>
      </c>
      <c r="AC51" s="18" t="s">
        <v>50</v>
      </c>
      <c r="AD51" s="18" t="s">
        <v>50</v>
      </c>
      <c r="AE51" s="18" t="s">
        <v>52</v>
      </c>
      <c r="AF51" s="18" t="s">
        <v>51</v>
      </c>
      <c r="AG51" s="18" t="s">
        <v>50</v>
      </c>
      <c r="AH51" s="18" t="s">
        <v>50</v>
      </c>
      <c r="AI51" s="18" t="s">
        <v>50</v>
      </c>
      <c r="AJ51" s="18" t="s">
        <v>51</v>
      </c>
      <c r="AK51" s="18" t="s">
        <v>50</v>
      </c>
      <c r="AL51" s="18" t="s">
        <v>50</v>
      </c>
      <c r="AM51" s="17" t="s">
        <v>51</v>
      </c>
      <c r="AN51" s="17" t="s">
        <v>50</v>
      </c>
      <c r="AO51" s="17" t="s">
        <v>52</v>
      </c>
      <c r="AP51" s="17" t="s">
        <v>52</v>
      </c>
      <c r="AQ51" s="17" t="s">
        <v>50</v>
      </c>
      <c r="AR51" s="17" t="s">
        <v>50</v>
      </c>
      <c r="AS51" s="17" t="s">
        <v>50</v>
      </c>
      <c r="AT51" s="17" t="s">
        <v>51</v>
      </c>
      <c r="AU51" s="19" t="s">
        <v>51</v>
      </c>
      <c r="AV51" s="19" t="s">
        <v>51</v>
      </c>
      <c r="AW51" s="27" t="s">
        <v>100</v>
      </c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</row>
    <row r="52" ht="16.5" customHeight="1">
      <c r="A52" s="53" t="s">
        <v>395</v>
      </c>
      <c r="B52" s="15" t="s">
        <v>298</v>
      </c>
      <c r="C52" s="25">
        <v>1.036448195E9</v>
      </c>
      <c r="D52" s="26" t="s">
        <v>90</v>
      </c>
      <c r="E52" s="18" t="s">
        <v>233</v>
      </c>
      <c r="F52" s="18" t="s">
        <v>233</v>
      </c>
      <c r="G52" s="18" t="s">
        <v>50</v>
      </c>
      <c r="H52" s="20" t="s">
        <v>99</v>
      </c>
      <c r="I52" s="20" t="s">
        <v>52</v>
      </c>
      <c r="J52" s="20" t="s">
        <v>52</v>
      </c>
      <c r="K52" s="20" t="s">
        <v>235</v>
      </c>
      <c r="L52" s="22"/>
      <c r="M52" s="18" t="s">
        <v>50</v>
      </c>
      <c r="N52" s="18" t="s">
        <v>52</v>
      </c>
      <c r="O52" s="35" t="s">
        <v>111</v>
      </c>
      <c r="P52" s="35" t="s">
        <v>111</v>
      </c>
      <c r="Q52" s="35" t="s">
        <v>111</v>
      </c>
      <c r="R52" s="35" t="s">
        <v>111</v>
      </c>
      <c r="S52" s="35" t="s">
        <v>111</v>
      </c>
      <c r="T52" s="35" t="s">
        <v>111</v>
      </c>
      <c r="U52" s="35" t="s">
        <v>111</v>
      </c>
      <c r="V52" s="35" t="s">
        <v>111</v>
      </c>
      <c r="W52" s="18" t="s">
        <v>52</v>
      </c>
      <c r="X52" s="35" t="s">
        <v>111</v>
      </c>
      <c r="Y52" s="35" t="s">
        <v>111</v>
      </c>
      <c r="Z52" s="35" t="s">
        <v>111</v>
      </c>
      <c r="AA52" s="35" t="s">
        <v>111</v>
      </c>
      <c r="AB52" s="35" t="s">
        <v>111</v>
      </c>
      <c r="AC52" s="35" t="s">
        <v>111</v>
      </c>
      <c r="AD52" s="18" t="s">
        <v>50</v>
      </c>
      <c r="AE52" s="35" t="s">
        <v>111</v>
      </c>
      <c r="AF52" s="35" t="s">
        <v>111</v>
      </c>
      <c r="AG52" s="18" t="s">
        <v>50</v>
      </c>
      <c r="AH52" s="18" t="s">
        <v>50</v>
      </c>
      <c r="AI52" s="18" t="s">
        <v>50</v>
      </c>
      <c r="AJ52" s="18" t="s">
        <v>52</v>
      </c>
      <c r="AK52" s="18" t="s">
        <v>50</v>
      </c>
      <c r="AL52" s="18" t="s">
        <v>50</v>
      </c>
      <c r="AM52" s="17" t="s">
        <v>50</v>
      </c>
      <c r="AN52" s="17" t="s">
        <v>50</v>
      </c>
      <c r="AO52" s="17" t="s">
        <v>52</v>
      </c>
      <c r="AP52" s="17" t="s">
        <v>52</v>
      </c>
      <c r="AQ52" s="18" t="s">
        <v>52</v>
      </c>
      <c r="AR52" s="17" t="s">
        <v>50</v>
      </c>
      <c r="AS52" s="17" t="s">
        <v>50</v>
      </c>
      <c r="AT52" s="17" t="s">
        <v>50</v>
      </c>
      <c r="AU52" s="18" t="s">
        <v>52</v>
      </c>
      <c r="AV52" s="18" t="s">
        <v>52</v>
      </c>
      <c r="AW52" s="17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</row>
    <row r="53" ht="16.5" customHeight="1">
      <c r="A53" s="14" t="s">
        <v>400</v>
      </c>
      <c r="B53" s="15" t="s">
        <v>301</v>
      </c>
      <c r="C53" s="25">
        <v>1.034918501E9</v>
      </c>
      <c r="D53" s="17" t="s">
        <v>214</v>
      </c>
      <c r="E53" s="22"/>
      <c r="F53" s="19" t="s">
        <v>51</v>
      </c>
      <c r="G53" s="22"/>
      <c r="H53" s="19" t="s">
        <v>51</v>
      </c>
      <c r="I53" s="22"/>
      <c r="J53" s="19" t="s">
        <v>51</v>
      </c>
      <c r="K53" s="17" t="s">
        <v>51</v>
      </c>
      <c r="L53" s="19" t="s">
        <v>51</v>
      </c>
      <c r="M53" s="22"/>
      <c r="N53" s="19" t="s">
        <v>51</v>
      </c>
      <c r="O53" s="19" t="s">
        <v>51</v>
      </c>
      <c r="P53" s="18" t="s">
        <v>50</v>
      </c>
      <c r="Q53" s="18" t="s">
        <v>50</v>
      </c>
      <c r="R53" s="18" t="s">
        <v>50</v>
      </c>
      <c r="S53" s="18" t="s">
        <v>50</v>
      </c>
      <c r="T53" s="18" t="s">
        <v>50</v>
      </c>
      <c r="U53" s="18" t="s">
        <v>50</v>
      </c>
      <c r="V53" s="18" t="s">
        <v>50</v>
      </c>
      <c r="W53" s="18" t="s">
        <v>51</v>
      </c>
      <c r="X53" s="18" t="s">
        <v>50</v>
      </c>
      <c r="Y53" s="18" t="s">
        <v>50</v>
      </c>
      <c r="Z53" s="18" t="s">
        <v>51</v>
      </c>
      <c r="AA53" s="18" t="s">
        <v>51</v>
      </c>
      <c r="AB53" s="18" t="s">
        <v>50</v>
      </c>
      <c r="AC53" s="18" t="s">
        <v>50</v>
      </c>
      <c r="AD53" s="18" t="s">
        <v>50</v>
      </c>
      <c r="AE53" s="18" t="s">
        <v>51</v>
      </c>
      <c r="AF53" s="18" t="s">
        <v>51</v>
      </c>
      <c r="AG53" s="18" t="s">
        <v>50</v>
      </c>
      <c r="AH53" s="18" t="s">
        <v>50</v>
      </c>
      <c r="AI53" s="18" t="s">
        <v>50</v>
      </c>
      <c r="AJ53" s="18" t="s">
        <v>50</v>
      </c>
      <c r="AK53" s="18" t="s">
        <v>50</v>
      </c>
      <c r="AL53" s="18" t="s">
        <v>50</v>
      </c>
      <c r="AM53" s="17" t="s">
        <v>50</v>
      </c>
      <c r="AN53" s="17" t="s">
        <v>50</v>
      </c>
      <c r="AO53" s="17" t="s">
        <v>51</v>
      </c>
      <c r="AP53" s="17" t="s">
        <v>51</v>
      </c>
      <c r="AQ53" s="17" t="s">
        <v>50</v>
      </c>
      <c r="AR53" s="17" t="s">
        <v>50</v>
      </c>
      <c r="AS53" s="17" t="s">
        <v>50</v>
      </c>
      <c r="AT53" s="17" t="s">
        <v>51</v>
      </c>
      <c r="AU53" s="17" t="s">
        <v>50</v>
      </c>
      <c r="AV53" s="17" t="s">
        <v>50</v>
      </c>
      <c r="AW53" s="17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</row>
    <row r="54" ht="16.5" customHeight="1">
      <c r="A54" s="14" t="s">
        <v>406</v>
      </c>
      <c r="B54" s="17" t="s">
        <v>304</v>
      </c>
      <c r="C54" s="16">
        <v>1.093593032E9</v>
      </c>
      <c r="D54" s="17" t="s">
        <v>124</v>
      </c>
      <c r="E54" s="22"/>
      <c r="F54" s="22"/>
      <c r="G54" s="22"/>
      <c r="H54" s="22"/>
      <c r="I54" s="29"/>
      <c r="J54" s="22"/>
      <c r="K54" s="22"/>
      <c r="L54" s="22"/>
      <c r="M54" s="17"/>
      <c r="N54" s="29"/>
      <c r="O54" s="85" t="s">
        <v>348</v>
      </c>
      <c r="P54" s="17" t="s">
        <v>50</v>
      </c>
      <c r="Q54" s="85" t="s">
        <v>348</v>
      </c>
      <c r="R54" s="17" t="s">
        <v>50</v>
      </c>
      <c r="S54" s="85" t="s">
        <v>348</v>
      </c>
      <c r="T54" s="17" t="s">
        <v>50</v>
      </c>
      <c r="U54" s="85" t="s">
        <v>409</v>
      </c>
      <c r="V54" s="17" t="s">
        <v>50</v>
      </c>
      <c r="W54" s="17" t="s">
        <v>50</v>
      </c>
      <c r="X54" s="85" t="s">
        <v>111</v>
      </c>
      <c r="Y54" s="17" t="s">
        <v>50</v>
      </c>
      <c r="Z54" s="85" t="s">
        <v>111</v>
      </c>
      <c r="AA54" s="17" t="s">
        <v>50</v>
      </c>
      <c r="AB54" s="85" t="s">
        <v>111</v>
      </c>
      <c r="AC54" s="17" t="s">
        <v>50</v>
      </c>
      <c r="AD54" s="17" t="s">
        <v>50</v>
      </c>
      <c r="AE54" s="85" t="s">
        <v>111</v>
      </c>
      <c r="AF54" s="17" t="s">
        <v>50</v>
      </c>
      <c r="AG54" s="17" t="s">
        <v>50</v>
      </c>
      <c r="AH54" s="17" t="s">
        <v>50</v>
      </c>
      <c r="AI54" s="17" t="s">
        <v>50</v>
      </c>
      <c r="AJ54" s="17" t="s">
        <v>52</v>
      </c>
      <c r="AK54" s="17" t="s">
        <v>50</v>
      </c>
      <c r="AL54" s="17" t="s">
        <v>50</v>
      </c>
      <c r="AM54" s="17" t="s">
        <v>50</v>
      </c>
      <c r="AN54" s="17" t="s">
        <v>50</v>
      </c>
      <c r="AO54" s="17" t="s">
        <v>52</v>
      </c>
      <c r="AP54" s="17" t="s">
        <v>52</v>
      </c>
      <c r="AQ54" s="17" t="s">
        <v>50</v>
      </c>
      <c r="AR54" s="17" t="s">
        <v>50</v>
      </c>
      <c r="AS54" s="17" t="s">
        <v>50</v>
      </c>
      <c r="AT54" s="17" t="s">
        <v>51</v>
      </c>
      <c r="AU54" s="17" t="s">
        <v>50</v>
      </c>
      <c r="AV54" s="17" t="s">
        <v>50</v>
      </c>
      <c r="AW54" s="17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</row>
    <row r="55" ht="16.5" customHeight="1">
      <c r="A55" s="30" t="s">
        <v>410</v>
      </c>
      <c r="B55" s="18" t="s">
        <v>307</v>
      </c>
      <c r="C55" s="32">
        <v>1.022145673E9</v>
      </c>
      <c r="D55" s="18" t="s">
        <v>124</v>
      </c>
      <c r="E55" s="18" t="s">
        <v>111</v>
      </c>
      <c r="F55" s="18" t="s">
        <v>111</v>
      </c>
      <c r="G55" s="18" t="s">
        <v>111</v>
      </c>
      <c r="H55" s="18" t="s">
        <v>111</v>
      </c>
      <c r="I55" s="18" t="s">
        <v>111</v>
      </c>
      <c r="J55" s="18" t="s">
        <v>111</v>
      </c>
      <c r="K55" s="19" t="s">
        <v>51</v>
      </c>
      <c r="L55" s="18" t="s">
        <v>111</v>
      </c>
      <c r="M55" s="18" t="s">
        <v>111</v>
      </c>
      <c r="N55" s="18" t="s">
        <v>111</v>
      </c>
      <c r="O55" s="19" t="s">
        <v>51</v>
      </c>
      <c r="P55" s="19" t="s">
        <v>51</v>
      </c>
      <c r="Q55" s="18" t="s">
        <v>50</v>
      </c>
      <c r="R55" s="18" t="s">
        <v>50</v>
      </c>
      <c r="S55" s="18" t="s">
        <v>50</v>
      </c>
      <c r="T55" s="18" t="s">
        <v>50</v>
      </c>
      <c r="U55" s="18" t="s">
        <v>50</v>
      </c>
      <c r="V55" s="18" t="s">
        <v>50</v>
      </c>
      <c r="W55" s="18" t="s">
        <v>51</v>
      </c>
      <c r="X55" s="18" t="s">
        <v>50</v>
      </c>
      <c r="Y55" s="18" t="s">
        <v>50</v>
      </c>
      <c r="Z55" s="18" t="s">
        <v>51</v>
      </c>
      <c r="AA55" s="18" t="s">
        <v>51</v>
      </c>
      <c r="AB55" s="18" t="s">
        <v>50</v>
      </c>
      <c r="AC55" s="18" t="s">
        <v>50</v>
      </c>
      <c r="AD55" s="18" t="s">
        <v>50</v>
      </c>
      <c r="AE55" s="18" t="s">
        <v>51</v>
      </c>
      <c r="AF55" s="18" t="s">
        <v>50</v>
      </c>
      <c r="AG55" s="18" t="s">
        <v>50</v>
      </c>
      <c r="AH55" s="18" t="s">
        <v>51</v>
      </c>
      <c r="AI55" s="18" t="s">
        <v>51</v>
      </c>
      <c r="AJ55" s="18" t="s">
        <v>50</v>
      </c>
      <c r="AK55" s="18" t="s">
        <v>50</v>
      </c>
      <c r="AL55" s="18" t="s">
        <v>50</v>
      </c>
      <c r="AM55" s="17" t="s">
        <v>50</v>
      </c>
      <c r="AN55" s="17" t="s">
        <v>50</v>
      </c>
      <c r="AO55" s="17" t="s">
        <v>52</v>
      </c>
      <c r="AP55" s="17" t="s">
        <v>51</v>
      </c>
      <c r="AQ55" s="18" t="s">
        <v>52</v>
      </c>
      <c r="AR55" s="17" t="s">
        <v>50</v>
      </c>
      <c r="AS55" s="17" t="s">
        <v>50</v>
      </c>
      <c r="AT55" s="17" t="s">
        <v>51</v>
      </c>
      <c r="AU55" s="18" t="s">
        <v>52</v>
      </c>
      <c r="AV55" s="18" t="s">
        <v>52</v>
      </c>
      <c r="AW55" s="36" t="s">
        <v>125</v>
      </c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</row>
    <row r="56" ht="16.5" customHeight="1">
      <c r="A56" s="14" t="s">
        <v>412</v>
      </c>
      <c r="B56" s="15" t="s">
        <v>312</v>
      </c>
      <c r="C56" s="25">
        <v>1.027662663E9</v>
      </c>
      <c r="D56" s="17" t="s">
        <v>221</v>
      </c>
      <c r="E56" s="22"/>
      <c r="F56" s="22"/>
      <c r="G56" s="19" t="s">
        <v>52</v>
      </c>
      <c r="H56" s="22"/>
      <c r="I56" s="18" t="s">
        <v>50</v>
      </c>
      <c r="J56" s="22"/>
      <c r="K56" s="19" t="s">
        <v>52</v>
      </c>
      <c r="L56" s="22"/>
      <c r="M56" s="18" t="s">
        <v>52</v>
      </c>
      <c r="N56" s="18" t="s">
        <v>50</v>
      </c>
      <c r="O56" s="18" t="s">
        <v>50</v>
      </c>
      <c r="P56" s="27" t="s">
        <v>100</v>
      </c>
      <c r="Q56" s="20" t="s">
        <v>99</v>
      </c>
      <c r="R56" s="27" t="s">
        <v>100</v>
      </c>
      <c r="S56" s="18" t="s">
        <v>50</v>
      </c>
      <c r="T56" s="27" t="s">
        <v>100</v>
      </c>
      <c r="U56" s="18" t="s">
        <v>50</v>
      </c>
      <c r="V56" s="27" t="s">
        <v>100</v>
      </c>
      <c r="W56" s="18" t="s">
        <v>52</v>
      </c>
      <c r="X56" s="27" t="s">
        <v>100</v>
      </c>
      <c r="Y56" s="27" t="s">
        <v>100</v>
      </c>
      <c r="Z56" s="27" t="s">
        <v>100</v>
      </c>
      <c r="AA56" s="27" t="s">
        <v>100</v>
      </c>
      <c r="AB56" s="27" t="s">
        <v>92</v>
      </c>
      <c r="AC56" s="27" t="s">
        <v>100</v>
      </c>
      <c r="AD56" s="18" t="s">
        <v>50</v>
      </c>
      <c r="AE56" s="18" t="s">
        <v>50</v>
      </c>
      <c r="AF56" s="27" t="s">
        <v>92</v>
      </c>
      <c r="AG56" s="18" t="s">
        <v>50</v>
      </c>
      <c r="AH56" s="27" t="s">
        <v>100</v>
      </c>
      <c r="AI56" s="27" t="s">
        <v>92</v>
      </c>
      <c r="AJ56" s="18" t="s">
        <v>50</v>
      </c>
      <c r="AK56" s="27" t="s">
        <v>100</v>
      </c>
      <c r="AL56" s="18" t="s">
        <v>50</v>
      </c>
      <c r="AM56" s="17" t="s">
        <v>50</v>
      </c>
      <c r="AN56" s="17" t="s">
        <v>50</v>
      </c>
      <c r="AO56" s="17" t="s">
        <v>52</v>
      </c>
      <c r="AP56" s="18" t="s">
        <v>50</v>
      </c>
      <c r="AQ56" s="18" t="s">
        <v>52</v>
      </c>
      <c r="AR56" s="17" t="s">
        <v>50</v>
      </c>
      <c r="AS56" s="17" t="s">
        <v>50</v>
      </c>
      <c r="AT56" s="17" t="s">
        <v>50</v>
      </c>
      <c r="AU56" s="17" t="s">
        <v>50</v>
      </c>
      <c r="AV56" s="17" t="s">
        <v>50</v>
      </c>
      <c r="AW56" s="17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</row>
    <row r="57" ht="16.5" customHeight="1">
      <c r="A57" s="14" t="s">
        <v>414</v>
      </c>
      <c r="B57" s="17" t="s">
        <v>315</v>
      </c>
      <c r="C57" s="25">
        <v>1.127206552E9</v>
      </c>
      <c r="D57" s="17" t="s">
        <v>104</v>
      </c>
      <c r="E57" s="19" t="s">
        <v>51</v>
      </c>
      <c r="F57" s="22"/>
      <c r="G57" s="19" t="s">
        <v>51</v>
      </c>
      <c r="H57" s="22"/>
      <c r="I57" s="22"/>
      <c r="J57" s="20" t="s">
        <v>52</v>
      </c>
      <c r="K57" s="18" t="s">
        <v>50</v>
      </c>
      <c r="L57" s="22"/>
      <c r="M57" s="50"/>
      <c r="N57" s="22"/>
      <c r="O57" s="20" t="s">
        <v>52</v>
      </c>
      <c r="P57" s="18" t="s">
        <v>50</v>
      </c>
      <c r="Q57" s="18" t="s">
        <v>50</v>
      </c>
      <c r="R57" s="18" t="s">
        <v>50</v>
      </c>
      <c r="S57" s="18" t="s">
        <v>50</v>
      </c>
      <c r="T57" s="18" t="s">
        <v>50</v>
      </c>
      <c r="U57" s="18" t="s">
        <v>50</v>
      </c>
      <c r="V57" s="18" t="s">
        <v>50</v>
      </c>
      <c r="W57" s="18" t="s">
        <v>52</v>
      </c>
      <c r="X57" s="18" t="s">
        <v>50</v>
      </c>
      <c r="Y57" s="18" t="s">
        <v>50</v>
      </c>
      <c r="Z57" s="18" t="s">
        <v>50</v>
      </c>
      <c r="AA57" s="18" t="s">
        <v>50</v>
      </c>
      <c r="AB57" s="18" t="s">
        <v>52</v>
      </c>
      <c r="AC57" s="18" t="s">
        <v>50</v>
      </c>
      <c r="AD57" s="18" t="s">
        <v>50</v>
      </c>
      <c r="AE57" s="18" t="s">
        <v>50</v>
      </c>
      <c r="AF57" s="18" t="s">
        <v>50</v>
      </c>
      <c r="AG57" s="18" t="s">
        <v>51</v>
      </c>
      <c r="AH57" s="18" t="s">
        <v>50</v>
      </c>
      <c r="AI57" s="18" t="s">
        <v>50</v>
      </c>
      <c r="AJ57" s="18" t="s">
        <v>50</v>
      </c>
      <c r="AK57" s="18" t="s">
        <v>50</v>
      </c>
      <c r="AL57" s="18" t="s">
        <v>50</v>
      </c>
      <c r="AM57" s="17" t="s">
        <v>50</v>
      </c>
      <c r="AN57" s="17" t="s">
        <v>50</v>
      </c>
      <c r="AO57" s="17" t="s">
        <v>52</v>
      </c>
      <c r="AP57" s="18" t="s">
        <v>50</v>
      </c>
      <c r="AQ57" s="18" t="s">
        <v>52</v>
      </c>
      <c r="AR57" s="17" t="s">
        <v>50</v>
      </c>
      <c r="AS57" s="17" t="s">
        <v>50</v>
      </c>
      <c r="AT57" s="17" t="s">
        <v>50</v>
      </c>
      <c r="AU57" s="17" t="s">
        <v>50</v>
      </c>
      <c r="AV57" s="17" t="s">
        <v>50</v>
      </c>
      <c r="AW57" s="17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</row>
    <row r="58" ht="16.5" customHeight="1">
      <c r="A58" s="30" t="s">
        <v>390</v>
      </c>
      <c r="B58" s="18" t="s">
        <v>319</v>
      </c>
      <c r="C58" s="32">
        <v>1.011400138E9</v>
      </c>
      <c r="D58" s="18" t="s">
        <v>124</v>
      </c>
      <c r="E58" s="17" t="s">
        <v>111</v>
      </c>
      <c r="F58" s="17" t="s">
        <v>111</v>
      </c>
      <c r="G58" s="17" t="s">
        <v>111</v>
      </c>
      <c r="H58" s="17" t="s">
        <v>111</v>
      </c>
      <c r="I58" s="17" t="s">
        <v>111</v>
      </c>
      <c r="J58" s="19" t="s">
        <v>51</v>
      </c>
      <c r="K58" s="19" t="s">
        <v>51</v>
      </c>
      <c r="L58" s="17" t="s">
        <v>111</v>
      </c>
      <c r="M58" s="17" t="s">
        <v>111</v>
      </c>
      <c r="N58" s="18" t="s">
        <v>50</v>
      </c>
      <c r="O58" s="18" t="s">
        <v>50</v>
      </c>
      <c r="P58" s="18" t="s">
        <v>50</v>
      </c>
      <c r="Q58" s="19" t="s">
        <v>51</v>
      </c>
      <c r="R58" s="19" t="s">
        <v>51</v>
      </c>
      <c r="S58" s="18" t="s">
        <v>50</v>
      </c>
      <c r="T58" s="18" t="s">
        <v>50</v>
      </c>
      <c r="U58" s="18" t="s">
        <v>50</v>
      </c>
      <c r="V58" s="18" t="s">
        <v>50</v>
      </c>
      <c r="W58" s="18" t="s">
        <v>51</v>
      </c>
      <c r="X58" s="18" t="s">
        <v>50</v>
      </c>
      <c r="Y58" s="18" t="s">
        <v>50</v>
      </c>
      <c r="Z58" s="18" t="s">
        <v>52</v>
      </c>
      <c r="AA58" s="18" t="s">
        <v>50</v>
      </c>
      <c r="AB58" s="18" t="s">
        <v>52</v>
      </c>
      <c r="AC58" s="18" t="s">
        <v>52</v>
      </c>
      <c r="AD58" s="18" t="s">
        <v>50</v>
      </c>
      <c r="AE58" s="18" t="s">
        <v>50</v>
      </c>
      <c r="AF58" s="18" t="s">
        <v>50</v>
      </c>
      <c r="AG58" s="18" t="s">
        <v>51</v>
      </c>
      <c r="AH58" s="18" t="s">
        <v>50</v>
      </c>
      <c r="AI58" s="18" t="s">
        <v>50</v>
      </c>
      <c r="AJ58" s="18" t="s">
        <v>50</v>
      </c>
      <c r="AK58" s="18" t="s">
        <v>50</v>
      </c>
      <c r="AL58" s="18" t="s">
        <v>50</v>
      </c>
      <c r="AM58" s="17" t="s">
        <v>50</v>
      </c>
      <c r="AN58" s="17" t="s">
        <v>50</v>
      </c>
      <c r="AO58" s="17" t="s">
        <v>51</v>
      </c>
      <c r="AP58" s="17" t="s">
        <v>52</v>
      </c>
      <c r="AQ58" s="17" t="s">
        <v>50</v>
      </c>
      <c r="AR58" s="17" t="s">
        <v>50</v>
      </c>
      <c r="AS58" s="17" t="s">
        <v>50</v>
      </c>
      <c r="AT58" s="17" t="s">
        <v>50</v>
      </c>
      <c r="AU58" s="17" t="s">
        <v>50</v>
      </c>
      <c r="AV58" s="17" t="s">
        <v>50</v>
      </c>
      <c r="AW58" s="17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</row>
    <row r="59" ht="16.5" customHeight="1">
      <c r="A59" s="14" t="s">
        <v>418</v>
      </c>
      <c r="B59" s="70" t="s">
        <v>323</v>
      </c>
      <c r="C59" s="25">
        <v>1.017925527E9</v>
      </c>
      <c r="D59" s="17" t="s">
        <v>127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36" t="s">
        <v>324</v>
      </c>
      <c r="P59" s="36" t="s">
        <v>324</v>
      </c>
      <c r="Q59" s="36" t="s">
        <v>324</v>
      </c>
      <c r="R59" s="36" t="s">
        <v>324</v>
      </c>
      <c r="S59" s="36" t="s">
        <v>324</v>
      </c>
      <c r="T59" s="36" t="s">
        <v>324</v>
      </c>
      <c r="U59" s="36" t="s">
        <v>324</v>
      </c>
      <c r="V59" s="36" t="s">
        <v>324</v>
      </c>
      <c r="W59" s="36" t="s">
        <v>324</v>
      </c>
      <c r="X59" s="36" t="s">
        <v>324</v>
      </c>
      <c r="Y59" s="36" t="s">
        <v>324</v>
      </c>
      <c r="Z59" s="36" t="s">
        <v>52</v>
      </c>
      <c r="AA59" s="36" t="s">
        <v>324</v>
      </c>
      <c r="AB59" s="36" t="s">
        <v>324</v>
      </c>
      <c r="AC59" s="36" t="s">
        <v>324</v>
      </c>
      <c r="AD59" s="36" t="s">
        <v>324</v>
      </c>
      <c r="AE59" s="36" t="s">
        <v>324</v>
      </c>
      <c r="AF59" s="36" t="s">
        <v>324</v>
      </c>
      <c r="AG59" s="18" t="s">
        <v>50</v>
      </c>
      <c r="AH59" s="36" t="s">
        <v>324</v>
      </c>
      <c r="AI59" s="36" t="s">
        <v>324</v>
      </c>
      <c r="AJ59" s="36" t="s">
        <v>324</v>
      </c>
      <c r="AK59" s="18" t="s">
        <v>50</v>
      </c>
      <c r="AL59" s="18" t="s">
        <v>50</v>
      </c>
      <c r="AM59" s="17" t="s">
        <v>325</v>
      </c>
      <c r="AN59" s="17" t="s">
        <v>325</v>
      </c>
      <c r="AO59" s="17" t="s">
        <v>325</v>
      </c>
      <c r="AP59" s="17" t="s">
        <v>325</v>
      </c>
      <c r="AQ59" s="17" t="s">
        <v>50</v>
      </c>
      <c r="AR59" s="17" t="s">
        <v>325</v>
      </c>
      <c r="AS59" s="17" t="s">
        <v>325</v>
      </c>
      <c r="AT59" s="17" t="s">
        <v>325</v>
      </c>
      <c r="AU59" s="17" t="s">
        <v>325</v>
      </c>
      <c r="AV59" s="17" t="s">
        <v>325</v>
      </c>
      <c r="AW59" s="17" t="s">
        <v>325</v>
      </c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</row>
    <row r="60" ht="16.5" customHeight="1">
      <c r="A60" s="71"/>
      <c r="B60" s="70" t="s">
        <v>327</v>
      </c>
      <c r="C60" s="51"/>
      <c r="D60" s="17" t="s">
        <v>127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36" t="s">
        <v>324</v>
      </c>
      <c r="P60" s="36" t="s">
        <v>324</v>
      </c>
      <c r="Q60" s="36" t="s">
        <v>324</v>
      </c>
      <c r="R60" s="36" t="s">
        <v>324</v>
      </c>
      <c r="S60" s="36" t="s">
        <v>324</v>
      </c>
      <c r="T60" s="36" t="s">
        <v>324</v>
      </c>
      <c r="U60" s="36" t="s">
        <v>324</v>
      </c>
      <c r="V60" s="36" t="s">
        <v>324</v>
      </c>
      <c r="W60" s="36" t="s">
        <v>324</v>
      </c>
      <c r="X60" s="36" t="s">
        <v>324</v>
      </c>
      <c r="Y60" s="36" t="s">
        <v>324</v>
      </c>
      <c r="Z60" s="36" t="s">
        <v>324</v>
      </c>
      <c r="AA60" s="36" t="s">
        <v>324</v>
      </c>
      <c r="AB60" s="36" t="s">
        <v>324</v>
      </c>
      <c r="AC60" s="36" t="s">
        <v>324</v>
      </c>
      <c r="AD60" s="36" t="s">
        <v>324</v>
      </c>
      <c r="AE60" s="36" t="s">
        <v>324</v>
      </c>
      <c r="AF60" s="36" t="s">
        <v>324</v>
      </c>
      <c r="AG60" s="18" t="s">
        <v>50</v>
      </c>
      <c r="AH60" s="36" t="s">
        <v>324</v>
      </c>
      <c r="AI60" s="36" t="s">
        <v>324</v>
      </c>
      <c r="AJ60" s="36" t="s">
        <v>324</v>
      </c>
      <c r="AK60" s="18" t="s">
        <v>50</v>
      </c>
      <c r="AL60" s="18" t="s">
        <v>50</v>
      </c>
      <c r="AM60" s="17" t="s">
        <v>329</v>
      </c>
      <c r="AN60" s="17" t="s">
        <v>329</v>
      </c>
      <c r="AO60" s="17" t="s">
        <v>51</v>
      </c>
      <c r="AP60" s="17" t="s">
        <v>51</v>
      </c>
      <c r="AQ60" s="17" t="s">
        <v>50</v>
      </c>
      <c r="AR60" s="17" t="s">
        <v>50</v>
      </c>
      <c r="AS60" s="17" t="s">
        <v>50</v>
      </c>
      <c r="AT60" s="17" t="s">
        <v>50</v>
      </c>
      <c r="AU60" s="18" t="s">
        <v>329</v>
      </c>
      <c r="AV60" s="18" t="s">
        <v>329</v>
      </c>
      <c r="AW60" s="17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</row>
    <row r="61" ht="16.5" customHeight="1">
      <c r="A61" s="72" t="s">
        <v>330</v>
      </c>
      <c r="B61" s="70" t="s">
        <v>333</v>
      </c>
      <c r="C61" s="25">
        <v>1.001227996E9</v>
      </c>
      <c r="D61" s="17" t="s">
        <v>127</v>
      </c>
      <c r="E61" s="22"/>
      <c r="F61" s="19" t="s">
        <v>329</v>
      </c>
      <c r="G61" s="19" t="s">
        <v>328</v>
      </c>
      <c r="H61" s="22"/>
      <c r="I61" s="22"/>
      <c r="J61" s="18" t="s">
        <v>50</v>
      </c>
      <c r="K61" s="19" t="s">
        <v>334</v>
      </c>
      <c r="L61" s="22"/>
      <c r="M61" s="19" t="s">
        <v>329</v>
      </c>
      <c r="N61" s="18" t="s">
        <v>50</v>
      </c>
      <c r="O61" s="36" t="s">
        <v>424</v>
      </c>
      <c r="P61" s="18" t="s">
        <v>50</v>
      </c>
      <c r="Q61" s="36" t="s">
        <v>324</v>
      </c>
      <c r="R61" s="18" t="s">
        <v>50</v>
      </c>
      <c r="S61" s="36" t="s">
        <v>324</v>
      </c>
      <c r="T61" s="19" t="s">
        <v>51</v>
      </c>
      <c r="U61" s="36" t="s">
        <v>324</v>
      </c>
      <c r="V61" s="18" t="s">
        <v>50</v>
      </c>
      <c r="W61" s="36" t="s">
        <v>324</v>
      </c>
      <c r="X61" s="18" t="s">
        <v>50</v>
      </c>
      <c r="Y61" s="18" t="s">
        <v>50</v>
      </c>
      <c r="Z61" s="18" t="s">
        <v>50</v>
      </c>
      <c r="AA61" s="18" t="s">
        <v>50</v>
      </c>
      <c r="AB61" s="18" t="s">
        <v>51</v>
      </c>
      <c r="AC61" s="18" t="s">
        <v>51</v>
      </c>
      <c r="AD61" s="18" t="s">
        <v>50</v>
      </c>
      <c r="AE61" s="18" t="s">
        <v>50</v>
      </c>
      <c r="AF61" s="18" t="s">
        <v>50</v>
      </c>
      <c r="AG61" s="18" t="s">
        <v>329</v>
      </c>
      <c r="AH61" s="36" t="s">
        <v>324</v>
      </c>
      <c r="AI61" s="18" t="s">
        <v>50</v>
      </c>
      <c r="AJ61" s="36" t="s">
        <v>324</v>
      </c>
      <c r="AK61" s="18" t="s">
        <v>50</v>
      </c>
      <c r="AL61" s="18" t="s">
        <v>50</v>
      </c>
      <c r="AM61" s="17" t="s">
        <v>329</v>
      </c>
      <c r="AN61" s="17" t="s">
        <v>329</v>
      </c>
      <c r="AO61" s="17" t="s">
        <v>329</v>
      </c>
      <c r="AP61" s="17" t="s">
        <v>329</v>
      </c>
      <c r="AQ61" s="17" t="s">
        <v>50</v>
      </c>
      <c r="AR61" s="17" t="s">
        <v>50</v>
      </c>
      <c r="AS61" s="17" t="s">
        <v>50</v>
      </c>
      <c r="AT61" s="17" t="s">
        <v>50</v>
      </c>
      <c r="AU61" s="17" t="s">
        <v>50</v>
      </c>
      <c r="AV61" s="17" t="s">
        <v>50</v>
      </c>
      <c r="AW61" s="17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</row>
    <row r="62" ht="16.5" customHeight="1">
      <c r="A62" s="14" t="s">
        <v>426</v>
      </c>
      <c r="B62" s="70" t="s">
        <v>337</v>
      </c>
      <c r="C62" s="25">
        <v>1.000869829E9</v>
      </c>
      <c r="D62" s="17" t="s">
        <v>127</v>
      </c>
      <c r="E62" s="22"/>
      <c r="F62" s="19" t="s">
        <v>329</v>
      </c>
      <c r="G62" s="22"/>
      <c r="H62" s="19" t="s">
        <v>329</v>
      </c>
      <c r="I62" s="22"/>
      <c r="J62" s="19" t="s">
        <v>329</v>
      </c>
      <c r="K62" s="22"/>
      <c r="L62" s="19" t="s">
        <v>329</v>
      </c>
      <c r="M62" s="22"/>
      <c r="N62" s="22"/>
      <c r="O62" s="19" t="s">
        <v>51</v>
      </c>
      <c r="P62" s="18" t="s">
        <v>50</v>
      </c>
      <c r="Q62" s="18" t="s">
        <v>50</v>
      </c>
      <c r="R62" s="18" t="s">
        <v>50</v>
      </c>
      <c r="S62" s="19" t="s">
        <v>51</v>
      </c>
      <c r="T62" s="19" t="s">
        <v>51</v>
      </c>
      <c r="U62" s="18" t="s">
        <v>50</v>
      </c>
      <c r="V62" s="18" t="s">
        <v>50</v>
      </c>
      <c r="W62" s="18" t="s">
        <v>50</v>
      </c>
      <c r="X62" s="18" t="s">
        <v>50</v>
      </c>
      <c r="Y62" s="18" t="s">
        <v>50</v>
      </c>
      <c r="Z62" s="18" t="s">
        <v>52</v>
      </c>
      <c r="AA62" s="18" t="s">
        <v>51</v>
      </c>
      <c r="AB62" s="18" t="s">
        <v>50</v>
      </c>
      <c r="AC62" s="18" t="s">
        <v>50</v>
      </c>
      <c r="AD62" s="18" t="s">
        <v>50</v>
      </c>
      <c r="AE62" s="18" t="s">
        <v>51</v>
      </c>
      <c r="AF62" s="18" t="s">
        <v>50</v>
      </c>
      <c r="AG62" s="18" t="s">
        <v>50</v>
      </c>
      <c r="AH62" s="18" t="s">
        <v>50</v>
      </c>
      <c r="AI62" s="18" t="s">
        <v>50</v>
      </c>
      <c r="AJ62" s="18" t="s">
        <v>50</v>
      </c>
      <c r="AK62" s="17" t="s">
        <v>50</v>
      </c>
      <c r="AL62" s="17" t="s">
        <v>50</v>
      </c>
      <c r="AM62" s="17" t="s">
        <v>50</v>
      </c>
      <c r="AN62" s="17" t="s">
        <v>50</v>
      </c>
      <c r="AO62" s="17" t="s">
        <v>50</v>
      </c>
      <c r="AP62" s="17" t="s">
        <v>50</v>
      </c>
      <c r="AQ62" s="17" t="s">
        <v>50</v>
      </c>
      <c r="AR62" s="17" t="s">
        <v>50</v>
      </c>
      <c r="AS62" s="17" t="s">
        <v>50</v>
      </c>
      <c r="AT62" s="17" t="s">
        <v>50</v>
      </c>
      <c r="AU62" s="17" t="s">
        <v>50</v>
      </c>
      <c r="AV62" s="17" t="s">
        <v>50</v>
      </c>
      <c r="AW62" s="17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</row>
    <row r="63" ht="16.5" customHeight="1">
      <c r="A63" s="89" t="s">
        <v>422</v>
      </c>
      <c r="B63" s="18" t="s">
        <v>340</v>
      </c>
      <c r="C63" s="32">
        <v>1.028140164E9</v>
      </c>
      <c r="D63" s="18" t="s">
        <v>127</v>
      </c>
      <c r="E63" s="19" t="s">
        <v>111</v>
      </c>
      <c r="F63" s="18" t="s">
        <v>111</v>
      </c>
      <c r="G63" s="19" t="s">
        <v>329</v>
      </c>
      <c r="H63" s="17" t="s">
        <v>111</v>
      </c>
      <c r="I63" s="19" t="s">
        <v>329</v>
      </c>
      <c r="J63" s="19" t="s">
        <v>111</v>
      </c>
      <c r="K63" s="19" t="s">
        <v>329</v>
      </c>
      <c r="L63" s="17" t="s">
        <v>111</v>
      </c>
      <c r="M63" s="19" t="s">
        <v>429</v>
      </c>
      <c r="N63" s="17" t="s">
        <v>111</v>
      </c>
      <c r="O63" s="35" t="s">
        <v>111</v>
      </c>
      <c r="P63" s="18" t="s">
        <v>50</v>
      </c>
      <c r="Q63" s="35" t="s">
        <v>111</v>
      </c>
      <c r="R63" s="18" t="s">
        <v>50</v>
      </c>
      <c r="S63" s="35" t="s">
        <v>111</v>
      </c>
      <c r="T63" s="19" t="s">
        <v>51</v>
      </c>
      <c r="U63" s="35" t="s">
        <v>111</v>
      </c>
      <c r="V63" s="18" t="s">
        <v>50</v>
      </c>
      <c r="W63" s="18" t="s">
        <v>50</v>
      </c>
      <c r="X63" s="35" t="s">
        <v>111</v>
      </c>
      <c r="Y63" s="18" t="s">
        <v>50</v>
      </c>
      <c r="Z63" s="35" t="s">
        <v>111</v>
      </c>
      <c r="AA63" s="18" t="s">
        <v>50</v>
      </c>
      <c r="AB63" s="35" t="s">
        <v>111</v>
      </c>
      <c r="AC63" s="18" t="s">
        <v>50</v>
      </c>
      <c r="AD63" s="18" t="s">
        <v>50</v>
      </c>
      <c r="AE63" s="35" t="s">
        <v>111</v>
      </c>
      <c r="AF63" s="18" t="s">
        <v>50</v>
      </c>
      <c r="AG63" s="18" t="s">
        <v>50</v>
      </c>
      <c r="AH63" s="18" t="s">
        <v>50</v>
      </c>
      <c r="AI63" s="18" t="s">
        <v>50</v>
      </c>
      <c r="AJ63" s="18" t="s">
        <v>51</v>
      </c>
      <c r="AK63" s="18" t="s">
        <v>329</v>
      </c>
      <c r="AL63" s="18" t="s">
        <v>50</v>
      </c>
      <c r="AM63" s="18" t="s">
        <v>329</v>
      </c>
      <c r="AN63" s="18" t="s">
        <v>329</v>
      </c>
      <c r="AO63" s="17" t="s">
        <v>50</v>
      </c>
      <c r="AP63" s="17" t="s">
        <v>50</v>
      </c>
      <c r="AQ63" s="17" t="s">
        <v>50</v>
      </c>
      <c r="AR63" s="17" t="s">
        <v>50</v>
      </c>
      <c r="AS63" s="17" t="s">
        <v>50</v>
      </c>
      <c r="AT63" s="17" t="s">
        <v>50</v>
      </c>
      <c r="AU63" s="18" t="s">
        <v>329</v>
      </c>
      <c r="AV63" s="18" t="s">
        <v>329</v>
      </c>
      <c r="AW63" s="17" t="s">
        <v>111</v>
      </c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</row>
    <row r="64" ht="16.5" customHeight="1">
      <c r="A64" s="44" t="s">
        <v>430</v>
      </c>
      <c r="B64" s="70" t="s">
        <v>347</v>
      </c>
      <c r="C64" s="25">
        <v>1.038262157E9</v>
      </c>
      <c r="D64" s="17" t="s">
        <v>127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35" t="s">
        <v>432</v>
      </c>
      <c r="P64" s="18" t="s">
        <v>50</v>
      </c>
      <c r="Q64" s="35" t="s">
        <v>432</v>
      </c>
      <c r="R64" s="18" t="s">
        <v>50</v>
      </c>
      <c r="S64" s="35" t="s">
        <v>432</v>
      </c>
      <c r="T64" s="18" t="s">
        <v>50</v>
      </c>
      <c r="U64" s="35" t="s">
        <v>348</v>
      </c>
      <c r="V64" s="18" t="s">
        <v>50</v>
      </c>
      <c r="W64" s="18" t="s">
        <v>50</v>
      </c>
      <c r="X64" s="35" t="s">
        <v>348</v>
      </c>
      <c r="Y64" s="18" t="s">
        <v>50</v>
      </c>
      <c r="Z64" s="35" t="s">
        <v>348</v>
      </c>
      <c r="AA64" s="18" t="s">
        <v>50</v>
      </c>
      <c r="AB64" s="35" t="s">
        <v>348</v>
      </c>
      <c r="AC64" s="18" t="s">
        <v>50</v>
      </c>
      <c r="AD64" s="18" t="s">
        <v>50</v>
      </c>
      <c r="AE64" s="35" t="s">
        <v>348</v>
      </c>
      <c r="AF64" s="18" t="s">
        <v>50</v>
      </c>
      <c r="AG64" s="18" t="s">
        <v>50</v>
      </c>
      <c r="AH64" s="18" t="s">
        <v>50</v>
      </c>
      <c r="AI64" s="18" t="s">
        <v>50</v>
      </c>
      <c r="AJ64" s="18" t="s">
        <v>50</v>
      </c>
      <c r="AK64" s="18" t="s">
        <v>50</v>
      </c>
      <c r="AL64" s="18" t="s">
        <v>50</v>
      </c>
      <c r="AM64" s="17" t="s">
        <v>50</v>
      </c>
      <c r="AN64" s="17" t="s">
        <v>50</v>
      </c>
      <c r="AO64" s="17"/>
      <c r="AP64" s="17"/>
      <c r="AQ64" s="17" t="s">
        <v>50</v>
      </c>
      <c r="AR64" s="17"/>
      <c r="AS64" s="17"/>
      <c r="AT64" s="17" t="s">
        <v>50</v>
      </c>
      <c r="AU64" s="17" t="s">
        <v>50</v>
      </c>
      <c r="AV64" s="17" t="s">
        <v>50</v>
      </c>
      <c r="AW64" s="17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</row>
    <row r="65" ht="16.5" customHeight="1">
      <c r="A65" s="14" t="s">
        <v>434</v>
      </c>
      <c r="B65" s="70" t="s">
        <v>351</v>
      </c>
      <c r="C65" s="25">
        <v>1.025645687E9</v>
      </c>
      <c r="D65" s="17" t="s">
        <v>127</v>
      </c>
      <c r="E65" s="22"/>
      <c r="F65" s="19" t="s">
        <v>51</v>
      </c>
      <c r="G65" s="22"/>
      <c r="H65" s="22"/>
      <c r="I65" s="22"/>
      <c r="J65" s="19" t="s">
        <v>51</v>
      </c>
      <c r="K65" s="22"/>
      <c r="L65" s="19" t="s">
        <v>329</v>
      </c>
      <c r="M65" s="22"/>
      <c r="N65" s="22"/>
      <c r="O65" s="35" t="s">
        <v>111</v>
      </c>
      <c r="P65" s="19" t="s">
        <v>51</v>
      </c>
      <c r="Q65" s="35" t="s">
        <v>111</v>
      </c>
      <c r="R65" s="18" t="s">
        <v>50</v>
      </c>
      <c r="S65" s="35" t="s">
        <v>111</v>
      </c>
      <c r="T65" s="19" t="s">
        <v>51</v>
      </c>
      <c r="U65" s="35" t="s">
        <v>111</v>
      </c>
      <c r="V65" s="18" t="s">
        <v>50</v>
      </c>
      <c r="W65" s="18" t="s">
        <v>50</v>
      </c>
      <c r="X65" s="35" t="s">
        <v>111</v>
      </c>
      <c r="Y65" s="18" t="s">
        <v>50</v>
      </c>
      <c r="Z65" s="35" t="s">
        <v>111</v>
      </c>
      <c r="AA65" s="18" t="s">
        <v>50</v>
      </c>
      <c r="AB65" s="35" t="s">
        <v>111</v>
      </c>
      <c r="AC65" s="18" t="s">
        <v>50</v>
      </c>
      <c r="AD65" s="18" t="s">
        <v>50</v>
      </c>
      <c r="AE65" s="35" t="s">
        <v>111</v>
      </c>
      <c r="AF65" s="18" t="s">
        <v>50</v>
      </c>
      <c r="AG65" s="18" t="s">
        <v>50</v>
      </c>
      <c r="AH65" s="18" t="s">
        <v>50</v>
      </c>
      <c r="AI65" s="18" t="s">
        <v>50</v>
      </c>
      <c r="AJ65" s="18" t="s">
        <v>51</v>
      </c>
      <c r="AK65" s="18" t="s">
        <v>329</v>
      </c>
      <c r="AL65" s="36" t="s">
        <v>324</v>
      </c>
      <c r="AM65" s="17" t="s">
        <v>50</v>
      </c>
      <c r="AN65" s="17" t="s">
        <v>50</v>
      </c>
      <c r="AO65" s="17" t="s">
        <v>329</v>
      </c>
      <c r="AP65" s="17" t="s">
        <v>329</v>
      </c>
      <c r="AQ65" s="17" t="s">
        <v>329</v>
      </c>
      <c r="AR65" s="17" t="s">
        <v>50</v>
      </c>
      <c r="AS65" s="17" t="s">
        <v>50</v>
      </c>
      <c r="AT65" s="17" t="s">
        <v>50</v>
      </c>
      <c r="AU65" s="17" t="s">
        <v>50</v>
      </c>
      <c r="AV65" s="17" t="s">
        <v>50</v>
      </c>
      <c r="AW65" s="17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</row>
    <row r="66" ht="16.5" customHeight="1">
      <c r="A66" s="53" t="s">
        <v>435</v>
      </c>
      <c r="B66" s="70" t="s">
        <v>356</v>
      </c>
      <c r="C66" s="25">
        <v>1.007111473E9</v>
      </c>
      <c r="D66" s="17" t="s">
        <v>127</v>
      </c>
      <c r="E66" s="19" t="s">
        <v>51</v>
      </c>
      <c r="F66" s="18" t="s">
        <v>50</v>
      </c>
      <c r="G66" s="19" t="s">
        <v>51</v>
      </c>
      <c r="H66" s="22"/>
      <c r="I66" s="22"/>
      <c r="J66" s="22"/>
      <c r="K66" s="22"/>
      <c r="L66" s="22"/>
      <c r="M66" s="19" t="s">
        <v>329</v>
      </c>
      <c r="N66" s="22"/>
      <c r="O66" s="36" t="s">
        <v>125</v>
      </c>
      <c r="P66" s="19" t="s">
        <v>51</v>
      </c>
      <c r="Q66" s="36" t="s">
        <v>125</v>
      </c>
      <c r="R66" s="18" t="s">
        <v>50</v>
      </c>
      <c r="S66" s="36" t="s">
        <v>125</v>
      </c>
      <c r="T66" s="19" t="s">
        <v>51</v>
      </c>
      <c r="U66" s="36" t="s">
        <v>125</v>
      </c>
      <c r="V66" s="18" t="s">
        <v>50</v>
      </c>
      <c r="W66" s="18" t="s">
        <v>50</v>
      </c>
      <c r="X66" s="36" t="s">
        <v>125</v>
      </c>
      <c r="Y66" s="18" t="s">
        <v>50</v>
      </c>
      <c r="Z66" s="18" t="s">
        <v>52</v>
      </c>
      <c r="AA66" s="18" t="s">
        <v>50</v>
      </c>
      <c r="AB66" s="36" t="s">
        <v>125</v>
      </c>
      <c r="AC66" s="18" t="s">
        <v>50</v>
      </c>
      <c r="AD66" s="18" t="s">
        <v>50</v>
      </c>
      <c r="AE66" s="36" t="s">
        <v>125</v>
      </c>
      <c r="AF66" s="18" t="s">
        <v>50</v>
      </c>
      <c r="AG66" s="18" t="s">
        <v>50</v>
      </c>
      <c r="AH66" s="36" t="s">
        <v>125</v>
      </c>
      <c r="AI66" s="18" t="s">
        <v>50</v>
      </c>
      <c r="AJ66" s="36" t="s">
        <v>125</v>
      </c>
      <c r="AK66" s="18" t="s">
        <v>50</v>
      </c>
      <c r="AL66" s="18" t="s">
        <v>50</v>
      </c>
      <c r="AM66" s="17" t="s">
        <v>50</v>
      </c>
      <c r="AN66" s="17" t="s">
        <v>50</v>
      </c>
      <c r="AO66" s="17" t="s">
        <v>329</v>
      </c>
      <c r="AP66" s="17" t="s">
        <v>329</v>
      </c>
      <c r="AQ66" s="17" t="s">
        <v>329</v>
      </c>
      <c r="AR66" s="17" t="s">
        <v>50</v>
      </c>
      <c r="AS66" s="17" t="s">
        <v>50</v>
      </c>
      <c r="AT66" s="17" t="s">
        <v>50</v>
      </c>
      <c r="AU66" s="17" t="s">
        <v>50</v>
      </c>
      <c r="AV66" s="17" t="s">
        <v>50</v>
      </c>
      <c r="AW66" s="17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</row>
    <row r="67" ht="16.5" customHeight="1">
      <c r="A67" s="37" t="s">
        <v>438</v>
      </c>
      <c r="B67" s="18" t="s">
        <v>358</v>
      </c>
      <c r="C67" s="32">
        <v>1.027740864E9</v>
      </c>
      <c r="D67" s="18" t="s">
        <v>127</v>
      </c>
      <c r="E67" s="19" t="s">
        <v>329</v>
      </c>
      <c r="F67" s="19" t="s">
        <v>111</v>
      </c>
      <c r="G67" s="19" t="s">
        <v>111</v>
      </c>
      <c r="H67" s="19" t="s">
        <v>111</v>
      </c>
      <c r="I67" s="19" t="s">
        <v>360</v>
      </c>
      <c r="J67" s="19" t="s">
        <v>111</v>
      </c>
      <c r="K67" s="19" t="s">
        <v>111</v>
      </c>
      <c r="L67" s="19" t="s">
        <v>111</v>
      </c>
      <c r="M67" s="19" t="s">
        <v>111</v>
      </c>
      <c r="N67" s="17" t="s">
        <v>50</v>
      </c>
      <c r="O67" s="19" t="s">
        <v>329</v>
      </c>
      <c r="P67" s="18" t="s">
        <v>50</v>
      </c>
      <c r="Q67" s="18" t="s">
        <v>50</v>
      </c>
      <c r="R67" s="18" t="s">
        <v>50</v>
      </c>
      <c r="S67" s="19" t="s">
        <v>51</v>
      </c>
      <c r="T67" s="19" t="s">
        <v>51</v>
      </c>
      <c r="U67" s="18" t="s">
        <v>50</v>
      </c>
      <c r="V67" s="18" t="s">
        <v>50</v>
      </c>
      <c r="W67" s="18" t="s">
        <v>50</v>
      </c>
      <c r="X67" s="18" t="s">
        <v>51</v>
      </c>
      <c r="Y67" s="18" t="s">
        <v>50</v>
      </c>
      <c r="Z67" s="18" t="s">
        <v>51</v>
      </c>
      <c r="AA67" s="18" t="s">
        <v>50</v>
      </c>
      <c r="AB67" s="18" t="s">
        <v>50</v>
      </c>
      <c r="AC67" s="18" t="s">
        <v>50</v>
      </c>
      <c r="AD67" s="18" t="s">
        <v>50</v>
      </c>
      <c r="AE67" s="18" t="s">
        <v>51</v>
      </c>
      <c r="AF67" s="18" t="s">
        <v>50</v>
      </c>
      <c r="AG67" s="18" t="s">
        <v>50</v>
      </c>
      <c r="AH67" s="18" t="s">
        <v>50</v>
      </c>
      <c r="AI67" s="18" t="s">
        <v>50</v>
      </c>
      <c r="AJ67" s="18" t="s">
        <v>50</v>
      </c>
      <c r="AK67" s="18" t="s">
        <v>51</v>
      </c>
      <c r="AL67" s="18" t="s">
        <v>329</v>
      </c>
      <c r="AM67" s="17" t="s">
        <v>50</v>
      </c>
      <c r="AN67" s="17" t="s">
        <v>50</v>
      </c>
      <c r="AO67" s="17" t="s">
        <v>50</v>
      </c>
      <c r="AP67" s="17" t="s">
        <v>50</v>
      </c>
      <c r="AQ67" s="17" t="s">
        <v>50</v>
      </c>
      <c r="AR67" s="36" t="s">
        <v>125</v>
      </c>
      <c r="AS67" s="17" t="s">
        <v>329</v>
      </c>
      <c r="AT67" s="17" t="s">
        <v>50</v>
      </c>
      <c r="AU67" s="36" t="s">
        <v>125</v>
      </c>
      <c r="AV67" s="17" t="s">
        <v>50</v>
      </c>
      <c r="AW67" s="36" t="s">
        <v>125</v>
      </c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</row>
    <row r="68" ht="16.5" customHeight="1">
      <c r="A68" s="14" t="s">
        <v>439</v>
      </c>
      <c r="B68" s="70" t="s">
        <v>365</v>
      </c>
      <c r="C68" s="25">
        <v>1.039448695E9</v>
      </c>
      <c r="D68" s="17" t="s">
        <v>127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36" t="s">
        <v>324</v>
      </c>
      <c r="P68" s="36" t="s">
        <v>324</v>
      </c>
      <c r="Q68" s="36" t="s">
        <v>324</v>
      </c>
      <c r="R68" s="36" t="s">
        <v>324</v>
      </c>
      <c r="S68" s="36" t="s">
        <v>324</v>
      </c>
      <c r="T68" s="36" t="s">
        <v>324</v>
      </c>
      <c r="U68" s="36" t="s">
        <v>324</v>
      </c>
      <c r="V68" s="36" t="s">
        <v>324</v>
      </c>
      <c r="W68" s="36" t="s">
        <v>324</v>
      </c>
      <c r="X68" s="36" t="s">
        <v>324</v>
      </c>
      <c r="Y68" s="36" t="s">
        <v>324</v>
      </c>
      <c r="Z68" s="36" t="s">
        <v>324</v>
      </c>
      <c r="AA68" s="36" t="s">
        <v>324</v>
      </c>
      <c r="AB68" s="36" t="s">
        <v>324</v>
      </c>
      <c r="AC68" s="36" t="s">
        <v>324</v>
      </c>
      <c r="AD68" s="36" t="s">
        <v>324</v>
      </c>
      <c r="AE68" s="36" t="s">
        <v>324</v>
      </c>
      <c r="AF68" s="36" t="s">
        <v>324</v>
      </c>
      <c r="AG68" s="36" t="s">
        <v>324</v>
      </c>
      <c r="AH68" s="36" t="s">
        <v>324</v>
      </c>
      <c r="AI68" s="36" t="s">
        <v>324</v>
      </c>
      <c r="AJ68" s="36" t="s">
        <v>324</v>
      </c>
      <c r="AK68" s="18" t="s">
        <v>50</v>
      </c>
      <c r="AL68" s="18" t="s">
        <v>50</v>
      </c>
      <c r="AM68" s="19" t="s">
        <v>329</v>
      </c>
      <c r="AN68" s="19" t="s">
        <v>329</v>
      </c>
      <c r="AO68" s="19" t="s">
        <v>329</v>
      </c>
      <c r="AP68" s="19" t="s">
        <v>329</v>
      </c>
      <c r="AQ68" s="17" t="s">
        <v>50</v>
      </c>
      <c r="AR68" s="17" t="s">
        <v>329</v>
      </c>
      <c r="AS68" s="17" t="s">
        <v>329</v>
      </c>
      <c r="AT68" s="19" t="s">
        <v>329</v>
      </c>
      <c r="AU68" s="36" t="s">
        <v>125</v>
      </c>
      <c r="AV68" s="36" t="s">
        <v>125</v>
      </c>
      <c r="AW68" s="36" t="s">
        <v>125</v>
      </c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</row>
    <row r="69" ht="16.5" customHeight="1">
      <c r="A69" s="14" t="s">
        <v>442</v>
      </c>
      <c r="B69" s="70" t="s">
        <v>369</v>
      </c>
      <c r="C69" s="25">
        <v>1.036449826E9</v>
      </c>
      <c r="D69" s="17" t="s">
        <v>127</v>
      </c>
      <c r="E69" s="18" t="s">
        <v>50</v>
      </c>
      <c r="F69" s="22"/>
      <c r="G69" s="19" t="s">
        <v>51</v>
      </c>
      <c r="H69" s="22"/>
      <c r="I69" s="19" t="s">
        <v>329</v>
      </c>
      <c r="J69" s="22"/>
      <c r="K69" s="19" t="s">
        <v>329</v>
      </c>
      <c r="L69" s="22"/>
      <c r="M69" s="19" t="s">
        <v>51</v>
      </c>
      <c r="N69" s="22"/>
      <c r="O69" s="35" t="s">
        <v>111</v>
      </c>
      <c r="P69" s="19" t="s">
        <v>51</v>
      </c>
      <c r="Q69" s="35" t="s">
        <v>111</v>
      </c>
      <c r="R69" s="18" t="s">
        <v>50</v>
      </c>
      <c r="S69" s="35" t="s">
        <v>111</v>
      </c>
      <c r="T69" s="18" t="s">
        <v>50</v>
      </c>
      <c r="U69" s="35" t="s">
        <v>111</v>
      </c>
      <c r="V69" s="18" t="s">
        <v>50</v>
      </c>
      <c r="W69" s="18" t="s">
        <v>50</v>
      </c>
      <c r="X69" s="35" t="s">
        <v>111</v>
      </c>
      <c r="Y69" s="18" t="s">
        <v>50</v>
      </c>
      <c r="Z69" s="35" t="s">
        <v>111</v>
      </c>
      <c r="AA69" s="18" t="s">
        <v>50</v>
      </c>
      <c r="AB69" s="35" t="s">
        <v>111</v>
      </c>
      <c r="AC69" s="18" t="s">
        <v>50</v>
      </c>
      <c r="AD69" s="18" t="s">
        <v>50</v>
      </c>
      <c r="AE69" s="35" t="s">
        <v>111</v>
      </c>
      <c r="AF69" s="18" t="s">
        <v>50</v>
      </c>
      <c r="AG69" s="18" t="s">
        <v>50</v>
      </c>
      <c r="AH69" s="18" t="s">
        <v>50</v>
      </c>
      <c r="AI69" s="18" t="s">
        <v>50</v>
      </c>
      <c r="AJ69" s="18" t="s">
        <v>50</v>
      </c>
      <c r="AK69" s="18" t="s">
        <v>51</v>
      </c>
      <c r="AL69" s="18" t="s">
        <v>329</v>
      </c>
      <c r="AM69" s="17" t="s">
        <v>50</v>
      </c>
      <c r="AN69" s="17" t="s">
        <v>50</v>
      </c>
      <c r="AO69" s="17" t="s">
        <v>50</v>
      </c>
      <c r="AP69" s="17" t="s">
        <v>50</v>
      </c>
      <c r="AQ69" s="17" t="s">
        <v>50</v>
      </c>
      <c r="AR69" s="17" t="s">
        <v>329</v>
      </c>
      <c r="AS69" s="17" t="s">
        <v>50</v>
      </c>
      <c r="AT69" s="17" t="s">
        <v>50</v>
      </c>
      <c r="AU69" s="17" t="s">
        <v>50</v>
      </c>
      <c r="AV69" s="17" t="s">
        <v>50</v>
      </c>
      <c r="AW69" s="17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</row>
    <row r="70" ht="16.5" customHeight="1">
      <c r="A70" s="14" t="s">
        <v>444</v>
      </c>
      <c r="B70" s="79" t="s">
        <v>372</v>
      </c>
      <c r="C70" s="25">
        <v>1.038263363E9</v>
      </c>
      <c r="D70" s="17" t="s">
        <v>49</v>
      </c>
      <c r="E70" s="19" t="s">
        <v>329</v>
      </c>
      <c r="F70" s="22"/>
      <c r="G70" s="19" t="s">
        <v>51</v>
      </c>
      <c r="H70" s="22"/>
      <c r="I70" s="22"/>
      <c r="J70" s="22"/>
      <c r="K70" s="22"/>
      <c r="L70" s="19" t="s">
        <v>51</v>
      </c>
      <c r="M70" s="17" t="s">
        <v>51</v>
      </c>
      <c r="N70" s="22"/>
      <c r="O70" s="19" t="s">
        <v>51</v>
      </c>
      <c r="P70" s="18" t="s">
        <v>50</v>
      </c>
      <c r="Q70" s="18" t="s">
        <v>50</v>
      </c>
      <c r="R70" s="18" t="s">
        <v>50</v>
      </c>
      <c r="S70" s="19" t="s">
        <v>51</v>
      </c>
      <c r="T70" s="19" t="s">
        <v>51</v>
      </c>
      <c r="U70" s="18" t="s">
        <v>50</v>
      </c>
      <c r="V70" s="18" t="s">
        <v>50</v>
      </c>
      <c r="W70" s="18" t="s">
        <v>52</v>
      </c>
      <c r="X70" s="18" t="s">
        <v>50</v>
      </c>
      <c r="Y70" s="18" t="s">
        <v>50</v>
      </c>
      <c r="Z70" s="18" t="s">
        <v>52</v>
      </c>
      <c r="AA70" s="18" t="s">
        <v>50</v>
      </c>
      <c r="AB70" s="18" t="s">
        <v>51</v>
      </c>
      <c r="AC70" s="18" t="s">
        <v>51</v>
      </c>
      <c r="AD70" s="18" t="s">
        <v>50</v>
      </c>
      <c r="AE70" s="18" t="s">
        <v>50</v>
      </c>
      <c r="AF70" s="18" t="s">
        <v>50</v>
      </c>
      <c r="AG70" s="18" t="s">
        <v>51</v>
      </c>
      <c r="AH70" s="18" t="s">
        <v>51</v>
      </c>
      <c r="AI70" s="18" t="s">
        <v>51</v>
      </c>
      <c r="AJ70" s="18" t="s">
        <v>50</v>
      </c>
      <c r="AK70" s="18" t="s">
        <v>329</v>
      </c>
      <c r="AL70" s="18" t="s">
        <v>50</v>
      </c>
      <c r="AM70" s="17" t="s">
        <v>329</v>
      </c>
      <c r="AN70" s="17" t="s">
        <v>329</v>
      </c>
      <c r="AO70" s="17" t="s">
        <v>50</v>
      </c>
      <c r="AP70" s="17" t="s">
        <v>50</v>
      </c>
      <c r="AQ70" s="17" t="s">
        <v>50</v>
      </c>
      <c r="AR70" s="18" t="s">
        <v>52</v>
      </c>
      <c r="AS70" s="18" t="s">
        <v>52</v>
      </c>
      <c r="AT70" s="17" t="s">
        <v>50</v>
      </c>
      <c r="AU70" s="17" t="s">
        <v>50</v>
      </c>
      <c r="AV70" s="17" t="s">
        <v>50</v>
      </c>
      <c r="AW70" s="17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</row>
    <row r="71" ht="16.5" customHeight="1">
      <c r="A71" s="14" t="s">
        <v>446</v>
      </c>
      <c r="B71" s="79" t="s">
        <v>377</v>
      </c>
      <c r="C71" s="25">
        <v>1.03886706E9</v>
      </c>
      <c r="D71" s="17" t="s">
        <v>221</v>
      </c>
      <c r="E71" s="19" t="s">
        <v>329</v>
      </c>
      <c r="F71" s="22"/>
      <c r="G71" s="22"/>
      <c r="H71" s="19" t="s">
        <v>51</v>
      </c>
      <c r="I71" s="18" t="s">
        <v>50</v>
      </c>
      <c r="J71" s="22"/>
      <c r="K71" s="22"/>
      <c r="L71" s="18" t="s">
        <v>52</v>
      </c>
      <c r="M71" s="18" t="s">
        <v>52</v>
      </c>
      <c r="N71" s="22"/>
      <c r="O71" s="19" t="s">
        <v>51</v>
      </c>
      <c r="P71" s="19" t="s">
        <v>329</v>
      </c>
      <c r="Q71" s="18" t="s">
        <v>50</v>
      </c>
      <c r="R71" s="18" t="s">
        <v>50</v>
      </c>
      <c r="S71" s="18" t="s">
        <v>50</v>
      </c>
      <c r="T71" s="18" t="s">
        <v>50</v>
      </c>
      <c r="U71" s="18" t="s">
        <v>50</v>
      </c>
      <c r="V71" s="18" t="s">
        <v>50</v>
      </c>
      <c r="W71" s="18" t="s">
        <v>52</v>
      </c>
      <c r="X71" s="18" t="s">
        <v>50</v>
      </c>
      <c r="Y71" s="18" t="s">
        <v>50</v>
      </c>
      <c r="Z71" s="18" t="s">
        <v>52</v>
      </c>
      <c r="AA71" s="18" t="s">
        <v>51</v>
      </c>
      <c r="AB71" s="18" t="s">
        <v>50</v>
      </c>
      <c r="AC71" s="18" t="s">
        <v>50</v>
      </c>
      <c r="AD71" s="18" t="s">
        <v>50</v>
      </c>
      <c r="AE71" s="18" t="s">
        <v>52</v>
      </c>
      <c r="AF71" s="18" t="s">
        <v>50</v>
      </c>
      <c r="AG71" s="18" t="s">
        <v>50</v>
      </c>
      <c r="AH71" s="18" t="s">
        <v>50</v>
      </c>
      <c r="AI71" s="18" t="s">
        <v>50</v>
      </c>
      <c r="AJ71" s="18" t="s">
        <v>50</v>
      </c>
      <c r="AK71" s="18" t="s">
        <v>52</v>
      </c>
      <c r="AL71" s="18" t="s">
        <v>52</v>
      </c>
      <c r="AM71" s="17" t="s">
        <v>50</v>
      </c>
      <c r="AN71" s="17" t="s">
        <v>50</v>
      </c>
      <c r="AO71" s="18" t="s">
        <v>52</v>
      </c>
      <c r="AP71" s="18" t="s">
        <v>50</v>
      </c>
      <c r="AQ71" s="18" t="s">
        <v>52</v>
      </c>
      <c r="AR71" s="17" t="s">
        <v>50</v>
      </c>
      <c r="AS71" s="17" t="s">
        <v>50</v>
      </c>
      <c r="AT71" s="17" t="s">
        <v>329</v>
      </c>
      <c r="AU71" s="17" t="s">
        <v>50</v>
      </c>
      <c r="AV71" s="17" t="s">
        <v>50</v>
      </c>
      <c r="AW71" s="17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</row>
    <row r="72" ht="16.5" customHeight="1">
      <c r="A72" s="14" t="s">
        <v>448</v>
      </c>
      <c r="B72" s="79" t="s">
        <v>380</v>
      </c>
      <c r="C72" s="25">
        <v>1.002127074E9</v>
      </c>
      <c r="D72" s="17" t="s">
        <v>127</v>
      </c>
      <c r="E72" s="19" t="s">
        <v>51</v>
      </c>
      <c r="F72" s="18" t="s">
        <v>50</v>
      </c>
      <c r="G72" s="19" t="s">
        <v>329</v>
      </c>
      <c r="H72" s="22"/>
      <c r="I72" s="19" t="s">
        <v>329</v>
      </c>
      <c r="J72" s="22"/>
      <c r="K72" s="17" t="s">
        <v>51</v>
      </c>
      <c r="L72" s="22"/>
      <c r="M72" s="22"/>
      <c r="N72" s="19" t="s">
        <v>329</v>
      </c>
      <c r="O72" s="18" t="s">
        <v>50</v>
      </c>
      <c r="P72" s="18" t="s">
        <v>50</v>
      </c>
      <c r="Q72" s="19" t="s">
        <v>51</v>
      </c>
      <c r="R72" s="19" t="s">
        <v>51</v>
      </c>
      <c r="S72" s="18" t="s">
        <v>50</v>
      </c>
      <c r="T72" s="18" t="s">
        <v>50</v>
      </c>
      <c r="U72" s="18" t="s">
        <v>50</v>
      </c>
      <c r="V72" s="18" t="s">
        <v>50</v>
      </c>
      <c r="W72" s="18" t="s">
        <v>51</v>
      </c>
      <c r="X72" s="18" t="s">
        <v>50</v>
      </c>
      <c r="Y72" s="18" t="s">
        <v>50</v>
      </c>
      <c r="Z72" s="18" t="s">
        <v>51</v>
      </c>
      <c r="AA72" s="18" t="s">
        <v>51</v>
      </c>
      <c r="AB72" s="18" t="s">
        <v>50</v>
      </c>
      <c r="AC72" s="18" t="s">
        <v>50</v>
      </c>
      <c r="AD72" s="18" t="s">
        <v>50</v>
      </c>
      <c r="AE72" s="18" t="s">
        <v>50</v>
      </c>
      <c r="AF72" s="18" t="s">
        <v>50</v>
      </c>
      <c r="AG72" s="18" t="s">
        <v>51</v>
      </c>
      <c r="AH72" s="18" t="s">
        <v>51</v>
      </c>
      <c r="AI72" s="18" t="s">
        <v>51</v>
      </c>
      <c r="AJ72" s="18" t="s">
        <v>50</v>
      </c>
      <c r="AK72" s="18" t="s">
        <v>50</v>
      </c>
      <c r="AL72" s="18" t="s">
        <v>50</v>
      </c>
      <c r="AM72" s="17" t="s">
        <v>329</v>
      </c>
      <c r="AN72" s="17" t="s">
        <v>50</v>
      </c>
      <c r="AO72" s="17" t="s">
        <v>51</v>
      </c>
      <c r="AP72" s="17"/>
      <c r="AQ72" s="17" t="s">
        <v>50</v>
      </c>
      <c r="AR72" s="17" t="s">
        <v>50</v>
      </c>
      <c r="AS72" s="17" t="s">
        <v>50</v>
      </c>
      <c r="AT72" s="17" t="s">
        <v>50</v>
      </c>
      <c r="AU72" s="17" t="s">
        <v>50</v>
      </c>
      <c r="AV72" s="17" t="s">
        <v>50</v>
      </c>
      <c r="AW72" s="17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</row>
    <row r="73" ht="16.5" customHeight="1">
      <c r="A73" s="14" t="s">
        <v>450</v>
      </c>
      <c r="B73" s="70" t="s">
        <v>385</v>
      </c>
      <c r="C73" s="25">
        <v>1.020106083E9</v>
      </c>
      <c r="D73" s="17" t="s">
        <v>127</v>
      </c>
      <c r="E73" s="22"/>
      <c r="F73" s="19" t="s">
        <v>329</v>
      </c>
      <c r="G73" s="22"/>
      <c r="H73" s="19" t="s">
        <v>329</v>
      </c>
      <c r="I73" s="22"/>
      <c r="J73" s="19" t="s">
        <v>329</v>
      </c>
      <c r="K73" s="22"/>
      <c r="L73" s="19" t="s">
        <v>329</v>
      </c>
      <c r="M73" s="22"/>
      <c r="N73" s="19" t="s">
        <v>329</v>
      </c>
      <c r="O73" s="35" t="s">
        <v>111</v>
      </c>
      <c r="P73" s="35" t="s">
        <v>111</v>
      </c>
      <c r="Q73" s="35" t="s">
        <v>111</v>
      </c>
      <c r="R73" s="35" t="s">
        <v>111</v>
      </c>
      <c r="S73" s="35" t="s">
        <v>111</v>
      </c>
      <c r="T73" s="35" t="s">
        <v>111</v>
      </c>
      <c r="U73" s="35" t="s">
        <v>111</v>
      </c>
      <c r="V73" s="35" t="s">
        <v>111</v>
      </c>
      <c r="W73" s="18" t="s">
        <v>50</v>
      </c>
      <c r="X73" s="35" t="s">
        <v>111</v>
      </c>
      <c r="Y73" s="35" t="s">
        <v>111</v>
      </c>
      <c r="Z73" s="35" t="s">
        <v>111</v>
      </c>
      <c r="AA73" s="35" t="s">
        <v>111</v>
      </c>
      <c r="AB73" s="35" t="s">
        <v>111</v>
      </c>
      <c r="AC73" s="35" t="s">
        <v>111</v>
      </c>
      <c r="AD73" s="18" t="s">
        <v>50</v>
      </c>
      <c r="AE73" s="35" t="s">
        <v>111</v>
      </c>
      <c r="AF73" s="35" t="s">
        <v>111</v>
      </c>
      <c r="AG73" s="18" t="s">
        <v>50</v>
      </c>
      <c r="AH73" s="18" t="s">
        <v>50</v>
      </c>
      <c r="AI73" s="18" t="s">
        <v>50</v>
      </c>
      <c r="AJ73" s="18" t="s">
        <v>50</v>
      </c>
      <c r="AK73" s="80" t="s">
        <v>387</v>
      </c>
      <c r="AL73" s="80" t="s">
        <v>387</v>
      </c>
      <c r="AM73" s="80" t="s">
        <v>387</v>
      </c>
      <c r="AN73" s="80" t="s">
        <v>387</v>
      </c>
      <c r="AO73" s="80" t="s">
        <v>387</v>
      </c>
      <c r="AP73" s="80" t="s">
        <v>387</v>
      </c>
      <c r="AQ73" s="17" t="s">
        <v>50</v>
      </c>
      <c r="AR73" s="19" t="s">
        <v>329</v>
      </c>
      <c r="AS73" s="19" t="s">
        <v>329</v>
      </c>
      <c r="AT73" s="19" t="s">
        <v>329</v>
      </c>
      <c r="AU73" s="19" t="s">
        <v>329</v>
      </c>
      <c r="AV73" s="19" t="s">
        <v>329</v>
      </c>
      <c r="AW73" s="17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</row>
    <row r="74" ht="16.5" customHeight="1">
      <c r="A74" s="14" t="s">
        <v>452</v>
      </c>
      <c r="B74" s="70" t="s">
        <v>389</v>
      </c>
      <c r="C74" s="25">
        <v>1.022003649E9</v>
      </c>
      <c r="D74" s="17" t="s">
        <v>124</v>
      </c>
      <c r="E74" s="22"/>
      <c r="F74" s="22"/>
      <c r="G74" s="22"/>
      <c r="H74" s="22"/>
      <c r="I74" s="19" t="s">
        <v>329</v>
      </c>
      <c r="J74" s="22"/>
      <c r="K74" s="19" t="s">
        <v>334</v>
      </c>
      <c r="L74" s="22"/>
      <c r="M74" s="19" t="s">
        <v>391</v>
      </c>
      <c r="N74" s="22"/>
      <c r="O74" s="19" t="s">
        <v>51</v>
      </c>
      <c r="P74" s="18" t="s">
        <v>50</v>
      </c>
      <c r="Q74" s="18" t="s">
        <v>50</v>
      </c>
      <c r="R74" s="18" t="s">
        <v>50</v>
      </c>
      <c r="S74" s="19" t="s">
        <v>51</v>
      </c>
      <c r="T74" s="19" t="s">
        <v>51</v>
      </c>
      <c r="U74" s="18" t="s">
        <v>50</v>
      </c>
      <c r="V74" s="18" t="s">
        <v>50</v>
      </c>
      <c r="W74" s="18" t="s">
        <v>50</v>
      </c>
      <c r="X74" s="18" t="s">
        <v>51</v>
      </c>
      <c r="Y74" s="18" t="s">
        <v>51</v>
      </c>
      <c r="Z74" s="18" t="s">
        <v>50</v>
      </c>
      <c r="AA74" s="18" t="s">
        <v>50</v>
      </c>
      <c r="AB74" s="18" t="s">
        <v>50</v>
      </c>
      <c r="AC74" s="18" t="s">
        <v>50</v>
      </c>
      <c r="AD74" s="18" t="s">
        <v>50</v>
      </c>
      <c r="AE74" s="18" t="s">
        <v>50</v>
      </c>
      <c r="AF74" s="18" t="s">
        <v>50</v>
      </c>
      <c r="AG74" s="18" t="s">
        <v>50</v>
      </c>
      <c r="AH74" s="18" t="s">
        <v>50</v>
      </c>
      <c r="AI74" s="18" t="s">
        <v>50</v>
      </c>
      <c r="AJ74" s="18" t="s">
        <v>50</v>
      </c>
      <c r="AK74" s="18" t="s">
        <v>50</v>
      </c>
      <c r="AL74" s="18" t="s">
        <v>50</v>
      </c>
      <c r="AM74" s="17" t="s">
        <v>50</v>
      </c>
      <c r="AN74" s="17" t="s">
        <v>50</v>
      </c>
      <c r="AO74" s="17" t="s">
        <v>50</v>
      </c>
      <c r="AP74" s="17" t="s">
        <v>50</v>
      </c>
      <c r="AQ74" s="17" t="s">
        <v>50</v>
      </c>
      <c r="AR74" s="17" t="s">
        <v>50</v>
      </c>
      <c r="AS74" s="17" t="s">
        <v>50</v>
      </c>
      <c r="AT74" s="17" t="s">
        <v>50</v>
      </c>
      <c r="AU74" s="17" t="s">
        <v>50</v>
      </c>
      <c r="AV74" s="17" t="s">
        <v>50</v>
      </c>
      <c r="AW74" s="17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</row>
    <row r="75" ht="16.5" customHeight="1">
      <c r="A75" s="14" t="s">
        <v>454</v>
      </c>
      <c r="B75" s="79" t="s">
        <v>394</v>
      </c>
      <c r="C75" s="25">
        <v>1.07650306E9</v>
      </c>
      <c r="D75" s="17" t="s">
        <v>124</v>
      </c>
      <c r="E75" s="19" t="s">
        <v>329</v>
      </c>
      <c r="F75" s="22"/>
      <c r="G75" s="22"/>
      <c r="H75" s="22"/>
      <c r="I75" s="22"/>
      <c r="J75" s="22"/>
      <c r="K75" s="22"/>
      <c r="L75" s="22"/>
      <c r="M75" s="19" t="s">
        <v>51</v>
      </c>
      <c r="N75" s="22"/>
      <c r="O75" s="22"/>
      <c r="P75" s="36" t="s">
        <v>324</v>
      </c>
      <c r="Q75" s="22"/>
      <c r="R75" s="36" t="s">
        <v>324</v>
      </c>
      <c r="S75" s="22"/>
      <c r="T75" s="36" t="s">
        <v>324</v>
      </c>
      <c r="U75" s="22"/>
      <c r="V75" s="36" t="s">
        <v>324</v>
      </c>
      <c r="W75" s="17" t="s">
        <v>51</v>
      </c>
      <c r="X75" s="22"/>
      <c r="Y75" s="36" t="s">
        <v>324</v>
      </c>
      <c r="Z75" s="22"/>
      <c r="AA75" s="36" t="s">
        <v>324</v>
      </c>
      <c r="AB75" s="22"/>
      <c r="AC75" s="36" t="s">
        <v>324</v>
      </c>
      <c r="AD75" s="22"/>
      <c r="AE75" s="22"/>
      <c r="AF75" s="22"/>
      <c r="AG75" s="18" t="s">
        <v>51</v>
      </c>
      <c r="AH75" s="22"/>
      <c r="AI75" s="22"/>
      <c r="AJ75" s="22"/>
      <c r="AK75" s="22"/>
      <c r="AL75" s="18" t="s">
        <v>50</v>
      </c>
      <c r="AM75" s="17" t="s">
        <v>50</v>
      </c>
      <c r="AN75" s="17" t="s">
        <v>50</v>
      </c>
      <c r="AO75" s="17"/>
      <c r="AP75" s="17" t="s">
        <v>51</v>
      </c>
      <c r="AQ75" s="17" t="s">
        <v>329</v>
      </c>
      <c r="AR75" s="17" t="s">
        <v>50</v>
      </c>
      <c r="AS75" s="17" t="s">
        <v>50</v>
      </c>
      <c r="AT75" s="17" t="s">
        <v>50</v>
      </c>
      <c r="AU75" s="17" t="s">
        <v>165</v>
      </c>
      <c r="AV75" s="17" t="s">
        <v>329</v>
      </c>
      <c r="AW75" s="17" t="s">
        <v>165</v>
      </c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</row>
    <row r="76" ht="16.5" customHeight="1">
      <c r="A76" s="91"/>
      <c r="B76" s="42" t="s">
        <v>397</v>
      </c>
      <c r="C76" s="76">
        <v>1.000868495E9</v>
      </c>
      <c r="D76" s="42" t="s">
        <v>127</v>
      </c>
      <c r="E76" s="17" t="s">
        <v>111</v>
      </c>
      <c r="F76" s="17" t="s">
        <v>111</v>
      </c>
      <c r="G76" s="17" t="s">
        <v>111</v>
      </c>
      <c r="H76" s="19" t="s">
        <v>456</v>
      </c>
      <c r="I76" s="17" t="s">
        <v>111</v>
      </c>
      <c r="J76" s="17" t="s">
        <v>111</v>
      </c>
      <c r="K76" s="17" t="s">
        <v>111</v>
      </c>
      <c r="L76" s="17" t="s">
        <v>111</v>
      </c>
      <c r="M76" s="19" t="s">
        <v>458</v>
      </c>
      <c r="N76" s="17" t="s">
        <v>111</v>
      </c>
      <c r="O76" s="18" t="s">
        <v>50</v>
      </c>
      <c r="P76" s="18" t="s">
        <v>50</v>
      </c>
      <c r="Q76" s="19" t="s">
        <v>51</v>
      </c>
      <c r="R76" s="19" t="s">
        <v>51</v>
      </c>
      <c r="S76" s="18" t="s">
        <v>50</v>
      </c>
      <c r="T76" s="18" t="s">
        <v>50</v>
      </c>
      <c r="U76" s="18" t="s">
        <v>50</v>
      </c>
      <c r="V76" s="18" t="s">
        <v>50</v>
      </c>
      <c r="W76" s="18" t="s">
        <v>51</v>
      </c>
      <c r="X76" s="18" t="s">
        <v>50</v>
      </c>
      <c r="Y76" s="18" t="s">
        <v>50</v>
      </c>
      <c r="Z76" s="18" t="s">
        <v>51</v>
      </c>
      <c r="AA76" s="18" t="s">
        <v>51</v>
      </c>
      <c r="AB76" s="18" t="s">
        <v>50</v>
      </c>
      <c r="AC76" s="18" t="s">
        <v>50</v>
      </c>
      <c r="AD76" s="18" t="s">
        <v>50</v>
      </c>
      <c r="AE76" s="18" t="s">
        <v>51</v>
      </c>
      <c r="AF76" s="18" t="s">
        <v>50</v>
      </c>
      <c r="AG76" s="18" t="s">
        <v>50</v>
      </c>
      <c r="AH76" s="18" t="s">
        <v>50</v>
      </c>
      <c r="AI76" s="18" t="s">
        <v>50</v>
      </c>
      <c r="AJ76" s="18" t="s">
        <v>50</v>
      </c>
      <c r="AK76" s="18" t="s">
        <v>51</v>
      </c>
      <c r="AL76" s="18" t="s">
        <v>51</v>
      </c>
      <c r="AM76" s="17" t="s">
        <v>50</v>
      </c>
      <c r="AN76" s="17" t="s">
        <v>50</v>
      </c>
      <c r="AO76" s="17" t="s">
        <v>51</v>
      </c>
      <c r="AP76" s="17" t="s">
        <v>51</v>
      </c>
      <c r="AQ76" s="17" t="s">
        <v>50</v>
      </c>
      <c r="AR76" s="36" t="s">
        <v>125</v>
      </c>
      <c r="AS76" s="17" t="s">
        <v>50</v>
      </c>
      <c r="AT76" s="17" t="s">
        <v>329</v>
      </c>
      <c r="AU76" s="36" t="s">
        <v>125</v>
      </c>
      <c r="AV76" s="17" t="s">
        <v>50</v>
      </c>
      <c r="AW76" s="36" t="s">
        <v>125</v>
      </c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</row>
    <row r="77" ht="16.5" customHeight="1">
      <c r="A77" s="14" t="s">
        <v>459</v>
      </c>
      <c r="B77" s="70" t="s">
        <v>401</v>
      </c>
      <c r="C77" s="25">
        <v>1.000444914E9</v>
      </c>
      <c r="D77" s="17" t="s">
        <v>124</v>
      </c>
      <c r="E77" s="22"/>
      <c r="F77" s="19" t="s">
        <v>402</v>
      </c>
      <c r="G77" s="19" t="s">
        <v>50</v>
      </c>
      <c r="H77" s="19" t="s">
        <v>329</v>
      </c>
      <c r="I77" s="22"/>
      <c r="J77" s="19" t="s">
        <v>329</v>
      </c>
      <c r="K77" s="22"/>
      <c r="L77" s="19" t="s">
        <v>329</v>
      </c>
      <c r="M77" s="22"/>
      <c r="N77" s="19" t="s">
        <v>329</v>
      </c>
      <c r="O77" s="18" t="s">
        <v>50</v>
      </c>
      <c r="P77" s="18" t="s">
        <v>50</v>
      </c>
      <c r="Q77" s="19" t="s">
        <v>51</v>
      </c>
      <c r="R77" s="19" t="s">
        <v>51</v>
      </c>
      <c r="S77" s="18" t="s">
        <v>50</v>
      </c>
      <c r="T77" s="18" t="s">
        <v>50</v>
      </c>
      <c r="U77" s="18" t="s">
        <v>50</v>
      </c>
      <c r="V77" s="18" t="s">
        <v>50</v>
      </c>
      <c r="W77" s="18" t="s">
        <v>51</v>
      </c>
      <c r="X77" s="18" t="s">
        <v>50</v>
      </c>
      <c r="Y77" s="18" t="s">
        <v>50</v>
      </c>
      <c r="Z77" s="18" t="s">
        <v>52</v>
      </c>
      <c r="AA77" s="18" t="s">
        <v>50</v>
      </c>
      <c r="AB77" s="18" t="s">
        <v>50</v>
      </c>
      <c r="AC77" s="18" t="s">
        <v>50</v>
      </c>
      <c r="AD77" s="18" t="s">
        <v>50</v>
      </c>
      <c r="AE77" s="18" t="s">
        <v>329</v>
      </c>
      <c r="AF77" s="18" t="s">
        <v>50</v>
      </c>
      <c r="AG77" s="18" t="s">
        <v>329</v>
      </c>
      <c r="AH77" s="18" t="s">
        <v>50</v>
      </c>
      <c r="AI77" s="18" t="s">
        <v>50</v>
      </c>
      <c r="AJ77" s="18" t="s">
        <v>50</v>
      </c>
      <c r="AK77" s="18" t="s">
        <v>50</v>
      </c>
      <c r="AL77" s="18" t="s">
        <v>50</v>
      </c>
      <c r="AM77" s="17" t="s">
        <v>329</v>
      </c>
      <c r="AN77" s="17" t="s">
        <v>329</v>
      </c>
      <c r="AO77" s="17" t="s">
        <v>50</v>
      </c>
      <c r="AP77" s="17" t="s">
        <v>50</v>
      </c>
      <c r="AQ77" s="17" t="s">
        <v>50</v>
      </c>
      <c r="AR77" s="17" t="s">
        <v>50</v>
      </c>
      <c r="AS77" s="17" t="s">
        <v>50</v>
      </c>
      <c r="AT77" s="17" t="s">
        <v>50</v>
      </c>
      <c r="AU77" s="17" t="s">
        <v>329</v>
      </c>
      <c r="AV77" s="17" t="s">
        <v>329</v>
      </c>
      <c r="AW77" s="17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</row>
    <row r="78" ht="16.5" customHeight="1">
      <c r="A78" s="31" t="s">
        <v>404</v>
      </c>
      <c r="B78" s="79" t="s">
        <v>407</v>
      </c>
      <c r="C78" s="25">
        <v>1.021924804E9</v>
      </c>
      <c r="D78" s="17" t="s">
        <v>124</v>
      </c>
      <c r="E78" s="22"/>
      <c r="F78" s="22"/>
      <c r="G78" s="22"/>
      <c r="H78" s="82"/>
      <c r="I78" s="22"/>
      <c r="J78" s="22"/>
      <c r="K78" s="22"/>
      <c r="L78" s="19" t="s">
        <v>51</v>
      </c>
      <c r="M78" s="22"/>
      <c r="N78" s="19" t="s">
        <v>51</v>
      </c>
      <c r="O78" s="18" t="s">
        <v>50</v>
      </c>
      <c r="P78" s="18" t="s">
        <v>50</v>
      </c>
      <c r="Q78" s="19" t="s">
        <v>51</v>
      </c>
      <c r="R78" s="19" t="s">
        <v>51</v>
      </c>
      <c r="S78" s="18" t="s">
        <v>50</v>
      </c>
      <c r="T78" s="18" t="s">
        <v>50</v>
      </c>
      <c r="U78" s="19" t="s">
        <v>51</v>
      </c>
      <c r="V78" s="19" t="s">
        <v>51</v>
      </c>
      <c r="W78" s="18" t="s">
        <v>50</v>
      </c>
      <c r="X78" s="18" t="s">
        <v>50</v>
      </c>
      <c r="Y78" s="19" t="s">
        <v>51</v>
      </c>
      <c r="Z78" s="18" t="s">
        <v>50</v>
      </c>
      <c r="AA78" s="18" t="s">
        <v>50</v>
      </c>
      <c r="AB78" s="18" t="s">
        <v>50</v>
      </c>
      <c r="AC78" s="18" t="s">
        <v>50</v>
      </c>
      <c r="AD78" s="18" t="s">
        <v>51</v>
      </c>
      <c r="AE78" s="18" t="s">
        <v>50</v>
      </c>
      <c r="AF78" s="18" t="s">
        <v>50</v>
      </c>
      <c r="AG78" s="18" t="s">
        <v>50</v>
      </c>
      <c r="AH78" s="18" t="s">
        <v>51</v>
      </c>
      <c r="AI78" s="18" t="s">
        <v>51</v>
      </c>
      <c r="AJ78" s="18" t="s">
        <v>50</v>
      </c>
      <c r="AK78" s="18" t="s">
        <v>50</v>
      </c>
      <c r="AL78" s="18" t="s">
        <v>50</v>
      </c>
      <c r="AM78" s="18" t="s">
        <v>51</v>
      </c>
      <c r="AN78" s="17" t="s">
        <v>50</v>
      </c>
      <c r="AO78" s="17" t="s">
        <v>51</v>
      </c>
      <c r="AP78" s="17" t="s">
        <v>51</v>
      </c>
      <c r="AQ78" s="17" t="s">
        <v>50</v>
      </c>
      <c r="AR78" s="17" t="s">
        <v>50</v>
      </c>
      <c r="AS78" s="17" t="s">
        <v>50</v>
      </c>
      <c r="AT78" s="17" t="s">
        <v>329</v>
      </c>
      <c r="AU78" s="17" t="s">
        <v>165</v>
      </c>
      <c r="AV78" s="17" t="s">
        <v>165</v>
      </c>
      <c r="AW78" s="17" t="s">
        <v>165</v>
      </c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</row>
    <row r="79" ht="16.5" customHeight="1">
      <c r="A79" s="83"/>
      <c r="B79" s="81" t="s">
        <v>408</v>
      </c>
      <c r="C79" s="84"/>
      <c r="D79" s="84"/>
      <c r="E79" s="18">
        <f t="shared" ref="E79:AW79" si="1">COUNTIF(E3:E78,"*TENIS*")</f>
        <v>15</v>
      </c>
      <c r="F79" s="18">
        <f t="shared" si="1"/>
        <v>8</v>
      </c>
      <c r="G79" s="18">
        <f t="shared" si="1"/>
        <v>17</v>
      </c>
      <c r="H79" s="18">
        <f t="shared" si="1"/>
        <v>11</v>
      </c>
      <c r="I79" s="18">
        <f t="shared" si="1"/>
        <v>15</v>
      </c>
      <c r="J79" s="18">
        <f t="shared" si="1"/>
        <v>12</v>
      </c>
      <c r="K79" s="18">
        <f t="shared" si="1"/>
        <v>15</v>
      </c>
      <c r="L79" s="18">
        <f t="shared" si="1"/>
        <v>11</v>
      </c>
      <c r="M79" s="18">
        <f t="shared" si="1"/>
        <v>17</v>
      </c>
      <c r="N79" s="18">
        <f t="shared" si="1"/>
        <v>6</v>
      </c>
      <c r="O79" s="18">
        <f t="shared" si="1"/>
        <v>24</v>
      </c>
      <c r="P79" s="18">
        <f t="shared" si="1"/>
        <v>11</v>
      </c>
      <c r="Q79" s="18">
        <f t="shared" si="1"/>
        <v>10</v>
      </c>
      <c r="R79" s="18">
        <f t="shared" si="1"/>
        <v>11</v>
      </c>
      <c r="S79" s="18">
        <f t="shared" si="1"/>
        <v>10</v>
      </c>
      <c r="T79" s="18">
        <f t="shared" si="1"/>
        <v>12</v>
      </c>
      <c r="U79" s="18">
        <f t="shared" si="1"/>
        <v>9</v>
      </c>
      <c r="V79" s="18">
        <f t="shared" si="1"/>
        <v>11</v>
      </c>
      <c r="W79" s="18">
        <f t="shared" si="1"/>
        <v>12</v>
      </c>
      <c r="X79" s="18">
        <f t="shared" si="1"/>
        <v>12</v>
      </c>
      <c r="Y79" s="18">
        <f t="shared" si="1"/>
        <v>11</v>
      </c>
      <c r="Z79" s="18">
        <f t="shared" si="1"/>
        <v>14</v>
      </c>
      <c r="AA79" s="18">
        <f t="shared" si="1"/>
        <v>12</v>
      </c>
      <c r="AB79" s="18">
        <f t="shared" si="1"/>
        <v>10</v>
      </c>
      <c r="AC79" s="18">
        <f t="shared" si="1"/>
        <v>10</v>
      </c>
      <c r="AD79" s="18">
        <f t="shared" si="1"/>
        <v>9</v>
      </c>
      <c r="AE79" s="18">
        <f t="shared" si="1"/>
        <v>10</v>
      </c>
      <c r="AF79" s="18">
        <f t="shared" si="1"/>
        <v>10</v>
      </c>
      <c r="AG79" s="18">
        <f t="shared" si="1"/>
        <v>13</v>
      </c>
      <c r="AH79" s="18">
        <f t="shared" si="1"/>
        <v>12</v>
      </c>
      <c r="AI79" s="18">
        <f t="shared" si="1"/>
        <v>12</v>
      </c>
      <c r="AJ79" s="18">
        <f t="shared" si="1"/>
        <v>9</v>
      </c>
      <c r="AK79" s="18">
        <f t="shared" si="1"/>
        <v>9</v>
      </c>
      <c r="AL79" s="18">
        <f t="shared" si="1"/>
        <v>13</v>
      </c>
      <c r="AM79" s="18">
        <f t="shared" si="1"/>
        <v>17</v>
      </c>
      <c r="AN79" s="18">
        <f t="shared" si="1"/>
        <v>14</v>
      </c>
      <c r="AO79" s="18">
        <f t="shared" si="1"/>
        <v>13</v>
      </c>
      <c r="AP79" s="18">
        <f t="shared" si="1"/>
        <v>13</v>
      </c>
      <c r="AQ79" s="18">
        <f t="shared" si="1"/>
        <v>13</v>
      </c>
      <c r="AR79" s="18">
        <f t="shared" si="1"/>
        <v>15</v>
      </c>
      <c r="AS79" s="18">
        <f t="shared" si="1"/>
        <v>13</v>
      </c>
      <c r="AT79" s="18">
        <f t="shared" si="1"/>
        <v>12</v>
      </c>
      <c r="AU79" s="18">
        <f t="shared" si="1"/>
        <v>13</v>
      </c>
      <c r="AV79" s="18">
        <f t="shared" si="1"/>
        <v>13</v>
      </c>
      <c r="AW79" s="18">
        <f t="shared" si="1"/>
        <v>0</v>
      </c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</row>
    <row r="80" ht="16.5" customHeight="1">
      <c r="A80" s="83"/>
      <c r="B80" s="81" t="s">
        <v>413</v>
      </c>
      <c r="C80" s="84"/>
      <c r="D80" s="84"/>
      <c r="E80" s="18">
        <f t="shared" ref="E80:AW80" si="2">COUNTIF(E3:E78,"*jugador*")</f>
        <v>4</v>
      </c>
      <c r="F80" s="18">
        <f t="shared" si="2"/>
        <v>4</v>
      </c>
      <c r="G80" s="18">
        <f t="shared" si="2"/>
        <v>3</v>
      </c>
      <c r="H80" s="18">
        <f t="shared" si="2"/>
        <v>4</v>
      </c>
      <c r="I80" s="18">
        <f t="shared" si="2"/>
        <v>5</v>
      </c>
      <c r="J80" s="18">
        <f t="shared" si="2"/>
        <v>3</v>
      </c>
      <c r="K80" s="18">
        <f t="shared" si="2"/>
        <v>4</v>
      </c>
      <c r="L80" s="18">
        <f t="shared" si="2"/>
        <v>4</v>
      </c>
      <c r="M80" s="18">
        <f t="shared" si="2"/>
        <v>5</v>
      </c>
      <c r="N80" s="18">
        <f t="shared" si="2"/>
        <v>3</v>
      </c>
      <c r="O80" s="18">
        <f t="shared" si="2"/>
        <v>5</v>
      </c>
      <c r="P80" s="18">
        <f t="shared" si="2"/>
        <v>5</v>
      </c>
      <c r="Q80" s="18">
        <f t="shared" si="2"/>
        <v>4</v>
      </c>
      <c r="R80" s="18">
        <f t="shared" si="2"/>
        <v>4</v>
      </c>
      <c r="S80" s="18">
        <f t="shared" si="2"/>
        <v>4</v>
      </c>
      <c r="T80" s="18">
        <f t="shared" si="2"/>
        <v>4</v>
      </c>
      <c r="U80" s="18">
        <f t="shared" si="2"/>
        <v>4</v>
      </c>
      <c r="V80" s="18">
        <f t="shared" si="2"/>
        <v>4</v>
      </c>
      <c r="W80" s="18">
        <f t="shared" si="2"/>
        <v>4</v>
      </c>
      <c r="X80" s="18">
        <f t="shared" si="2"/>
        <v>3</v>
      </c>
      <c r="Y80" s="18">
        <f t="shared" si="2"/>
        <v>4</v>
      </c>
      <c r="Z80" s="18">
        <f t="shared" si="2"/>
        <v>2</v>
      </c>
      <c r="AA80" s="18">
        <f t="shared" si="2"/>
        <v>4</v>
      </c>
      <c r="AB80" s="18">
        <f t="shared" si="2"/>
        <v>3</v>
      </c>
      <c r="AC80" s="18">
        <f t="shared" si="2"/>
        <v>4</v>
      </c>
      <c r="AD80" s="18">
        <f t="shared" si="2"/>
        <v>3</v>
      </c>
      <c r="AE80" s="18">
        <f t="shared" si="2"/>
        <v>4</v>
      </c>
      <c r="AF80" s="18">
        <f t="shared" si="2"/>
        <v>3</v>
      </c>
      <c r="AG80" s="18">
        <f t="shared" si="2"/>
        <v>3</v>
      </c>
      <c r="AH80" s="18">
        <f t="shared" si="2"/>
        <v>4</v>
      </c>
      <c r="AI80" s="18">
        <f t="shared" si="2"/>
        <v>3</v>
      </c>
      <c r="AJ80" s="18">
        <f t="shared" si="2"/>
        <v>4</v>
      </c>
      <c r="AK80" s="18">
        <f t="shared" si="2"/>
        <v>3</v>
      </c>
      <c r="AL80" s="18">
        <f t="shared" si="2"/>
        <v>3</v>
      </c>
      <c r="AM80" s="18">
        <f t="shared" si="2"/>
        <v>7</v>
      </c>
      <c r="AN80" s="18">
        <f t="shared" si="2"/>
        <v>6</v>
      </c>
      <c r="AO80" s="18">
        <f t="shared" si="2"/>
        <v>4</v>
      </c>
      <c r="AP80" s="18">
        <f t="shared" si="2"/>
        <v>4</v>
      </c>
      <c r="AQ80" s="18">
        <f t="shared" si="2"/>
        <v>3</v>
      </c>
      <c r="AR80" s="18">
        <f t="shared" si="2"/>
        <v>3</v>
      </c>
      <c r="AS80" s="18">
        <f t="shared" si="2"/>
        <v>3</v>
      </c>
      <c r="AT80" s="18">
        <f t="shared" si="2"/>
        <v>5</v>
      </c>
      <c r="AU80" s="18">
        <f t="shared" si="2"/>
        <v>4</v>
      </c>
      <c r="AV80" s="18">
        <f t="shared" si="2"/>
        <v>5</v>
      </c>
      <c r="AW80" s="18">
        <f t="shared" si="2"/>
        <v>0</v>
      </c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</row>
    <row r="81" ht="16.5" customHeight="1">
      <c r="A81" s="83"/>
      <c r="B81" s="87" t="s">
        <v>417</v>
      </c>
      <c r="C81" s="84"/>
      <c r="D81" s="84"/>
      <c r="E81" s="18">
        <f t="shared" ref="E81:AW81" si="3">COUNTIF(E3:E78,"*FIJO T*")</f>
        <v>0</v>
      </c>
      <c r="F81" s="18">
        <f t="shared" si="3"/>
        <v>0</v>
      </c>
      <c r="G81" s="18">
        <f t="shared" si="3"/>
        <v>0</v>
      </c>
      <c r="H81" s="18">
        <f t="shared" si="3"/>
        <v>0</v>
      </c>
      <c r="I81" s="18">
        <f t="shared" si="3"/>
        <v>0</v>
      </c>
      <c r="J81" s="18">
        <f t="shared" si="3"/>
        <v>0</v>
      </c>
      <c r="K81" s="18">
        <f t="shared" si="3"/>
        <v>0</v>
      </c>
      <c r="L81" s="18">
        <f t="shared" si="3"/>
        <v>0</v>
      </c>
      <c r="M81" s="18">
        <f t="shared" si="3"/>
        <v>0</v>
      </c>
      <c r="N81" s="18">
        <f t="shared" si="3"/>
        <v>0</v>
      </c>
      <c r="O81" s="18">
        <f t="shared" si="3"/>
        <v>6</v>
      </c>
      <c r="P81" s="18">
        <f t="shared" si="3"/>
        <v>2</v>
      </c>
      <c r="Q81" s="18">
        <f t="shared" si="3"/>
        <v>7</v>
      </c>
      <c r="R81" s="18">
        <f t="shared" si="3"/>
        <v>2</v>
      </c>
      <c r="S81" s="18">
        <f t="shared" si="3"/>
        <v>6</v>
      </c>
      <c r="T81" s="18">
        <f t="shared" si="3"/>
        <v>2</v>
      </c>
      <c r="U81" s="18">
        <f t="shared" si="3"/>
        <v>7</v>
      </c>
      <c r="V81" s="18">
        <f t="shared" si="3"/>
        <v>2</v>
      </c>
      <c r="W81" s="18">
        <f t="shared" si="3"/>
        <v>0</v>
      </c>
      <c r="X81" s="18">
        <f t="shared" si="3"/>
        <v>5</v>
      </c>
      <c r="Y81" s="18">
        <f t="shared" si="3"/>
        <v>2</v>
      </c>
      <c r="Z81" s="18">
        <f t="shared" si="3"/>
        <v>4</v>
      </c>
      <c r="AA81" s="18">
        <f t="shared" si="3"/>
        <v>2</v>
      </c>
      <c r="AB81" s="18">
        <f t="shared" si="3"/>
        <v>5</v>
      </c>
      <c r="AC81" s="18">
        <f t="shared" si="3"/>
        <v>2</v>
      </c>
      <c r="AD81" s="18">
        <f t="shared" si="3"/>
        <v>3</v>
      </c>
      <c r="AE81" s="18">
        <f t="shared" si="3"/>
        <v>4</v>
      </c>
      <c r="AF81" s="18">
        <f t="shared" si="3"/>
        <v>3</v>
      </c>
      <c r="AG81" s="18">
        <f t="shared" si="3"/>
        <v>0</v>
      </c>
      <c r="AH81" s="18">
        <f t="shared" si="3"/>
        <v>6</v>
      </c>
      <c r="AI81" s="18">
        <f t="shared" si="3"/>
        <v>3</v>
      </c>
      <c r="AJ81" s="18">
        <f t="shared" si="3"/>
        <v>5</v>
      </c>
      <c r="AK81" s="18">
        <f t="shared" si="3"/>
        <v>2</v>
      </c>
      <c r="AL81" s="18">
        <f t="shared" si="3"/>
        <v>0</v>
      </c>
      <c r="AM81" s="18">
        <f t="shared" si="3"/>
        <v>2</v>
      </c>
      <c r="AN81" s="18">
        <f t="shared" si="3"/>
        <v>2</v>
      </c>
      <c r="AO81" s="18">
        <f t="shared" si="3"/>
        <v>1</v>
      </c>
      <c r="AP81" s="18">
        <f t="shared" si="3"/>
        <v>1</v>
      </c>
      <c r="AQ81" s="18">
        <f t="shared" si="3"/>
        <v>0</v>
      </c>
      <c r="AR81" s="18">
        <f t="shared" si="3"/>
        <v>3</v>
      </c>
      <c r="AS81" s="18">
        <f t="shared" si="3"/>
        <v>1</v>
      </c>
      <c r="AT81" s="18">
        <f t="shared" si="3"/>
        <v>0</v>
      </c>
      <c r="AU81" s="18">
        <f t="shared" si="3"/>
        <v>3</v>
      </c>
      <c r="AV81" s="18">
        <f t="shared" si="3"/>
        <v>1</v>
      </c>
      <c r="AW81" s="18">
        <f t="shared" si="3"/>
        <v>4</v>
      </c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</row>
    <row r="82" ht="16.5" customHeight="1">
      <c r="A82" s="83"/>
      <c r="B82" s="88" t="s">
        <v>420</v>
      </c>
      <c r="C82" s="84"/>
      <c r="D82" s="84"/>
      <c r="E82" s="18">
        <f t="shared" ref="E82:AW82" si="4">COUNTIF(E3:E78,"*golf*")</f>
        <v>0</v>
      </c>
      <c r="F82" s="18">
        <f t="shared" si="4"/>
        <v>0</v>
      </c>
      <c r="G82" s="18">
        <f t="shared" si="4"/>
        <v>5</v>
      </c>
      <c r="H82" s="18">
        <f t="shared" si="4"/>
        <v>4</v>
      </c>
      <c r="I82" s="18">
        <f t="shared" si="4"/>
        <v>8</v>
      </c>
      <c r="J82" s="18">
        <f t="shared" si="4"/>
        <v>6</v>
      </c>
      <c r="K82" s="18">
        <f t="shared" si="4"/>
        <v>6</v>
      </c>
      <c r="L82" s="18">
        <f t="shared" si="4"/>
        <v>4</v>
      </c>
      <c r="M82" s="18">
        <f t="shared" si="4"/>
        <v>8</v>
      </c>
      <c r="N82" s="18">
        <f t="shared" si="4"/>
        <v>7</v>
      </c>
      <c r="O82" s="18">
        <f t="shared" si="4"/>
        <v>3</v>
      </c>
      <c r="P82" s="18">
        <f t="shared" si="4"/>
        <v>4</v>
      </c>
      <c r="Q82" s="18">
        <f t="shared" si="4"/>
        <v>5</v>
      </c>
      <c r="R82" s="18">
        <f t="shared" si="4"/>
        <v>5</v>
      </c>
      <c r="S82" s="18">
        <f t="shared" si="4"/>
        <v>5</v>
      </c>
      <c r="T82" s="18">
        <f t="shared" si="4"/>
        <v>4</v>
      </c>
      <c r="U82" s="18">
        <f t="shared" si="4"/>
        <v>3</v>
      </c>
      <c r="V82" s="18">
        <f t="shared" si="4"/>
        <v>3</v>
      </c>
      <c r="W82" s="18">
        <f t="shared" si="4"/>
        <v>8</v>
      </c>
      <c r="X82" s="18">
        <f t="shared" si="4"/>
        <v>8</v>
      </c>
      <c r="Y82" s="18">
        <f t="shared" si="4"/>
        <v>4</v>
      </c>
      <c r="Z82" s="18">
        <f t="shared" si="4"/>
        <v>21</v>
      </c>
      <c r="AA82" s="18">
        <f t="shared" si="4"/>
        <v>3</v>
      </c>
      <c r="AB82" s="18">
        <f t="shared" si="4"/>
        <v>4</v>
      </c>
      <c r="AC82" s="18">
        <f t="shared" si="4"/>
        <v>3</v>
      </c>
      <c r="AD82" s="18">
        <f t="shared" si="4"/>
        <v>4</v>
      </c>
      <c r="AE82" s="18">
        <f t="shared" si="4"/>
        <v>9</v>
      </c>
      <c r="AF82" s="18">
        <f t="shared" si="4"/>
        <v>4</v>
      </c>
      <c r="AG82" s="18">
        <f t="shared" si="4"/>
        <v>7</v>
      </c>
      <c r="AH82" s="18">
        <f t="shared" si="4"/>
        <v>2</v>
      </c>
      <c r="AI82" s="18">
        <f t="shared" si="4"/>
        <v>3</v>
      </c>
      <c r="AJ82" s="18">
        <f t="shared" si="4"/>
        <v>4</v>
      </c>
      <c r="AK82" s="18">
        <f t="shared" si="4"/>
        <v>3</v>
      </c>
      <c r="AL82" s="18">
        <f t="shared" si="4"/>
        <v>9</v>
      </c>
      <c r="AM82" s="18">
        <f t="shared" si="4"/>
        <v>13</v>
      </c>
      <c r="AN82" s="18">
        <f t="shared" si="4"/>
        <v>13</v>
      </c>
      <c r="AO82" s="18">
        <f t="shared" si="4"/>
        <v>13</v>
      </c>
      <c r="AP82" s="18">
        <f t="shared" si="4"/>
        <v>10</v>
      </c>
      <c r="AQ82" s="18">
        <f t="shared" si="4"/>
        <v>10</v>
      </c>
      <c r="AR82" s="18">
        <f t="shared" si="4"/>
        <v>12</v>
      </c>
      <c r="AS82" s="18">
        <f t="shared" si="4"/>
        <v>9</v>
      </c>
      <c r="AT82" s="18">
        <f t="shared" si="4"/>
        <v>10</v>
      </c>
      <c r="AU82" s="18">
        <f t="shared" si="4"/>
        <v>9</v>
      </c>
      <c r="AV82" s="18">
        <f t="shared" si="4"/>
        <v>9</v>
      </c>
      <c r="AW82" s="18">
        <f t="shared" si="4"/>
        <v>0</v>
      </c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</row>
    <row r="83" ht="16.5" customHeight="1">
      <c r="A83" s="83"/>
      <c r="B83" s="56" t="s">
        <v>423</v>
      </c>
      <c r="C83" s="84"/>
      <c r="D83" s="84"/>
      <c r="E83" s="18">
        <f t="shared" ref="E83:AW83" si="5">COUNTIF(E3:E78,"*fijo g*")</f>
        <v>0</v>
      </c>
      <c r="F83" s="18">
        <f t="shared" si="5"/>
        <v>0</v>
      </c>
      <c r="G83" s="18">
        <f t="shared" si="5"/>
        <v>0</v>
      </c>
      <c r="H83" s="18">
        <f t="shared" si="5"/>
        <v>0</v>
      </c>
      <c r="I83" s="18">
        <f t="shared" si="5"/>
        <v>0</v>
      </c>
      <c r="J83" s="18">
        <f t="shared" si="5"/>
        <v>0</v>
      </c>
      <c r="K83" s="18">
        <f t="shared" si="5"/>
        <v>0</v>
      </c>
      <c r="L83" s="18">
        <f t="shared" si="5"/>
        <v>0</v>
      </c>
      <c r="M83" s="18">
        <f t="shared" si="5"/>
        <v>0</v>
      </c>
      <c r="N83" s="18">
        <f t="shared" si="5"/>
        <v>0</v>
      </c>
      <c r="O83" s="18">
        <f t="shared" si="5"/>
        <v>11</v>
      </c>
      <c r="P83" s="18">
        <f t="shared" si="5"/>
        <v>7</v>
      </c>
      <c r="Q83" s="18">
        <f t="shared" si="5"/>
        <v>11</v>
      </c>
      <c r="R83" s="18">
        <f t="shared" si="5"/>
        <v>7</v>
      </c>
      <c r="S83" s="18">
        <f t="shared" si="5"/>
        <v>11</v>
      </c>
      <c r="T83" s="18">
        <f t="shared" si="5"/>
        <v>7</v>
      </c>
      <c r="U83" s="18">
        <f t="shared" si="5"/>
        <v>11</v>
      </c>
      <c r="V83" s="18">
        <f t="shared" si="5"/>
        <v>7</v>
      </c>
      <c r="W83" s="18">
        <f t="shared" si="5"/>
        <v>0</v>
      </c>
      <c r="X83" s="18">
        <f t="shared" si="5"/>
        <v>7</v>
      </c>
      <c r="Y83" s="18">
        <f t="shared" si="5"/>
        <v>7</v>
      </c>
      <c r="Z83" s="18">
        <f t="shared" si="5"/>
        <v>12</v>
      </c>
      <c r="AA83" s="18">
        <f t="shared" si="5"/>
        <v>7</v>
      </c>
      <c r="AB83" s="18">
        <f t="shared" si="5"/>
        <v>12</v>
      </c>
      <c r="AC83" s="18">
        <f t="shared" si="5"/>
        <v>7</v>
      </c>
      <c r="AD83" s="18">
        <f t="shared" si="5"/>
        <v>8</v>
      </c>
      <c r="AE83" s="18">
        <f t="shared" si="5"/>
        <v>5</v>
      </c>
      <c r="AF83" s="18">
        <f t="shared" si="5"/>
        <v>7</v>
      </c>
      <c r="AG83" s="18">
        <f t="shared" si="5"/>
        <v>5</v>
      </c>
      <c r="AH83" s="18">
        <f t="shared" si="5"/>
        <v>12</v>
      </c>
      <c r="AI83" s="18">
        <f t="shared" si="5"/>
        <v>8</v>
      </c>
      <c r="AJ83" s="18">
        <f t="shared" si="5"/>
        <v>11</v>
      </c>
      <c r="AK83" s="18">
        <f t="shared" si="5"/>
        <v>7</v>
      </c>
      <c r="AL83" s="18">
        <f t="shared" si="5"/>
        <v>0</v>
      </c>
      <c r="AM83" s="18">
        <f t="shared" si="5"/>
        <v>3</v>
      </c>
      <c r="AN83" s="18">
        <f t="shared" si="5"/>
        <v>3</v>
      </c>
      <c r="AO83" s="18">
        <f t="shared" si="5"/>
        <v>2</v>
      </c>
      <c r="AP83" s="18">
        <f t="shared" si="5"/>
        <v>2</v>
      </c>
      <c r="AQ83" s="18">
        <f t="shared" si="5"/>
        <v>0</v>
      </c>
      <c r="AR83" s="18">
        <f t="shared" si="5"/>
        <v>2</v>
      </c>
      <c r="AS83" s="18">
        <f t="shared" si="5"/>
        <v>2</v>
      </c>
      <c r="AT83" s="18">
        <f t="shared" si="5"/>
        <v>0</v>
      </c>
      <c r="AU83" s="18">
        <f t="shared" si="5"/>
        <v>1</v>
      </c>
      <c r="AV83" s="18">
        <f t="shared" si="5"/>
        <v>2</v>
      </c>
      <c r="AW83" s="18">
        <f t="shared" si="5"/>
        <v>1</v>
      </c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</row>
    <row r="84" ht="16.5" customHeight="1">
      <c r="A84" s="83"/>
      <c r="B84" s="24" t="s">
        <v>428</v>
      </c>
      <c r="C84" s="84"/>
      <c r="D84" s="84"/>
      <c r="E84" s="18">
        <f t="shared" ref="E84:AW84" si="6">SUM(E79:E83)</f>
        <v>19</v>
      </c>
      <c r="F84" s="18">
        <f t="shared" si="6"/>
        <v>12</v>
      </c>
      <c r="G84" s="18">
        <f t="shared" si="6"/>
        <v>25</v>
      </c>
      <c r="H84" s="18">
        <f t="shared" si="6"/>
        <v>19</v>
      </c>
      <c r="I84" s="18">
        <f t="shared" si="6"/>
        <v>28</v>
      </c>
      <c r="J84" s="18">
        <f t="shared" si="6"/>
        <v>21</v>
      </c>
      <c r="K84" s="18">
        <f t="shared" si="6"/>
        <v>25</v>
      </c>
      <c r="L84" s="18">
        <f t="shared" si="6"/>
        <v>19</v>
      </c>
      <c r="M84" s="18">
        <f t="shared" si="6"/>
        <v>30</v>
      </c>
      <c r="N84" s="18">
        <f t="shared" si="6"/>
        <v>16</v>
      </c>
      <c r="O84" s="18">
        <f t="shared" si="6"/>
        <v>49</v>
      </c>
      <c r="P84" s="18">
        <f t="shared" si="6"/>
        <v>29</v>
      </c>
      <c r="Q84" s="18">
        <f t="shared" si="6"/>
        <v>37</v>
      </c>
      <c r="R84" s="18">
        <f t="shared" si="6"/>
        <v>29</v>
      </c>
      <c r="S84" s="18">
        <f t="shared" si="6"/>
        <v>36</v>
      </c>
      <c r="T84" s="18">
        <f t="shared" si="6"/>
        <v>29</v>
      </c>
      <c r="U84" s="18">
        <f t="shared" si="6"/>
        <v>34</v>
      </c>
      <c r="V84" s="18">
        <f t="shared" si="6"/>
        <v>27</v>
      </c>
      <c r="W84" s="18">
        <f t="shared" si="6"/>
        <v>24</v>
      </c>
      <c r="X84" s="18">
        <f t="shared" si="6"/>
        <v>35</v>
      </c>
      <c r="Y84" s="18">
        <f t="shared" si="6"/>
        <v>28</v>
      </c>
      <c r="Z84" s="18">
        <f t="shared" si="6"/>
        <v>53</v>
      </c>
      <c r="AA84" s="18">
        <f t="shared" si="6"/>
        <v>28</v>
      </c>
      <c r="AB84" s="18">
        <f t="shared" si="6"/>
        <v>34</v>
      </c>
      <c r="AC84" s="18">
        <f t="shared" si="6"/>
        <v>26</v>
      </c>
      <c r="AD84" s="18">
        <f t="shared" si="6"/>
        <v>27</v>
      </c>
      <c r="AE84" s="18">
        <f t="shared" si="6"/>
        <v>32</v>
      </c>
      <c r="AF84" s="18">
        <f t="shared" si="6"/>
        <v>27</v>
      </c>
      <c r="AG84" s="18">
        <f t="shared" si="6"/>
        <v>28</v>
      </c>
      <c r="AH84" s="18">
        <f t="shared" si="6"/>
        <v>36</v>
      </c>
      <c r="AI84" s="18">
        <f t="shared" si="6"/>
        <v>29</v>
      </c>
      <c r="AJ84" s="18">
        <f t="shared" si="6"/>
        <v>33</v>
      </c>
      <c r="AK84" s="18">
        <f t="shared" si="6"/>
        <v>24</v>
      </c>
      <c r="AL84" s="18">
        <f t="shared" si="6"/>
        <v>25</v>
      </c>
      <c r="AM84" s="18">
        <f t="shared" si="6"/>
        <v>42</v>
      </c>
      <c r="AN84" s="18">
        <f t="shared" si="6"/>
        <v>38</v>
      </c>
      <c r="AO84" s="18">
        <f t="shared" si="6"/>
        <v>33</v>
      </c>
      <c r="AP84" s="18">
        <f t="shared" si="6"/>
        <v>30</v>
      </c>
      <c r="AQ84" s="18">
        <f t="shared" si="6"/>
        <v>26</v>
      </c>
      <c r="AR84" s="18">
        <f t="shared" si="6"/>
        <v>35</v>
      </c>
      <c r="AS84" s="18">
        <f t="shared" si="6"/>
        <v>28</v>
      </c>
      <c r="AT84" s="18">
        <f t="shared" si="6"/>
        <v>27</v>
      </c>
      <c r="AU84" s="18">
        <f t="shared" si="6"/>
        <v>30</v>
      </c>
      <c r="AV84" s="18">
        <f t="shared" si="6"/>
        <v>30</v>
      </c>
      <c r="AW84" s="18">
        <f t="shared" si="6"/>
        <v>5</v>
      </c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</row>
    <row r="85" ht="16.5" customHeight="1">
      <c r="A85" s="83"/>
      <c r="C85" s="84"/>
      <c r="D85" s="84"/>
      <c r="E85" s="84"/>
      <c r="F85" s="84"/>
      <c r="G85" s="84"/>
      <c r="H85" s="84"/>
      <c r="I85" s="84"/>
      <c r="J85" s="84"/>
      <c r="K85" s="84"/>
      <c r="L85" s="22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</row>
    <row r="86" ht="16.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</row>
    <row r="87" ht="16.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</row>
    <row r="88" ht="16.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</row>
    <row r="89" ht="16.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</row>
    <row r="90" ht="16.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</row>
    <row r="91" ht="16.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</row>
    <row r="92" ht="16.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</row>
    <row r="93" ht="16.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</row>
    <row r="94" ht="16.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</row>
    <row r="95" ht="16.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</row>
    <row r="96" ht="16.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</row>
    <row r="97" ht="16.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</row>
    <row r="98" ht="16.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</row>
    <row r="99" ht="16.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</row>
    <row r="100" ht="16.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</row>
    <row r="101" ht="16.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</row>
    <row r="102" ht="16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</row>
    <row r="103" ht="16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</row>
    <row r="104" ht="16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</row>
    <row r="105" ht="16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</row>
    <row r="106" ht="16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</row>
    <row r="107" ht="16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</row>
    <row r="108" ht="16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</row>
    <row r="109" ht="16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</row>
    <row r="110" ht="16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</row>
    <row r="111" ht="16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</row>
    <row r="112" ht="16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</row>
    <row r="113" ht="16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</row>
    <row r="114" ht="16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</row>
    <row r="115" ht="16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</row>
    <row r="116" ht="16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</row>
    <row r="117" ht="16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</row>
    <row r="118" ht="16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</row>
    <row r="119" ht="16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</row>
    <row r="120" ht="16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</row>
    <row r="121" ht="16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</row>
    <row r="122" ht="16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</row>
    <row r="123" ht="16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</row>
    <row r="124" ht="16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</row>
    <row r="125" ht="16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</row>
    <row r="126" ht="16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</row>
    <row r="127" ht="16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</row>
    <row r="128" ht="16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</row>
    <row r="129" ht="16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</row>
    <row r="130" ht="16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</row>
    <row r="131" ht="16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</row>
    <row r="132" ht="16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</row>
    <row r="133" ht="16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</row>
    <row r="134" ht="16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</row>
    <row r="135" ht="16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</row>
    <row r="136" ht="16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</row>
    <row r="137" ht="16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</row>
    <row r="138" ht="16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</row>
    <row r="139" ht="16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</row>
    <row r="140" ht="16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</row>
    <row r="141" ht="16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</row>
    <row r="142" ht="16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</row>
    <row r="143" ht="16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</row>
    <row r="144" ht="16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</row>
    <row r="145" ht="16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</row>
    <row r="146" ht="16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</row>
    <row r="147" ht="16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</row>
    <row r="148" ht="16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</row>
    <row r="149" ht="16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</row>
    <row r="150" ht="16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</row>
    <row r="151" ht="16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</row>
    <row r="152" ht="16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</row>
    <row r="153" ht="16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</row>
    <row r="154" ht="16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</row>
    <row r="155" ht="16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</row>
    <row r="156" ht="16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</row>
    <row r="157" ht="16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</row>
    <row r="158" ht="16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</row>
    <row r="159" ht="16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</row>
    <row r="160" ht="16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</row>
    <row r="161" ht="16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</row>
    <row r="162" ht="16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</row>
    <row r="163" ht="16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</row>
    <row r="164" ht="16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</row>
    <row r="165" ht="16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</row>
    <row r="166" ht="16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</row>
    <row r="167" ht="16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</row>
    <row r="168" ht="16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</row>
    <row r="169" ht="16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</row>
    <row r="170" ht="16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</row>
    <row r="171" ht="16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</row>
    <row r="172" ht="16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</row>
    <row r="173" ht="16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</row>
    <row r="174" ht="16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</row>
    <row r="175" ht="16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</row>
    <row r="176" ht="16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</row>
    <row r="177" ht="16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</row>
    <row r="178" ht="16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</row>
    <row r="179" ht="16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</row>
    <row r="180" ht="16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</row>
    <row r="181" ht="16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</row>
    <row r="182" ht="16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</row>
    <row r="183" ht="16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</row>
    <row r="184" ht="16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</row>
    <row r="185" ht="16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</row>
    <row r="186" ht="16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</row>
    <row r="187" ht="16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</row>
    <row r="188" ht="16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</row>
    <row r="189" ht="16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</row>
    <row r="190" ht="16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</row>
    <row r="191" ht="16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</row>
    <row r="192" ht="16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</row>
    <row r="193" ht="16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</row>
    <row r="194" ht="16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</row>
    <row r="195" ht="16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</row>
    <row r="196" ht="16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</row>
    <row r="197" ht="16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</row>
    <row r="198" ht="16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</row>
    <row r="199" ht="16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</row>
    <row r="200" ht="16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</row>
    <row r="201" ht="16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</row>
    <row r="202" ht="16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</row>
    <row r="203" ht="16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</row>
    <row r="204" ht="16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</row>
    <row r="205" ht="16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</row>
    <row r="206" ht="16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</row>
    <row r="207" ht="16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</row>
    <row r="208" ht="16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</row>
    <row r="209" ht="16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</row>
    <row r="210" ht="16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</row>
    <row r="211" ht="16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</row>
    <row r="212" ht="16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</row>
    <row r="213" ht="16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</row>
    <row r="214" ht="16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</row>
    <row r="215" ht="16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</row>
    <row r="216" ht="16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</row>
    <row r="217" ht="16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</row>
    <row r="218" ht="16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</row>
    <row r="219" ht="16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</row>
    <row r="220" ht="16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</row>
    <row r="221" ht="16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</row>
    <row r="222" ht="16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</row>
    <row r="223" ht="16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</row>
    <row r="224" ht="16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</row>
    <row r="225" ht="16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</row>
    <row r="226" ht="16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</row>
    <row r="227" ht="16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</row>
    <row r="228" ht="16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</row>
    <row r="229" ht="16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</row>
    <row r="230" ht="16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</row>
    <row r="231" ht="16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</row>
    <row r="232" ht="16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</row>
    <row r="233" ht="16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</row>
    <row r="234" ht="16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</row>
    <row r="235" ht="16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</row>
    <row r="236" ht="16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</row>
    <row r="237" ht="16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</row>
    <row r="238" ht="16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</row>
    <row r="239" ht="16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</row>
    <row r="240" ht="16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</row>
    <row r="241" ht="16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</row>
    <row r="242" ht="16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</row>
    <row r="243" ht="16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</row>
    <row r="244" ht="16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</row>
    <row r="245" ht="16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</row>
    <row r="246" ht="16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</row>
    <row r="247" ht="16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</row>
    <row r="248" ht="16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</row>
    <row r="249" ht="16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</row>
    <row r="250" ht="16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</row>
    <row r="251" ht="16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</row>
    <row r="252" ht="16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</row>
    <row r="253" ht="16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</row>
    <row r="254" ht="16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</row>
    <row r="255" ht="16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</row>
    <row r="256" ht="16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</row>
    <row r="257" ht="16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</row>
    <row r="258" ht="16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</row>
    <row r="259" ht="16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</row>
    <row r="260" ht="16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</row>
    <row r="261" ht="16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</row>
    <row r="262" ht="16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</row>
    <row r="263" ht="16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</row>
    <row r="264" ht="16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</row>
    <row r="265" ht="16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</row>
    <row r="266" ht="16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</row>
    <row r="267" ht="16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</row>
    <row r="268" ht="16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</row>
    <row r="269" ht="16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</row>
    <row r="270" ht="16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</row>
    <row r="271" ht="16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</row>
    <row r="272" ht="16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</row>
    <row r="273" ht="16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</row>
    <row r="274" ht="16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</row>
    <row r="275" ht="16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</row>
    <row r="276" ht="16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</row>
    <row r="277" ht="16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</row>
    <row r="278" ht="16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</row>
    <row r="279" ht="16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</row>
    <row r="280" ht="16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</row>
    <row r="281" ht="16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</row>
    <row r="282" ht="16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</row>
    <row r="283" ht="16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</row>
    <row r="284" ht="16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</row>
    <row r="285" ht="16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</row>
    <row r="286" ht="16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</row>
    <row r="287" ht="16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</row>
    <row r="288" ht="16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</row>
    <row r="289" ht="16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</row>
    <row r="290" ht="16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</row>
    <row r="291" ht="16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</row>
    <row r="292" ht="16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</row>
    <row r="293" ht="16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</row>
    <row r="294" ht="16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</row>
    <row r="295" ht="16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</row>
    <row r="296" ht="16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</row>
    <row r="297" ht="16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</row>
    <row r="298" ht="16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</row>
    <row r="299" ht="16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</row>
    <row r="300" ht="16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</row>
    <row r="301" ht="16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</row>
    <row r="302" ht="16.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</row>
    <row r="303" ht="16.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</row>
    <row r="304" ht="16.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</row>
    <row r="305" ht="16.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</row>
    <row r="306" ht="16.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</row>
    <row r="307" ht="16.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</row>
    <row r="308" ht="16.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</row>
    <row r="309" ht="16.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</row>
    <row r="310" ht="16.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</row>
    <row r="311" ht="16.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</row>
    <row r="312" ht="16.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</row>
    <row r="313" ht="16.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</row>
    <row r="314" ht="16.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</row>
    <row r="315" ht="16.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</row>
    <row r="316" ht="16.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</row>
    <row r="317" ht="16.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</row>
    <row r="318" ht="16.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</row>
    <row r="319" ht="16.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</row>
    <row r="320" ht="16.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</row>
    <row r="321" ht="16.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</row>
    <row r="322" ht="16.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</row>
    <row r="323" ht="16.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</row>
    <row r="324" ht="16.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</row>
    <row r="325" ht="16.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</row>
    <row r="326" ht="16.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</row>
    <row r="327" ht="16.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</row>
    <row r="328" ht="16.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</row>
    <row r="329" ht="16.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</row>
    <row r="330" ht="16.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</row>
    <row r="331" ht="16.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</row>
    <row r="332" ht="16.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</row>
    <row r="333" ht="16.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</row>
    <row r="334" ht="16.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</row>
    <row r="335" ht="16.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</row>
    <row r="336" ht="16.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</row>
    <row r="337" ht="16.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</row>
    <row r="338" ht="16.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</row>
    <row r="339" ht="16.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</row>
    <row r="340" ht="16.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</row>
    <row r="341" ht="16.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</row>
    <row r="342" ht="16.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</row>
    <row r="343" ht="16.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</row>
    <row r="344" ht="16.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</row>
    <row r="345" ht="16.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</row>
    <row r="346" ht="16.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</row>
    <row r="347" ht="16.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</row>
    <row r="348" ht="16.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</row>
    <row r="349" ht="16.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</row>
    <row r="350" ht="16.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</row>
    <row r="351" ht="16.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</row>
    <row r="352" ht="16.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</row>
    <row r="353" ht="16.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</row>
    <row r="354" ht="16.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</row>
    <row r="355" ht="16.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</row>
    <row r="356" ht="16.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</row>
    <row r="357" ht="16.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</row>
    <row r="358" ht="16.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</row>
    <row r="359" ht="16.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</row>
    <row r="360" ht="16.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</row>
    <row r="361" ht="16.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</row>
    <row r="362" ht="16.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</row>
    <row r="363" ht="16.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</row>
    <row r="364" ht="16.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</row>
    <row r="365" ht="16.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</row>
    <row r="366" ht="16.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</row>
    <row r="367" ht="16.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</row>
    <row r="368" ht="16.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</row>
    <row r="369" ht="16.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</row>
    <row r="370" ht="16.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</row>
    <row r="371" ht="16.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</row>
    <row r="372" ht="16.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</row>
    <row r="373" ht="16.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</row>
    <row r="374" ht="16.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</row>
    <row r="375" ht="16.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</row>
    <row r="376" ht="16.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</row>
    <row r="377" ht="16.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</row>
    <row r="378" ht="16.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</row>
    <row r="379" ht="16.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</row>
    <row r="380" ht="16.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</row>
    <row r="381" ht="16.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</row>
    <row r="382" ht="16.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</row>
    <row r="383" ht="16.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</row>
    <row r="384" ht="16.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</row>
    <row r="385" ht="16.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</row>
    <row r="386" ht="16.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</row>
    <row r="387" ht="16.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</row>
    <row r="388" ht="16.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</row>
    <row r="389" ht="16.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</row>
    <row r="390" ht="16.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</row>
    <row r="391" ht="16.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</row>
    <row r="392" ht="16.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</row>
    <row r="393" ht="16.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</row>
    <row r="394" ht="16.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</row>
    <row r="395" ht="16.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</row>
    <row r="396" ht="16.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</row>
    <row r="397" ht="16.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</row>
    <row r="398" ht="16.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</row>
    <row r="399" ht="16.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</row>
    <row r="400" ht="16.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</row>
    <row r="401" ht="16.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</row>
    <row r="402" ht="16.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</row>
    <row r="403" ht="16.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</row>
    <row r="404" ht="16.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</row>
    <row r="405" ht="16.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</row>
    <row r="406" ht="16.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</row>
    <row r="407" ht="16.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</row>
    <row r="408" ht="16.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</row>
    <row r="409" ht="16.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</row>
    <row r="410" ht="16.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</row>
    <row r="411" ht="16.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</row>
    <row r="412" ht="16.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</row>
    <row r="413" ht="16.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</row>
    <row r="414" ht="16.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</row>
    <row r="415" ht="16.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</row>
    <row r="416" ht="16.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</row>
    <row r="417" ht="16.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</row>
    <row r="418" ht="16.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</row>
    <row r="419" ht="16.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</row>
    <row r="420" ht="16.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</row>
    <row r="421" ht="16.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</row>
    <row r="422" ht="16.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</row>
    <row r="423" ht="16.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</row>
    <row r="424" ht="16.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</row>
    <row r="425" ht="16.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</row>
    <row r="426" ht="16.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</row>
    <row r="427" ht="16.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</row>
    <row r="428" ht="16.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</row>
    <row r="429" ht="16.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</row>
    <row r="430" ht="16.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</row>
    <row r="431" ht="16.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</row>
    <row r="432" ht="16.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</row>
    <row r="433" ht="16.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</row>
    <row r="434" ht="16.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</row>
    <row r="435" ht="16.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</row>
    <row r="436" ht="16.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</row>
    <row r="437" ht="16.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</row>
    <row r="438" ht="16.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</row>
    <row r="439" ht="16.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</row>
    <row r="440" ht="16.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</row>
    <row r="441" ht="16.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</row>
    <row r="442" ht="16.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</row>
    <row r="443" ht="16.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</row>
    <row r="444" ht="16.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</row>
    <row r="445" ht="16.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</row>
    <row r="446" ht="16.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</row>
    <row r="447" ht="16.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</row>
    <row r="448" ht="16.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</row>
    <row r="449" ht="16.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</row>
    <row r="450" ht="16.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</row>
    <row r="451" ht="16.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</row>
    <row r="452" ht="16.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</row>
    <row r="453" ht="16.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</row>
    <row r="454" ht="16.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</row>
    <row r="455" ht="16.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</row>
    <row r="456" ht="16.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</row>
    <row r="457" ht="16.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</row>
    <row r="458" ht="16.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</row>
    <row r="459" ht="16.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</row>
    <row r="460" ht="16.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</row>
    <row r="461" ht="16.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</row>
    <row r="462" ht="16.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</row>
    <row r="463" ht="16.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</row>
    <row r="464" ht="16.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</row>
    <row r="465" ht="16.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</row>
    <row r="466" ht="16.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</row>
    <row r="467" ht="16.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</row>
    <row r="468" ht="16.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</row>
    <row r="469" ht="16.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</row>
    <row r="470" ht="16.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</row>
    <row r="471" ht="16.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</row>
    <row r="472" ht="16.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</row>
    <row r="473" ht="16.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</row>
    <row r="474" ht="16.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</row>
    <row r="475" ht="16.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</row>
    <row r="476" ht="16.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</row>
    <row r="477" ht="16.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</row>
    <row r="478" ht="16.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</row>
    <row r="479" ht="16.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</row>
    <row r="480" ht="16.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</row>
    <row r="481" ht="16.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</row>
    <row r="482" ht="16.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</row>
    <row r="483" ht="16.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</row>
    <row r="484" ht="16.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</row>
    <row r="485" ht="16.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</row>
    <row r="486" ht="16.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</row>
    <row r="487" ht="16.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</row>
    <row r="488" ht="16.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</row>
    <row r="489" ht="16.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</row>
    <row r="490" ht="16.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</row>
    <row r="491" ht="16.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</row>
    <row r="492" ht="16.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</row>
    <row r="493" ht="16.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</row>
    <row r="494" ht="16.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</row>
    <row r="495" ht="16.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</row>
    <row r="496" ht="16.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</row>
    <row r="497" ht="16.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</row>
    <row r="498" ht="16.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</row>
    <row r="499" ht="16.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</row>
    <row r="500" ht="16.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</row>
    <row r="501" ht="16.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</row>
    <row r="502" ht="16.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</row>
    <row r="503" ht="16.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</row>
    <row r="504" ht="16.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</row>
    <row r="505" ht="16.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</row>
    <row r="506" ht="16.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</row>
    <row r="507" ht="16.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</row>
    <row r="508" ht="16.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</row>
    <row r="509" ht="16.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</row>
    <row r="510" ht="16.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</row>
    <row r="511" ht="16.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</row>
    <row r="512" ht="16.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</row>
    <row r="513" ht="16.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</row>
    <row r="514" ht="16.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</row>
    <row r="515" ht="16.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</row>
    <row r="516" ht="16.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</row>
    <row r="517" ht="16.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</row>
    <row r="518" ht="16.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</row>
    <row r="519" ht="16.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</row>
    <row r="520" ht="16.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</row>
    <row r="521" ht="16.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</row>
    <row r="522" ht="16.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</row>
    <row r="523" ht="16.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</row>
    <row r="524" ht="16.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</row>
    <row r="525" ht="16.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</row>
    <row r="526" ht="16.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</row>
    <row r="527" ht="16.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</row>
    <row r="528" ht="16.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</row>
    <row r="529" ht="16.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</row>
    <row r="530" ht="16.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</row>
    <row r="531" ht="16.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</row>
    <row r="532" ht="16.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</row>
    <row r="533" ht="16.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</row>
    <row r="534" ht="16.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</row>
    <row r="535" ht="16.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</row>
    <row r="536" ht="16.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</row>
    <row r="537" ht="16.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</row>
    <row r="538" ht="16.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</row>
    <row r="539" ht="16.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</row>
    <row r="540" ht="16.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</row>
    <row r="541" ht="16.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</row>
    <row r="542" ht="16.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</row>
    <row r="543" ht="16.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</row>
    <row r="544" ht="16.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</row>
    <row r="545" ht="16.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</row>
    <row r="546" ht="16.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</row>
    <row r="547" ht="16.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</row>
    <row r="548" ht="16.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</row>
    <row r="549" ht="16.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</row>
    <row r="550" ht="16.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</row>
    <row r="551" ht="16.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</row>
    <row r="552" ht="16.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</row>
    <row r="553" ht="16.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</row>
    <row r="554" ht="16.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</row>
    <row r="555" ht="16.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</row>
    <row r="556" ht="16.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</row>
    <row r="557" ht="16.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</row>
    <row r="558" ht="16.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</row>
    <row r="559" ht="16.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</row>
    <row r="560" ht="16.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</row>
    <row r="561" ht="16.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</row>
    <row r="562" ht="16.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</row>
    <row r="563" ht="16.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</row>
    <row r="564" ht="16.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</row>
    <row r="565" ht="16.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</row>
    <row r="566" ht="16.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</row>
    <row r="567" ht="16.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</row>
    <row r="568" ht="16.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</row>
    <row r="569" ht="16.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</row>
    <row r="570" ht="16.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</row>
    <row r="571" ht="16.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</row>
    <row r="572" ht="16.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</row>
    <row r="573" ht="16.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</row>
    <row r="574" ht="16.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</row>
    <row r="575" ht="16.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</row>
    <row r="576" ht="16.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</row>
    <row r="577" ht="16.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</row>
    <row r="578" ht="16.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</row>
    <row r="579" ht="16.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</row>
    <row r="580" ht="16.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</row>
    <row r="581" ht="16.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</row>
    <row r="582" ht="16.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</row>
    <row r="583" ht="16.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</row>
    <row r="584" ht="16.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</row>
    <row r="585" ht="16.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</row>
    <row r="586" ht="16.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</row>
    <row r="587" ht="16.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</row>
    <row r="588" ht="16.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</row>
    <row r="589" ht="16.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</row>
    <row r="590" ht="16.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</row>
    <row r="591" ht="16.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</row>
    <row r="592" ht="16.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</row>
    <row r="593" ht="16.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</row>
    <row r="594" ht="16.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</row>
    <row r="595" ht="16.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</row>
    <row r="596" ht="16.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</row>
    <row r="597" ht="16.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</row>
    <row r="598" ht="16.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</row>
    <row r="599" ht="16.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</row>
    <row r="600" ht="16.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</row>
    <row r="601" ht="16.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</row>
    <row r="602" ht="16.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</row>
    <row r="603" ht="16.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</row>
    <row r="604" ht="16.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</row>
    <row r="605" ht="16.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</row>
    <row r="606" ht="16.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</row>
    <row r="607" ht="16.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</row>
    <row r="608" ht="16.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</row>
    <row r="609" ht="16.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</row>
    <row r="610" ht="16.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</row>
    <row r="611" ht="16.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</row>
    <row r="612" ht="16.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</row>
    <row r="613" ht="16.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</row>
    <row r="614" ht="16.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</row>
    <row r="615" ht="16.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</row>
    <row r="616" ht="16.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</row>
    <row r="617" ht="16.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  <c r="BK617" s="90"/>
      <c r="BL617" s="90"/>
      <c r="BM617" s="90"/>
      <c r="BN617" s="90"/>
    </row>
    <row r="618" ht="16.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</row>
    <row r="619" ht="16.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  <c r="BK619" s="90"/>
      <c r="BL619" s="90"/>
      <c r="BM619" s="90"/>
      <c r="BN619" s="90"/>
    </row>
    <row r="620" ht="16.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</row>
    <row r="621" ht="16.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  <c r="BK621" s="90"/>
      <c r="BL621" s="90"/>
      <c r="BM621" s="90"/>
      <c r="BN621" s="90"/>
    </row>
    <row r="622" ht="16.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</row>
    <row r="623" ht="16.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  <c r="BK623" s="90"/>
      <c r="BL623" s="90"/>
      <c r="BM623" s="90"/>
      <c r="BN623" s="90"/>
    </row>
    <row r="624" ht="16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</row>
    <row r="625" ht="16.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</row>
    <row r="626" ht="16.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</row>
    <row r="627" ht="16.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  <c r="BK627" s="90"/>
      <c r="BL627" s="90"/>
      <c r="BM627" s="90"/>
      <c r="BN627" s="90"/>
    </row>
    <row r="628" ht="16.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</row>
    <row r="629" ht="16.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H629" s="90"/>
      <c r="BI629" s="90"/>
      <c r="BJ629" s="90"/>
      <c r="BK629" s="90"/>
      <c r="BL629" s="90"/>
      <c r="BM629" s="90"/>
      <c r="BN629" s="90"/>
    </row>
    <row r="630" ht="16.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</row>
    <row r="631" ht="16.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H631" s="90"/>
      <c r="BI631" s="90"/>
      <c r="BJ631" s="90"/>
      <c r="BK631" s="90"/>
      <c r="BL631" s="90"/>
      <c r="BM631" s="90"/>
      <c r="BN631" s="90"/>
    </row>
    <row r="632" ht="16.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</row>
    <row r="633" ht="16.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  <c r="BK633" s="90"/>
      <c r="BL633" s="90"/>
      <c r="BM633" s="90"/>
      <c r="BN633" s="90"/>
    </row>
    <row r="634" ht="16.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</row>
    <row r="635" ht="16.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H635" s="90"/>
      <c r="BI635" s="90"/>
      <c r="BJ635" s="90"/>
      <c r="BK635" s="90"/>
      <c r="BL635" s="90"/>
      <c r="BM635" s="90"/>
      <c r="BN635" s="90"/>
    </row>
    <row r="636" ht="16.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</row>
    <row r="637" ht="16.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H637" s="90"/>
      <c r="BI637" s="90"/>
      <c r="BJ637" s="90"/>
      <c r="BK637" s="90"/>
      <c r="BL637" s="90"/>
      <c r="BM637" s="90"/>
      <c r="BN637" s="90"/>
    </row>
    <row r="638" ht="16.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</row>
    <row r="639" ht="16.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H639" s="90"/>
      <c r="BI639" s="90"/>
      <c r="BJ639" s="90"/>
      <c r="BK639" s="90"/>
      <c r="BL639" s="90"/>
      <c r="BM639" s="90"/>
      <c r="BN639" s="90"/>
    </row>
    <row r="640" ht="16.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</row>
    <row r="641" ht="16.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H641" s="90"/>
      <c r="BI641" s="90"/>
      <c r="BJ641" s="90"/>
      <c r="BK641" s="90"/>
      <c r="BL641" s="90"/>
      <c r="BM641" s="90"/>
      <c r="BN641" s="90"/>
    </row>
    <row r="642" ht="16.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</row>
    <row r="643" ht="16.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H643" s="90"/>
      <c r="BI643" s="90"/>
      <c r="BJ643" s="90"/>
      <c r="BK643" s="90"/>
      <c r="BL643" s="90"/>
      <c r="BM643" s="90"/>
      <c r="BN643" s="90"/>
    </row>
    <row r="644" ht="16.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</row>
    <row r="645" ht="16.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H645" s="90"/>
      <c r="BI645" s="90"/>
      <c r="BJ645" s="90"/>
      <c r="BK645" s="90"/>
      <c r="BL645" s="90"/>
      <c r="BM645" s="90"/>
      <c r="BN645" s="90"/>
    </row>
    <row r="646" ht="16.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</row>
    <row r="647" ht="16.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H647" s="90"/>
      <c r="BI647" s="90"/>
      <c r="BJ647" s="90"/>
      <c r="BK647" s="90"/>
      <c r="BL647" s="90"/>
      <c r="BM647" s="90"/>
      <c r="BN647" s="90"/>
    </row>
    <row r="648" ht="16.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</row>
    <row r="649" ht="16.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H649" s="90"/>
      <c r="BI649" s="90"/>
      <c r="BJ649" s="90"/>
      <c r="BK649" s="90"/>
      <c r="BL649" s="90"/>
      <c r="BM649" s="90"/>
      <c r="BN649" s="90"/>
    </row>
    <row r="650" ht="16.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</row>
    <row r="651" ht="16.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H651" s="90"/>
      <c r="BI651" s="90"/>
      <c r="BJ651" s="90"/>
      <c r="BK651" s="90"/>
      <c r="BL651" s="90"/>
      <c r="BM651" s="90"/>
      <c r="BN651" s="90"/>
    </row>
    <row r="652" ht="16.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</row>
    <row r="653" ht="16.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H653" s="90"/>
      <c r="BI653" s="90"/>
      <c r="BJ653" s="90"/>
      <c r="BK653" s="90"/>
      <c r="BL653" s="90"/>
      <c r="BM653" s="90"/>
      <c r="BN653" s="90"/>
    </row>
    <row r="654" ht="16.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</row>
    <row r="655" ht="16.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H655" s="90"/>
      <c r="BI655" s="90"/>
      <c r="BJ655" s="90"/>
      <c r="BK655" s="90"/>
      <c r="BL655" s="90"/>
      <c r="BM655" s="90"/>
      <c r="BN655" s="90"/>
    </row>
    <row r="656" ht="16.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</row>
    <row r="657" ht="16.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H657" s="90"/>
      <c r="BI657" s="90"/>
      <c r="BJ657" s="90"/>
      <c r="BK657" s="90"/>
      <c r="BL657" s="90"/>
      <c r="BM657" s="90"/>
      <c r="BN657" s="90"/>
    </row>
    <row r="658" ht="16.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</row>
    <row r="659" ht="16.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H659" s="90"/>
      <c r="BI659" s="90"/>
      <c r="BJ659" s="90"/>
      <c r="BK659" s="90"/>
      <c r="BL659" s="90"/>
      <c r="BM659" s="90"/>
      <c r="BN659" s="90"/>
    </row>
    <row r="660" ht="16.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</row>
    <row r="661" ht="16.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H661" s="90"/>
      <c r="BI661" s="90"/>
      <c r="BJ661" s="90"/>
      <c r="BK661" s="90"/>
      <c r="BL661" s="90"/>
      <c r="BM661" s="90"/>
      <c r="BN661" s="90"/>
    </row>
    <row r="662" ht="16.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</row>
    <row r="663" ht="16.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H663" s="90"/>
      <c r="BI663" s="90"/>
      <c r="BJ663" s="90"/>
      <c r="BK663" s="90"/>
      <c r="BL663" s="90"/>
      <c r="BM663" s="90"/>
      <c r="BN663" s="90"/>
    </row>
    <row r="664" ht="16.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</row>
    <row r="665" ht="16.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  <c r="BI665" s="90"/>
      <c r="BJ665" s="90"/>
      <c r="BK665" s="90"/>
      <c r="BL665" s="90"/>
      <c r="BM665" s="90"/>
      <c r="BN665" s="90"/>
    </row>
    <row r="666" ht="16.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</row>
    <row r="667" ht="16.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  <c r="BI667" s="90"/>
      <c r="BJ667" s="90"/>
      <c r="BK667" s="90"/>
      <c r="BL667" s="90"/>
      <c r="BM667" s="90"/>
      <c r="BN667" s="90"/>
    </row>
    <row r="668" ht="16.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</row>
    <row r="669" ht="16.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  <c r="BI669" s="90"/>
      <c r="BJ669" s="90"/>
      <c r="BK669" s="90"/>
      <c r="BL669" s="90"/>
      <c r="BM669" s="90"/>
      <c r="BN669" s="90"/>
    </row>
    <row r="670" ht="16.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</row>
    <row r="671" ht="16.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  <c r="BI671" s="90"/>
      <c r="BJ671" s="90"/>
      <c r="BK671" s="90"/>
      <c r="BL671" s="90"/>
      <c r="BM671" s="90"/>
      <c r="BN671" s="90"/>
    </row>
    <row r="672" ht="16.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</row>
    <row r="673" ht="16.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  <c r="BI673" s="90"/>
      <c r="BJ673" s="90"/>
      <c r="BK673" s="90"/>
      <c r="BL673" s="90"/>
      <c r="BM673" s="90"/>
      <c r="BN673" s="90"/>
    </row>
    <row r="674" ht="16.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</row>
    <row r="675" ht="16.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  <c r="BK675" s="90"/>
      <c r="BL675" s="90"/>
      <c r="BM675" s="90"/>
      <c r="BN675" s="90"/>
    </row>
    <row r="676" ht="16.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</row>
    <row r="677" ht="16.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  <c r="BK677" s="90"/>
      <c r="BL677" s="90"/>
      <c r="BM677" s="90"/>
      <c r="BN677" s="90"/>
    </row>
    <row r="678" ht="16.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</row>
    <row r="679" ht="16.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  <c r="BK679" s="90"/>
      <c r="BL679" s="90"/>
      <c r="BM679" s="90"/>
      <c r="BN679" s="90"/>
    </row>
    <row r="680" ht="16.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</row>
    <row r="681" ht="16.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  <c r="BI681" s="90"/>
      <c r="BJ681" s="90"/>
      <c r="BK681" s="90"/>
      <c r="BL681" s="90"/>
      <c r="BM681" s="90"/>
      <c r="BN681" s="90"/>
    </row>
    <row r="682" ht="16.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</row>
    <row r="683" ht="16.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  <c r="BI683" s="90"/>
      <c r="BJ683" s="90"/>
      <c r="BK683" s="90"/>
      <c r="BL683" s="90"/>
      <c r="BM683" s="90"/>
      <c r="BN683" s="90"/>
    </row>
    <row r="684" ht="16.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</row>
    <row r="685" ht="16.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  <c r="BI685" s="90"/>
      <c r="BJ685" s="90"/>
      <c r="BK685" s="90"/>
      <c r="BL685" s="90"/>
      <c r="BM685" s="90"/>
      <c r="BN685" s="90"/>
    </row>
    <row r="686" ht="16.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</row>
    <row r="687" ht="16.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  <c r="BI687" s="90"/>
      <c r="BJ687" s="90"/>
      <c r="BK687" s="90"/>
      <c r="BL687" s="90"/>
      <c r="BM687" s="90"/>
      <c r="BN687" s="90"/>
    </row>
    <row r="688" ht="16.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</row>
    <row r="689" ht="16.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  <c r="BI689" s="90"/>
      <c r="BJ689" s="90"/>
      <c r="BK689" s="90"/>
      <c r="BL689" s="90"/>
      <c r="BM689" s="90"/>
      <c r="BN689" s="90"/>
    </row>
    <row r="690" ht="16.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</row>
    <row r="691" ht="16.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  <c r="BI691" s="90"/>
      <c r="BJ691" s="90"/>
      <c r="BK691" s="90"/>
      <c r="BL691" s="90"/>
      <c r="BM691" s="90"/>
      <c r="BN691" s="90"/>
    </row>
    <row r="692" ht="16.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</row>
    <row r="693" ht="16.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H693" s="90"/>
      <c r="BI693" s="90"/>
      <c r="BJ693" s="90"/>
      <c r="BK693" s="90"/>
      <c r="BL693" s="90"/>
      <c r="BM693" s="90"/>
      <c r="BN693" s="90"/>
    </row>
    <row r="694" ht="16.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</row>
    <row r="695" ht="16.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H695" s="90"/>
      <c r="BI695" s="90"/>
      <c r="BJ695" s="90"/>
      <c r="BK695" s="90"/>
      <c r="BL695" s="90"/>
      <c r="BM695" s="90"/>
      <c r="BN695" s="90"/>
    </row>
    <row r="696" ht="16.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</row>
    <row r="697" ht="16.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H697" s="90"/>
      <c r="BI697" s="90"/>
      <c r="BJ697" s="90"/>
      <c r="BK697" s="90"/>
      <c r="BL697" s="90"/>
      <c r="BM697" s="90"/>
      <c r="BN697" s="90"/>
    </row>
    <row r="698" ht="16.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</row>
    <row r="699" ht="16.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H699" s="90"/>
      <c r="BI699" s="90"/>
      <c r="BJ699" s="90"/>
      <c r="BK699" s="90"/>
      <c r="BL699" s="90"/>
      <c r="BM699" s="90"/>
      <c r="BN699" s="90"/>
    </row>
    <row r="700" ht="16.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</row>
    <row r="701" ht="16.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  <c r="BK701" s="90"/>
      <c r="BL701" s="90"/>
      <c r="BM701" s="90"/>
      <c r="BN701" s="90"/>
    </row>
    <row r="702" ht="16.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</row>
    <row r="703" ht="16.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H703" s="90"/>
      <c r="BI703" s="90"/>
      <c r="BJ703" s="90"/>
      <c r="BK703" s="90"/>
      <c r="BL703" s="90"/>
      <c r="BM703" s="90"/>
      <c r="BN703" s="90"/>
    </row>
    <row r="704" ht="16.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</row>
    <row r="705" ht="16.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H705" s="90"/>
      <c r="BI705" s="90"/>
      <c r="BJ705" s="90"/>
      <c r="BK705" s="90"/>
      <c r="BL705" s="90"/>
      <c r="BM705" s="90"/>
      <c r="BN705" s="90"/>
    </row>
    <row r="706" ht="16.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</row>
    <row r="707" ht="16.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H707" s="90"/>
      <c r="BI707" s="90"/>
      <c r="BJ707" s="90"/>
      <c r="BK707" s="90"/>
      <c r="BL707" s="90"/>
      <c r="BM707" s="90"/>
      <c r="BN707" s="90"/>
    </row>
    <row r="708" ht="16.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</row>
    <row r="709" ht="16.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H709" s="90"/>
      <c r="BI709" s="90"/>
      <c r="BJ709" s="90"/>
      <c r="BK709" s="90"/>
      <c r="BL709" s="90"/>
      <c r="BM709" s="90"/>
      <c r="BN709" s="90"/>
    </row>
    <row r="710" ht="16.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</row>
    <row r="711" ht="16.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H711" s="90"/>
      <c r="BI711" s="90"/>
      <c r="BJ711" s="90"/>
      <c r="BK711" s="90"/>
      <c r="BL711" s="90"/>
      <c r="BM711" s="90"/>
      <c r="BN711" s="90"/>
    </row>
    <row r="712" ht="16.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</row>
    <row r="713" ht="16.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H713" s="90"/>
      <c r="BI713" s="90"/>
      <c r="BJ713" s="90"/>
      <c r="BK713" s="90"/>
      <c r="BL713" s="90"/>
      <c r="BM713" s="90"/>
      <c r="BN713" s="90"/>
    </row>
    <row r="714" ht="16.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</row>
    <row r="715" ht="16.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  <c r="BI715" s="90"/>
      <c r="BJ715" s="90"/>
      <c r="BK715" s="90"/>
      <c r="BL715" s="90"/>
      <c r="BM715" s="90"/>
      <c r="BN715" s="90"/>
    </row>
    <row r="716" ht="16.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</row>
    <row r="717" ht="16.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  <c r="BI717" s="90"/>
      <c r="BJ717" s="90"/>
      <c r="BK717" s="90"/>
      <c r="BL717" s="90"/>
      <c r="BM717" s="90"/>
      <c r="BN717" s="90"/>
    </row>
    <row r="718" ht="16.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</row>
    <row r="719" ht="16.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H719" s="90"/>
      <c r="BI719" s="90"/>
      <c r="BJ719" s="90"/>
      <c r="BK719" s="90"/>
      <c r="BL719" s="90"/>
      <c r="BM719" s="90"/>
      <c r="BN719" s="90"/>
    </row>
    <row r="720" ht="16.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</row>
    <row r="721" ht="16.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H721" s="90"/>
      <c r="BI721" s="90"/>
      <c r="BJ721" s="90"/>
      <c r="BK721" s="90"/>
      <c r="BL721" s="90"/>
      <c r="BM721" s="90"/>
      <c r="BN721" s="90"/>
    </row>
    <row r="722" ht="16.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</row>
    <row r="723" ht="16.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H723" s="90"/>
      <c r="BI723" s="90"/>
      <c r="BJ723" s="90"/>
      <c r="BK723" s="90"/>
      <c r="BL723" s="90"/>
      <c r="BM723" s="90"/>
      <c r="BN723" s="90"/>
    </row>
    <row r="724" ht="16.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</row>
    <row r="725" ht="16.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H725" s="90"/>
      <c r="BI725" s="90"/>
      <c r="BJ725" s="90"/>
      <c r="BK725" s="90"/>
      <c r="BL725" s="90"/>
      <c r="BM725" s="90"/>
      <c r="BN725" s="90"/>
    </row>
    <row r="726" ht="16.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</row>
    <row r="727" ht="16.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H727" s="90"/>
      <c r="BI727" s="90"/>
      <c r="BJ727" s="90"/>
      <c r="BK727" s="90"/>
      <c r="BL727" s="90"/>
      <c r="BM727" s="90"/>
      <c r="BN727" s="90"/>
    </row>
    <row r="728" ht="16.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</row>
    <row r="729" ht="16.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H729" s="90"/>
      <c r="BI729" s="90"/>
      <c r="BJ729" s="90"/>
      <c r="BK729" s="90"/>
      <c r="BL729" s="90"/>
      <c r="BM729" s="90"/>
      <c r="BN729" s="90"/>
    </row>
    <row r="730" ht="16.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</row>
    <row r="731" ht="16.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H731" s="90"/>
      <c r="BI731" s="90"/>
      <c r="BJ731" s="90"/>
      <c r="BK731" s="90"/>
      <c r="BL731" s="90"/>
      <c r="BM731" s="90"/>
      <c r="BN731" s="90"/>
    </row>
    <row r="732" ht="16.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</row>
    <row r="733" ht="16.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H733" s="90"/>
      <c r="BI733" s="90"/>
      <c r="BJ733" s="90"/>
      <c r="BK733" s="90"/>
      <c r="BL733" s="90"/>
      <c r="BM733" s="90"/>
      <c r="BN733" s="90"/>
    </row>
    <row r="734" ht="16.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</row>
    <row r="735" ht="16.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H735" s="90"/>
      <c r="BI735" s="90"/>
      <c r="BJ735" s="90"/>
      <c r="BK735" s="90"/>
      <c r="BL735" s="90"/>
      <c r="BM735" s="90"/>
      <c r="BN735" s="90"/>
    </row>
    <row r="736" ht="16.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</row>
    <row r="737" ht="16.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H737" s="90"/>
      <c r="BI737" s="90"/>
      <c r="BJ737" s="90"/>
      <c r="BK737" s="90"/>
      <c r="BL737" s="90"/>
      <c r="BM737" s="90"/>
      <c r="BN737" s="90"/>
    </row>
    <row r="738" ht="16.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</row>
    <row r="739" ht="16.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H739" s="90"/>
      <c r="BI739" s="90"/>
      <c r="BJ739" s="90"/>
      <c r="BK739" s="90"/>
      <c r="BL739" s="90"/>
      <c r="BM739" s="90"/>
      <c r="BN739" s="90"/>
    </row>
    <row r="740" ht="16.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</row>
    <row r="741" ht="16.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H741" s="90"/>
      <c r="BI741" s="90"/>
      <c r="BJ741" s="90"/>
      <c r="BK741" s="90"/>
      <c r="BL741" s="90"/>
      <c r="BM741" s="90"/>
      <c r="BN741" s="90"/>
    </row>
    <row r="742" ht="16.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</row>
    <row r="743" ht="16.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H743" s="90"/>
      <c r="BI743" s="90"/>
      <c r="BJ743" s="90"/>
      <c r="BK743" s="90"/>
      <c r="BL743" s="90"/>
      <c r="BM743" s="90"/>
      <c r="BN743" s="90"/>
    </row>
    <row r="744" ht="16.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</row>
    <row r="745" ht="16.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H745" s="90"/>
      <c r="BI745" s="90"/>
      <c r="BJ745" s="90"/>
      <c r="BK745" s="90"/>
      <c r="BL745" s="90"/>
      <c r="BM745" s="90"/>
      <c r="BN745" s="90"/>
    </row>
    <row r="746" ht="16.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</row>
    <row r="747" ht="16.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H747" s="90"/>
      <c r="BI747" s="90"/>
      <c r="BJ747" s="90"/>
      <c r="BK747" s="90"/>
      <c r="BL747" s="90"/>
      <c r="BM747" s="90"/>
      <c r="BN747" s="90"/>
    </row>
    <row r="748" ht="16.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</row>
    <row r="749" ht="16.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H749" s="90"/>
      <c r="BI749" s="90"/>
      <c r="BJ749" s="90"/>
      <c r="BK749" s="90"/>
      <c r="BL749" s="90"/>
      <c r="BM749" s="90"/>
      <c r="BN749" s="90"/>
    </row>
    <row r="750" ht="16.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</row>
    <row r="751" ht="16.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H751" s="90"/>
      <c r="BI751" s="90"/>
      <c r="BJ751" s="90"/>
      <c r="BK751" s="90"/>
      <c r="BL751" s="90"/>
      <c r="BM751" s="90"/>
      <c r="BN751" s="90"/>
    </row>
    <row r="752" ht="16.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</row>
    <row r="753" ht="16.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H753" s="90"/>
      <c r="BI753" s="90"/>
      <c r="BJ753" s="90"/>
      <c r="BK753" s="90"/>
      <c r="BL753" s="90"/>
      <c r="BM753" s="90"/>
      <c r="BN753" s="90"/>
    </row>
    <row r="754" ht="16.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</row>
    <row r="755" ht="16.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H755" s="90"/>
      <c r="BI755" s="90"/>
      <c r="BJ755" s="90"/>
      <c r="BK755" s="90"/>
      <c r="BL755" s="90"/>
      <c r="BM755" s="90"/>
      <c r="BN755" s="90"/>
    </row>
    <row r="756" ht="16.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</row>
    <row r="757" ht="16.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H757" s="90"/>
      <c r="BI757" s="90"/>
      <c r="BJ757" s="90"/>
      <c r="BK757" s="90"/>
      <c r="BL757" s="90"/>
      <c r="BM757" s="90"/>
      <c r="BN757" s="90"/>
    </row>
    <row r="758" ht="16.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</row>
    <row r="759" ht="16.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H759" s="90"/>
      <c r="BI759" s="90"/>
      <c r="BJ759" s="90"/>
      <c r="BK759" s="90"/>
      <c r="BL759" s="90"/>
      <c r="BM759" s="90"/>
      <c r="BN759" s="90"/>
    </row>
    <row r="760" ht="16.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</row>
    <row r="761" ht="16.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H761" s="90"/>
      <c r="BI761" s="90"/>
      <c r="BJ761" s="90"/>
      <c r="BK761" s="90"/>
      <c r="BL761" s="90"/>
      <c r="BM761" s="90"/>
      <c r="BN761" s="90"/>
    </row>
    <row r="762" ht="16.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</row>
    <row r="763" ht="16.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H763" s="90"/>
      <c r="BI763" s="90"/>
      <c r="BJ763" s="90"/>
      <c r="BK763" s="90"/>
      <c r="BL763" s="90"/>
      <c r="BM763" s="90"/>
      <c r="BN763" s="90"/>
    </row>
    <row r="764" ht="16.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</row>
    <row r="765" ht="16.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H765" s="90"/>
      <c r="BI765" s="90"/>
      <c r="BJ765" s="90"/>
      <c r="BK765" s="90"/>
      <c r="BL765" s="90"/>
      <c r="BM765" s="90"/>
      <c r="BN765" s="90"/>
    </row>
    <row r="766" ht="16.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</row>
    <row r="767" ht="16.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H767" s="90"/>
      <c r="BI767" s="90"/>
      <c r="BJ767" s="90"/>
      <c r="BK767" s="90"/>
      <c r="BL767" s="90"/>
      <c r="BM767" s="90"/>
      <c r="BN767" s="90"/>
    </row>
    <row r="768" ht="16.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</row>
    <row r="769" ht="16.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H769" s="90"/>
      <c r="BI769" s="90"/>
      <c r="BJ769" s="90"/>
      <c r="BK769" s="90"/>
      <c r="BL769" s="90"/>
      <c r="BM769" s="90"/>
      <c r="BN769" s="90"/>
    </row>
    <row r="770" ht="16.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</row>
    <row r="771" ht="16.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H771" s="90"/>
      <c r="BI771" s="90"/>
      <c r="BJ771" s="90"/>
      <c r="BK771" s="90"/>
      <c r="BL771" s="90"/>
      <c r="BM771" s="90"/>
      <c r="BN771" s="90"/>
    </row>
    <row r="772" ht="16.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</row>
    <row r="773" ht="16.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H773" s="90"/>
      <c r="BI773" s="90"/>
      <c r="BJ773" s="90"/>
      <c r="BK773" s="90"/>
      <c r="BL773" s="90"/>
      <c r="BM773" s="90"/>
      <c r="BN773" s="90"/>
    </row>
    <row r="774" ht="16.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</row>
    <row r="775" ht="16.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H775" s="90"/>
      <c r="BI775" s="90"/>
      <c r="BJ775" s="90"/>
      <c r="BK775" s="90"/>
      <c r="BL775" s="90"/>
      <c r="BM775" s="90"/>
      <c r="BN775" s="90"/>
    </row>
    <row r="776" ht="16.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</row>
    <row r="777" ht="16.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H777" s="90"/>
      <c r="BI777" s="90"/>
      <c r="BJ777" s="90"/>
      <c r="BK777" s="90"/>
      <c r="BL777" s="90"/>
      <c r="BM777" s="90"/>
      <c r="BN777" s="90"/>
    </row>
    <row r="778" ht="16.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</row>
    <row r="779" ht="16.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H779" s="90"/>
      <c r="BI779" s="90"/>
      <c r="BJ779" s="90"/>
      <c r="BK779" s="90"/>
      <c r="BL779" s="90"/>
      <c r="BM779" s="90"/>
      <c r="BN779" s="90"/>
    </row>
    <row r="780" ht="16.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</row>
    <row r="781" ht="16.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H781" s="90"/>
      <c r="BI781" s="90"/>
      <c r="BJ781" s="90"/>
      <c r="BK781" s="90"/>
      <c r="BL781" s="90"/>
      <c r="BM781" s="90"/>
      <c r="BN781" s="90"/>
    </row>
    <row r="782" ht="16.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</row>
    <row r="783" ht="16.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H783" s="90"/>
      <c r="BI783" s="90"/>
      <c r="BJ783" s="90"/>
      <c r="BK783" s="90"/>
      <c r="BL783" s="90"/>
      <c r="BM783" s="90"/>
      <c r="BN783" s="90"/>
    </row>
    <row r="784" ht="16.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</row>
    <row r="785" ht="16.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H785" s="90"/>
      <c r="BI785" s="90"/>
      <c r="BJ785" s="90"/>
      <c r="BK785" s="90"/>
      <c r="BL785" s="90"/>
      <c r="BM785" s="90"/>
      <c r="BN785" s="90"/>
    </row>
    <row r="786" ht="16.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</row>
    <row r="787" ht="16.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H787" s="90"/>
      <c r="BI787" s="90"/>
      <c r="BJ787" s="90"/>
      <c r="BK787" s="90"/>
      <c r="BL787" s="90"/>
      <c r="BM787" s="90"/>
      <c r="BN787" s="90"/>
    </row>
    <row r="788" ht="16.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</row>
    <row r="789" ht="16.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H789" s="90"/>
      <c r="BI789" s="90"/>
      <c r="BJ789" s="90"/>
      <c r="BK789" s="90"/>
      <c r="BL789" s="90"/>
      <c r="BM789" s="90"/>
      <c r="BN789" s="90"/>
    </row>
    <row r="790" ht="16.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</row>
    <row r="791" ht="16.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H791" s="90"/>
      <c r="BI791" s="90"/>
      <c r="BJ791" s="90"/>
      <c r="BK791" s="90"/>
      <c r="BL791" s="90"/>
      <c r="BM791" s="90"/>
      <c r="BN791" s="90"/>
    </row>
    <row r="792" ht="16.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</row>
    <row r="793" ht="16.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0"/>
      <c r="BJ793" s="90"/>
      <c r="BK793" s="90"/>
      <c r="BL793" s="90"/>
      <c r="BM793" s="90"/>
      <c r="BN793" s="90"/>
    </row>
    <row r="794" ht="16.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</row>
    <row r="795" ht="16.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  <c r="BK795" s="90"/>
      <c r="BL795" s="90"/>
      <c r="BM795" s="90"/>
      <c r="BN795" s="90"/>
    </row>
    <row r="796" ht="16.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</row>
    <row r="797" ht="16.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H797" s="90"/>
      <c r="BI797" s="90"/>
      <c r="BJ797" s="90"/>
      <c r="BK797" s="90"/>
      <c r="BL797" s="90"/>
      <c r="BM797" s="90"/>
      <c r="BN797" s="90"/>
    </row>
    <row r="798" ht="16.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</row>
    <row r="799" ht="16.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H799" s="90"/>
      <c r="BI799" s="90"/>
      <c r="BJ799" s="90"/>
      <c r="BK799" s="90"/>
      <c r="BL799" s="90"/>
      <c r="BM799" s="90"/>
      <c r="BN799" s="90"/>
    </row>
    <row r="800" ht="16.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</row>
    <row r="801" ht="16.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0"/>
      <c r="BJ801" s="90"/>
      <c r="BK801" s="90"/>
      <c r="BL801" s="90"/>
      <c r="BM801" s="90"/>
      <c r="BN801" s="90"/>
    </row>
    <row r="802" ht="16.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</row>
    <row r="803" ht="16.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H803" s="90"/>
      <c r="BI803" s="90"/>
      <c r="BJ803" s="90"/>
      <c r="BK803" s="90"/>
      <c r="BL803" s="90"/>
      <c r="BM803" s="90"/>
      <c r="BN803" s="90"/>
    </row>
    <row r="804" ht="16.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</row>
    <row r="805" ht="16.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H805" s="90"/>
      <c r="BI805" s="90"/>
      <c r="BJ805" s="90"/>
      <c r="BK805" s="90"/>
      <c r="BL805" s="90"/>
      <c r="BM805" s="90"/>
      <c r="BN805" s="90"/>
    </row>
    <row r="806" ht="16.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</row>
    <row r="807" ht="16.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H807" s="90"/>
      <c r="BI807" s="90"/>
      <c r="BJ807" s="90"/>
      <c r="BK807" s="90"/>
      <c r="BL807" s="90"/>
      <c r="BM807" s="90"/>
      <c r="BN807" s="90"/>
    </row>
    <row r="808" ht="16.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</row>
    <row r="809" ht="16.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H809" s="90"/>
      <c r="BI809" s="90"/>
      <c r="BJ809" s="90"/>
      <c r="BK809" s="90"/>
      <c r="BL809" s="90"/>
      <c r="BM809" s="90"/>
      <c r="BN809" s="90"/>
    </row>
    <row r="810" ht="16.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</row>
    <row r="811" ht="16.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  <c r="BJ811" s="90"/>
      <c r="BK811" s="90"/>
      <c r="BL811" s="90"/>
      <c r="BM811" s="90"/>
      <c r="BN811" s="90"/>
    </row>
    <row r="812" ht="16.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</row>
    <row r="813" ht="16.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H813" s="90"/>
      <c r="BI813" s="90"/>
      <c r="BJ813" s="90"/>
      <c r="BK813" s="90"/>
      <c r="BL813" s="90"/>
      <c r="BM813" s="90"/>
      <c r="BN813" s="90"/>
    </row>
    <row r="814" ht="16.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</row>
    <row r="815" ht="16.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H815" s="90"/>
      <c r="BI815" s="90"/>
      <c r="BJ815" s="90"/>
      <c r="BK815" s="90"/>
      <c r="BL815" s="90"/>
      <c r="BM815" s="90"/>
      <c r="BN815" s="90"/>
    </row>
    <row r="816" ht="16.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</row>
    <row r="817" ht="16.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H817" s="90"/>
      <c r="BI817" s="90"/>
      <c r="BJ817" s="90"/>
      <c r="BK817" s="90"/>
      <c r="BL817" s="90"/>
      <c r="BM817" s="90"/>
      <c r="BN817" s="90"/>
    </row>
    <row r="818" ht="16.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</row>
    <row r="819" ht="16.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H819" s="90"/>
      <c r="BI819" s="90"/>
      <c r="BJ819" s="90"/>
      <c r="BK819" s="90"/>
      <c r="BL819" s="90"/>
      <c r="BM819" s="90"/>
      <c r="BN819" s="90"/>
    </row>
    <row r="820" ht="16.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</row>
    <row r="821" ht="16.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H821" s="90"/>
      <c r="BI821" s="90"/>
      <c r="BJ821" s="90"/>
      <c r="BK821" s="90"/>
      <c r="BL821" s="90"/>
      <c r="BM821" s="90"/>
      <c r="BN821" s="90"/>
    </row>
    <row r="822" ht="16.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</row>
    <row r="823" ht="16.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H823" s="90"/>
      <c r="BI823" s="90"/>
      <c r="BJ823" s="90"/>
      <c r="BK823" s="90"/>
      <c r="BL823" s="90"/>
      <c r="BM823" s="90"/>
      <c r="BN823" s="90"/>
    </row>
    <row r="824" ht="16.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</row>
    <row r="825" ht="16.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H825" s="90"/>
      <c r="BI825" s="90"/>
      <c r="BJ825" s="90"/>
      <c r="BK825" s="90"/>
      <c r="BL825" s="90"/>
      <c r="BM825" s="90"/>
      <c r="BN825" s="90"/>
    </row>
    <row r="826" ht="16.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</row>
    <row r="827" ht="16.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H827" s="90"/>
      <c r="BI827" s="90"/>
      <c r="BJ827" s="90"/>
      <c r="BK827" s="90"/>
      <c r="BL827" s="90"/>
      <c r="BM827" s="90"/>
      <c r="BN827" s="90"/>
    </row>
    <row r="828" ht="16.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</row>
    <row r="829" ht="16.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H829" s="90"/>
      <c r="BI829" s="90"/>
      <c r="BJ829" s="90"/>
      <c r="BK829" s="90"/>
      <c r="BL829" s="90"/>
      <c r="BM829" s="90"/>
      <c r="BN829" s="90"/>
    </row>
    <row r="830" ht="16.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</row>
    <row r="831" ht="16.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H831" s="90"/>
      <c r="BI831" s="90"/>
      <c r="BJ831" s="90"/>
      <c r="BK831" s="90"/>
      <c r="BL831" s="90"/>
      <c r="BM831" s="90"/>
      <c r="BN831" s="90"/>
    </row>
    <row r="832" ht="16.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</row>
    <row r="833" ht="16.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90"/>
      <c r="BI833" s="90"/>
      <c r="BJ833" s="90"/>
      <c r="BK833" s="90"/>
      <c r="BL833" s="90"/>
      <c r="BM833" s="90"/>
      <c r="BN833" s="90"/>
    </row>
    <row r="834" ht="16.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</row>
    <row r="835" ht="16.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H835" s="90"/>
      <c r="BI835" s="90"/>
      <c r="BJ835" s="90"/>
      <c r="BK835" s="90"/>
      <c r="BL835" s="90"/>
      <c r="BM835" s="90"/>
      <c r="BN835" s="90"/>
    </row>
    <row r="836" ht="16.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</row>
    <row r="837" ht="16.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H837" s="90"/>
      <c r="BI837" s="90"/>
      <c r="BJ837" s="90"/>
      <c r="BK837" s="90"/>
      <c r="BL837" s="90"/>
      <c r="BM837" s="90"/>
      <c r="BN837" s="90"/>
    </row>
    <row r="838" ht="16.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</row>
    <row r="839" ht="16.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H839" s="90"/>
      <c r="BI839" s="90"/>
      <c r="BJ839" s="90"/>
      <c r="BK839" s="90"/>
      <c r="BL839" s="90"/>
      <c r="BM839" s="90"/>
      <c r="BN839" s="90"/>
    </row>
    <row r="840" ht="16.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</row>
    <row r="841" ht="16.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90"/>
      <c r="BI841" s="90"/>
      <c r="BJ841" s="90"/>
      <c r="BK841" s="90"/>
      <c r="BL841" s="90"/>
      <c r="BM841" s="90"/>
      <c r="BN841" s="90"/>
    </row>
    <row r="842" ht="16.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</row>
    <row r="843" ht="16.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H843" s="90"/>
      <c r="BI843" s="90"/>
      <c r="BJ843" s="90"/>
      <c r="BK843" s="90"/>
      <c r="BL843" s="90"/>
      <c r="BM843" s="90"/>
      <c r="BN843" s="90"/>
    </row>
    <row r="844" ht="16.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</row>
    <row r="845" ht="16.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H845" s="90"/>
      <c r="BI845" s="90"/>
      <c r="BJ845" s="90"/>
      <c r="BK845" s="90"/>
      <c r="BL845" s="90"/>
      <c r="BM845" s="90"/>
      <c r="BN845" s="90"/>
    </row>
    <row r="846" ht="16.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</row>
    <row r="847" ht="16.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90"/>
      <c r="BI847" s="90"/>
      <c r="BJ847" s="90"/>
      <c r="BK847" s="90"/>
      <c r="BL847" s="90"/>
      <c r="BM847" s="90"/>
      <c r="BN847" s="90"/>
    </row>
    <row r="848" ht="16.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</row>
    <row r="849" ht="16.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H849" s="90"/>
      <c r="BI849" s="90"/>
      <c r="BJ849" s="90"/>
      <c r="BK849" s="90"/>
      <c r="BL849" s="90"/>
      <c r="BM849" s="90"/>
      <c r="BN849" s="90"/>
    </row>
    <row r="850" ht="16.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</row>
    <row r="851" ht="16.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H851" s="90"/>
      <c r="BI851" s="90"/>
      <c r="BJ851" s="90"/>
      <c r="BK851" s="90"/>
      <c r="BL851" s="90"/>
      <c r="BM851" s="90"/>
      <c r="BN851" s="90"/>
    </row>
    <row r="852" ht="16.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</row>
    <row r="853" ht="16.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H853" s="90"/>
      <c r="BI853" s="90"/>
      <c r="BJ853" s="90"/>
      <c r="BK853" s="90"/>
      <c r="BL853" s="90"/>
      <c r="BM853" s="90"/>
      <c r="BN853" s="90"/>
    </row>
    <row r="854" ht="16.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</row>
    <row r="855" ht="16.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H855" s="90"/>
      <c r="BI855" s="90"/>
      <c r="BJ855" s="90"/>
      <c r="BK855" s="90"/>
      <c r="BL855" s="90"/>
      <c r="BM855" s="90"/>
      <c r="BN855" s="90"/>
    </row>
    <row r="856" ht="16.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</row>
    <row r="857" ht="16.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H857" s="90"/>
      <c r="BI857" s="90"/>
      <c r="BJ857" s="90"/>
      <c r="BK857" s="90"/>
      <c r="BL857" s="90"/>
      <c r="BM857" s="90"/>
      <c r="BN857" s="90"/>
    </row>
    <row r="858" ht="16.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</row>
    <row r="859" ht="16.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H859" s="90"/>
      <c r="BI859" s="90"/>
      <c r="BJ859" s="90"/>
      <c r="BK859" s="90"/>
      <c r="BL859" s="90"/>
      <c r="BM859" s="90"/>
      <c r="BN859" s="90"/>
    </row>
    <row r="860" ht="16.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</row>
    <row r="861" ht="16.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H861" s="90"/>
      <c r="BI861" s="90"/>
      <c r="BJ861" s="90"/>
      <c r="BK861" s="90"/>
      <c r="BL861" s="90"/>
      <c r="BM861" s="90"/>
      <c r="BN861" s="90"/>
    </row>
    <row r="862" ht="16.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</row>
    <row r="863" ht="16.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H863" s="90"/>
      <c r="BI863" s="90"/>
      <c r="BJ863" s="90"/>
      <c r="BK863" s="90"/>
      <c r="BL863" s="90"/>
      <c r="BM863" s="90"/>
      <c r="BN863" s="90"/>
    </row>
    <row r="864" ht="16.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</row>
    <row r="865" ht="16.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H865" s="90"/>
      <c r="BI865" s="90"/>
      <c r="BJ865" s="90"/>
      <c r="BK865" s="90"/>
      <c r="BL865" s="90"/>
      <c r="BM865" s="90"/>
      <c r="BN865" s="90"/>
    </row>
    <row r="866" ht="16.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</row>
    <row r="867" ht="16.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H867" s="90"/>
      <c r="BI867" s="90"/>
      <c r="BJ867" s="90"/>
      <c r="BK867" s="90"/>
      <c r="BL867" s="90"/>
      <c r="BM867" s="90"/>
      <c r="BN867" s="90"/>
    </row>
    <row r="868" ht="16.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</row>
    <row r="869" ht="16.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H869" s="90"/>
      <c r="BI869" s="90"/>
      <c r="BJ869" s="90"/>
      <c r="BK869" s="90"/>
      <c r="BL869" s="90"/>
      <c r="BM869" s="90"/>
      <c r="BN869" s="90"/>
    </row>
    <row r="870" ht="16.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</row>
    <row r="871" ht="16.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H871" s="90"/>
      <c r="BI871" s="90"/>
      <c r="BJ871" s="90"/>
      <c r="BK871" s="90"/>
      <c r="BL871" s="90"/>
      <c r="BM871" s="90"/>
      <c r="BN871" s="90"/>
    </row>
    <row r="872" ht="16.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</row>
    <row r="873" ht="16.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H873" s="90"/>
      <c r="BI873" s="90"/>
      <c r="BJ873" s="90"/>
      <c r="BK873" s="90"/>
      <c r="BL873" s="90"/>
      <c r="BM873" s="90"/>
      <c r="BN873" s="90"/>
    </row>
    <row r="874" ht="16.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</row>
    <row r="875" ht="16.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H875" s="90"/>
      <c r="BI875" s="90"/>
      <c r="BJ875" s="90"/>
      <c r="BK875" s="90"/>
      <c r="BL875" s="90"/>
      <c r="BM875" s="90"/>
      <c r="BN875" s="90"/>
    </row>
    <row r="876" ht="16.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</row>
    <row r="877" ht="16.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H877" s="90"/>
      <c r="BI877" s="90"/>
      <c r="BJ877" s="90"/>
      <c r="BK877" s="90"/>
      <c r="BL877" s="90"/>
      <c r="BM877" s="90"/>
      <c r="BN877" s="90"/>
    </row>
    <row r="878" ht="16.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</row>
    <row r="879" ht="16.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H879" s="90"/>
      <c r="BI879" s="90"/>
      <c r="BJ879" s="90"/>
      <c r="BK879" s="90"/>
      <c r="BL879" s="90"/>
      <c r="BM879" s="90"/>
      <c r="BN879" s="90"/>
    </row>
    <row r="880" ht="16.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</row>
    <row r="881" ht="16.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H881" s="90"/>
      <c r="BI881" s="90"/>
      <c r="BJ881" s="90"/>
      <c r="BK881" s="90"/>
      <c r="BL881" s="90"/>
      <c r="BM881" s="90"/>
      <c r="BN881" s="90"/>
    </row>
    <row r="882" ht="16.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</row>
    <row r="883" ht="16.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H883" s="90"/>
      <c r="BI883" s="90"/>
      <c r="BJ883" s="90"/>
      <c r="BK883" s="90"/>
      <c r="BL883" s="90"/>
      <c r="BM883" s="90"/>
      <c r="BN883" s="90"/>
    </row>
    <row r="884" ht="16.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</row>
    <row r="885" ht="16.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H885" s="90"/>
      <c r="BI885" s="90"/>
      <c r="BJ885" s="90"/>
      <c r="BK885" s="90"/>
      <c r="BL885" s="90"/>
      <c r="BM885" s="90"/>
      <c r="BN885" s="90"/>
    </row>
    <row r="886" ht="16.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</row>
    <row r="887" ht="16.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H887" s="90"/>
      <c r="BI887" s="90"/>
      <c r="BJ887" s="90"/>
      <c r="BK887" s="90"/>
      <c r="BL887" s="90"/>
      <c r="BM887" s="90"/>
      <c r="BN887" s="90"/>
    </row>
    <row r="888" ht="16.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</row>
    <row r="889" ht="16.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H889" s="90"/>
      <c r="BI889" s="90"/>
      <c r="BJ889" s="90"/>
      <c r="BK889" s="90"/>
      <c r="BL889" s="90"/>
      <c r="BM889" s="90"/>
      <c r="BN889" s="90"/>
    </row>
    <row r="890" ht="16.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</row>
    <row r="891" ht="16.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H891" s="90"/>
      <c r="BI891" s="90"/>
      <c r="BJ891" s="90"/>
      <c r="BK891" s="90"/>
      <c r="BL891" s="90"/>
      <c r="BM891" s="90"/>
      <c r="BN891" s="90"/>
    </row>
    <row r="892" ht="16.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</row>
    <row r="893" ht="16.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H893" s="90"/>
      <c r="BI893" s="90"/>
      <c r="BJ893" s="90"/>
      <c r="BK893" s="90"/>
      <c r="BL893" s="90"/>
      <c r="BM893" s="90"/>
      <c r="BN893" s="90"/>
    </row>
    <row r="894" ht="16.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</row>
    <row r="895" ht="16.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H895" s="90"/>
      <c r="BI895" s="90"/>
      <c r="BJ895" s="90"/>
      <c r="BK895" s="90"/>
      <c r="BL895" s="90"/>
      <c r="BM895" s="90"/>
      <c r="BN895" s="90"/>
    </row>
    <row r="896" ht="16.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</row>
    <row r="897" ht="16.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H897" s="90"/>
      <c r="BI897" s="90"/>
      <c r="BJ897" s="90"/>
      <c r="BK897" s="90"/>
      <c r="BL897" s="90"/>
      <c r="BM897" s="90"/>
      <c r="BN897" s="90"/>
    </row>
    <row r="898" ht="16.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</row>
    <row r="899" ht="16.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H899" s="90"/>
      <c r="BI899" s="90"/>
      <c r="BJ899" s="90"/>
      <c r="BK899" s="90"/>
      <c r="BL899" s="90"/>
      <c r="BM899" s="90"/>
      <c r="BN899" s="90"/>
    </row>
    <row r="900" ht="16.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</row>
    <row r="901" ht="16.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H901" s="90"/>
      <c r="BI901" s="90"/>
      <c r="BJ901" s="90"/>
      <c r="BK901" s="90"/>
      <c r="BL901" s="90"/>
      <c r="BM901" s="90"/>
      <c r="BN901" s="90"/>
    </row>
    <row r="902" ht="16.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</row>
    <row r="903" ht="16.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H903" s="90"/>
      <c r="BI903" s="90"/>
      <c r="BJ903" s="90"/>
      <c r="BK903" s="90"/>
      <c r="BL903" s="90"/>
      <c r="BM903" s="90"/>
      <c r="BN903" s="90"/>
    </row>
    <row r="904" ht="16.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</row>
    <row r="905" ht="16.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H905" s="90"/>
      <c r="BI905" s="90"/>
      <c r="BJ905" s="90"/>
      <c r="BK905" s="90"/>
      <c r="BL905" s="90"/>
      <c r="BM905" s="90"/>
      <c r="BN905" s="90"/>
    </row>
    <row r="906" ht="16.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</row>
    <row r="907" ht="16.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H907" s="90"/>
      <c r="BI907" s="90"/>
      <c r="BJ907" s="90"/>
      <c r="BK907" s="90"/>
      <c r="BL907" s="90"/>
      <c r="BM907" s="90"/>
      <c r="BN907" s="90"/>
    </row>
    <row r="908" ht="16.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</row>
    <row r="909" ht="16.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H909" s="90"/>
      <c r="BI909" s="90"/>
      <c r="BJ909" s="90"/>
      <c r="BK909" s="90"/>
      <c r="BL909" s="90"/>
      <c r="BM909" s="90"/>
      <c r="BN909" s="90"/>
    </row>
    <row r="910" ht="16.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</row>
    <row r="911" ht="16.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H911" s="90"/>
      <c r="BI911" s="90"/>
      <c r="BJ911" s="90"/>
      <c r="BK911" s="90"/>
      <c r="BL911" s="90"/>
      <c r="BM911" s="90"/>
      <c r="BN911" s="90"/>
    </row>
    <row r="912" ht="16.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</row>
    <row r="913" ht="16.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H913" s="90"/>
      <c r="BI913" s="90"/>
      <c r="BJ913" s="90"/>
      <c r="BK913" s="90"/>
      <c r="BL913" s="90"/>
      <c r="BM913" s="90"/>
      <c r="BN913" s="90"/>
    </row>
    <row r="914" ht="16.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</row>
    <row r="915" ht="16.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H915" s="90"/>
      <c r="BI915" s="90"/>
      <c r="BJ915" s="90"/>
      <c r="BK915" s="90"/>
      <c r="BL915" s="90"/>
      <c r="BM915" s="90"/>
      <c r="BN915" s="90"/>
    </row>
    <row r="916" ht="16.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</row>
    <row r="917" ht="16.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H917" s="90"/>
      <c r="BI917" s="90"/>
      <c r="BJ917" s="90"/>
      <c r="BK917" s="90"/>
      <c r="BL917" s="90"/>
      <c r="BM917" s="90"/>
      <c r="BN917" s="90"/>
    </row>
    <row r="918" ht="16.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</row>
    <row r="919" ht="16.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H919" s="90"/>
      <c r="BI919" s="90"/>
      <c r="BJ919" s="90"/>
      <c r="BK919" s="90"/>
      <c r="BL919" s="90"/>
      <c r="BM919" s="90"/>
      <c r="BN919" s="90"/>
    </row>
    <row r="920" ht="16.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</row>
    <row r="921" ht="16.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H921" s="90"/>
      <c r="BI921" s="90"/>
      <c r="BJ921" s="90"/>
      <c r="BK921" s="90"/>
      <c r="BL921" s="90"/>
      <c r="BM921" s="90"/>
      <c r="BN921" s="90"/>
    </row>
    <row r="922" ht="16.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</row>
    <row r="923" ht="16.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H923" s="90"/>
      <c r="BI923" s="90"/>
      <c r="BJ923" s="90"/>
      <c r="BK923" s="90"/>
      <c r="BL923" s="90"/>
      <c r="BM923" s="90"/>
      <c r="BN923" s="90"/>
    </row>
    <row r="924" ht="16.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</row>
    <row r="925" ht="16.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H925" s="90"/>
      <c r="BI925" s="90"/>
      <c r="BJ925" s="90"/>
      <c r="BK925" s="90"/>
      <c r="BL925" s="90"/>
      <c r="BM925" s="90"/>
      <c r="BN925" s="90"/>
    </row>
    <row r="926" ht="16.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</row>
    <row r="927" ht="16.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H927" s="90"/>
      <c r="BI927" s="90"/>
      <c r="BJ927" s="90"/>
      <c r="BK927" s="90"/>
      <c r="BL927" s="90"/>
      <c r="BM927" s="90"/>
      <c r="BN927" s="90"/>
    </row>
    <row r="928" ht="16.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</row>
    <row r="929" ht="16.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H929" s="90"/>
      <c r="BI929" s="90"/>
      <c r="BJ929" s="90"/>
      <c r="BK929" s="90"/>
      <c r="BL929" s="90"/>
      <c r="BM929" s="90"/>
      <c r="BN929" s="90"/>
    </row>
    <row r="930" ht="16.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</row>
    <row r="931" ht="16.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H931" s="90"/>
      <c r="BI931" s="90"/>
      <c r="BJ931" s="90"/>
      <c r="BK931" s="90"/>
      <c r="BL931" s="90"/>
      <c r="BM931" s="90"/>
      <c r="BN931" s="90"/>
    </row>
    <row r="932" ht="16.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</row>
    <row r="933" ht="16.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H933" s="90"/>
      <c r="BI933" s="90"/>
      <c r="BJ933" s="90"/>
      <c r="BK933" s="90"/>
      <c r="BL933" s="90"/>
      <c r="BM933" s="90"/>
      <c r="BN933" s="90"/>
    </row>
    <row r="934" ht="16.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</row>
    <row r="935" ht="16.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  <c r="BK935" s="90"/>
      <c r="BL935" s="90"/>
      <c r="BM935" s="90"/>
      <c r="BN935" s="90"/>
    </row>
    <row r="936" ht="16.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</row>
    <row r="937" ht="16.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H937" s="90"/>
      <c r="BI937" s="90"/>
      <c r="BJ937" s="90"/>
      <c r="BK937" s="90"/>
      <c r="BL937" s="90"/>
      <c r="BM937" s="90"/>
      <c r="BN937" s="90"/>
    </row>
    <row r="938" ht="16.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</row>
    <row r="939" ht="16.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H939" s="90"/>
      <c r="BI939" s="90"/>
      <c r="BJ939" s="90"/>
      <c r="BK939" s="90"/>
      <c r="BL939" s="90"/>
      <c r="BM939" s="90"/>
      <c r="BN939" s="90"/>
    </row>
    <row r="940" ht="16.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</row>
    <row r="941" ht="16.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H941" s="90"/>
      <c r="BI941" s="90"/>
      <c r="BJ941" s="90"/>
      <c r="BK941" s="90"/>
      <c r="BL941" s="90"/>
      <c r="BM941" s="90"/>
      <c r="BN941" s="90"/>
    </row>
    <row r="942" ht="16.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</row>
    <row r="943" ht="16.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H943" s="90"/>
      <c r="BI943" s="90"/>
      <c r="BJ943" s="90"/>
      <c r="BK943" s="90"/>
      <c r="BL943" s="90"/>
      <c r="BM943" s="90"/>
      <c r="BN943" s="90"/>
    </row>
    <row r="944" ht="16.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</row>
    <row r="945" ht="16.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H945" s="90"/>
      <c r="BI945" s="90"/>
      <c r="BJ945" s="90"/>
      <c r="BK945" s="90"/>
      <c r="BL945" s="90"/>
      <c r="BM945" s="90"/>
      <c r="BN945" s="90"/>
    </row>
    <row r="946" ht="16.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</row>
    <row r="947" ht="16.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H947" s="90"/>
      <c r="BI947" s="90"/>
      <c r="BJ947" s="90"/>
      <c r="BK947" s="90"/>
      <c r="BL947" s="90"/>
      <c r="BM947" s="90"/>
      <c r="BN947" s="90"/>
    </row>
    <row r="948" ht="16.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</row>
    <row r="949" ht="16.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H949" s="90"/>
      <c r="BI949" s="90"/>
      <c r="BJ949" s="90"/>
      <c r="BK949" s="90"/>
      <c r="BL949" s="90"/>
      <c r="BM949" s="90"/>
      <c r="BN949" s="90"/>
    </row>
    <row r="950" ht="16.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</row>
    <row r="951" ht="16.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H951" s="90"/>
      <c r="BI951" s="90"/>
      <c r="BJ951" s="90"/>
      <c r="BK951" s="90"/>
      <c r="BL951" s="90"/>
      <c r="BM951" s="90"/>
      <c r="BN951" s="90"/>
    </row>
    <row r="952" ht="16.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</row>
    <row r="953" ht="16.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H953" s="90"/>
      <c r="BI953" s="90"/>
      <c r="BJ953" s="90"/>
      <c r="BK953" s="90"/>
      <c r="BL953" s="90"/>
      <c r="BM953" s="90"/>
      <c r="BN953" s="90"/>
    </row>
    <row r="954" ht="16.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</row>
    <row r="955" ht="16.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H955" s="90"/>
      <c r="BI955" s="90"/>
      <c r="BJ955" s="90"/>
      <c r="BK955" s="90"/>
      <c r="BL955" s="90"/>
      <c r="BM955" s="90"/>
      <c r="BN955" s="90"/>
    </row>
    <row r="956" ht="16.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</row>
    <row r="957" ht="16.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H957" s="90"/>
      <c r="BI957" s="90"/>
      <c r="BJ957" s="90"/>
      <c r="BK957" s="90"/>
      <c r="BL957" s="90"/>
      <c r="BM957" s="90"/>
      <c r="BN957" s="90"/>
    </row>
    <row r="958" ht="16.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H958" s="90"/>
      <c r="BI958" s="90"/>
      <c r="BJ958" s="90"/>
      <c r="BK958" s="90"/>
      <c r="BL958" s="90"/>
      <c r="BM958" s="90"/>
      <c r="BN958" s="90"/>
    </row>
    <row r="959" ht="16.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H959" s="90"/>
      <c r="BI959" s="90"/>
      <c r="BJ959" s="90"/>
      <c r="BK959" s="90"/>
      <c r="BL959" s="90"/>
      <c r="BM959" s="90"/>
      <c r="BN959" s="90"/>
    </row>
    <row r="960" ht="16.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H960" s="90"/>
      <c r="BI960" s="90"/>
      <c r="BJ960" s="90"/>
      <c r="BK960" s="90"/>
      <c r="BL960" s="90"/>
      <c r="BM960" s="90"/>
      <c r="BN960" s="90"/>
    </row>
    <row r="961" ht="16.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H961" s="90"/>
      <c r="BI961" s="90"/>
      <c r="BJ961" s="90"/>
      <c r="BK961" s="90"/>
      <c r="BL961" s="90"/>
      <c r="BM961" s="90"/>
      <c r="BN961" s="90"/>
    </row>
    <row r="962" ht="16.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H962" s="90"/>
      <c r="BI962" s="90"/>
      <c r="BJ962" s="90"/>
      <c r="BK962" s="90"/>
      <c r="BL962" s="90"/>
      <c r="BM962" s="90"/>
      <c r="BN962" s="90"/>
    </row>
    <row r="963" ht="16.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H963" s="90"/>
      <c r="BI963" s="90"/>
      <c r="BJ963" s="90"/>
      <c r="BK963" s="90"/>
      <c r="BL963" s="90"/>
      <c r="BM963" s="90"/>
      <c r="BN963" s="90"/>
    </row>
    <row r="964" ht="16.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H964" s="90"/>
      <c r="BI964" s="90"/>
      <c r="BJ964" s="90"/>
      <c r="BK964" s="90"/>
      <c r="BL964" s="90"/>
      <c r="BM964" s="90"/>
      <c r="BN964" s="90"/>
    </row>
    <row r="965" ht="16.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H965" s="90"/>
      <c r="BI965" s="90"/>
      <c r="BJ965" s="90"/>
      <c r="BK965" s="90"/>
      <c r="BL965" s="90"/>
      <c r="BM965" s="90"/>
      <c r="BN965" s="90"/>
    </row>
    <row r="966" ht="16.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H966" s="90"/>
      <c r="BI966" s="90"/>
      <c r="BJ966" s="90"/>
      <c r="BK966" s="90"/>
      <c r="BL966" s="90"/>
      <c r="BM966" s="90"/>
      <c r="BN966" s="90"/>
    </row>
    <row r="967" ht="16.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H967" s="90"/>
      <c r="BI967" s="90"/>
      <c r="BJ967" s="90"/>
      <c r="BK967" s="90"/>
      <c r="BL967" s="90"/>
      <c r="BM967" s="90"/>
      <c r="BN967" s="90"/>
    </row>
    <row r="968" ht="16.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H968" s="90"/>
      <c r="BI968" s="90"/>
      <c r="BJ968" s="90"/>
      <c r="BK968" s="90"/>
      <c r="BL968" s="90"/>
      <c r="BM968" s="90"/>
      <c r="BN968" s="90"/>
    </row>
    <row r="969" ht="16.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H969" s="90"/>
      <c r="BI969" s="90"/>
      <c r="BJ969" s="90"/>
      <c r="BK969" s="90"/>
      <c r="BL969" s="90"/>
      <c r="BM969" s="90"/>
      <c r="BN969" s="90"/>
    </row>
    <row r="970" ht="16.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H970" s="90"/>
      <c r="BI970" s="90"/>
      <c r="BJ970" s="90"/>
      <c r="BK970" s="90"/>
      <c r="BL970" s="90"/>
      <c r="BM970" s="90"/>
      <c r="BN970" s="90"/>
    </row>
    <row r="971" ht="16.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H971" s="90"/>
      <c r="BI971" s="90"/>
      <c r="BJ971" s="90"/>
      <c r="BK971" s="90"/>
      <c r="BL971" s="90"/>
      <c r="BM971" s="90"/>
      <c r="BN971" s="90"/>
    </row>
    <row r="972" ht="16.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H972" s="90"/>
      <c r="BI972" s="90"/>
      <c r="BJ972" s="90"/>
      <c r="BK972" s="90"/>
      <c r="BL972" s="90"/>
      <c r="BM972" s="90"/>
      <c r="BN972" s="90"/>
    </row>
    <row r="973" ht="16.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H973" s="90"/>
      <c r="BI973" s="90"/>
      <c r="BJ973" s="90"/>
      <c r="BK973" s="90"/>
      <c r="BL973" s="90"/>
      <c r="BM973" s="90"/>
      <c r="BN973" s="90"/>
    </row>
    <row r="974" ht="16.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H974" s="90"/>
      <c r="BI974" s="90"/>
      <c r="BJ974" s="90"/>
      <c r="BK974" s="90"/>
      <c r="BL974" s="90"/>
      <c r="BM974" s="90"/>
      <c r="BN974" s="90"/>
    </row>
    <row r="975" ht="16.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H975" s="90"/>
      <c r="BI975" s="90"/>
      <c r="BJ975" s="90"/>
      <c r="BK975" s="90"/>
      <c r="BL975" s="90"/>
      <c r="BM975" s="90"/>
      <c r="BN975" s="90"/>
    </row>
    <row r="976" ht="16.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H976" s="90"/>
      <c r="BI976" s="90"/>
      <c r="BJ976" s="90"/>
      <c r="BK976" s="90"/>
      <c r="BL976" s="90"/>
      <c r="BM976" s="90"/>
      <c r="BN976" s="90"/>
    </row>
    <row r="977" ht="16.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H977" s="90"/>
      <c r="BI977" s="90"/>
      <c r="BJ977" s="90"/>
      <c r="BK977" s="90"/>
      <c r="BL977" s="90"/>
      <c r="BM977" s="90"/>
      <c r="BN977" s="90"/>
    </row>
    <row r="978" ht="16.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H978" s="90"/>
      <c r="BI978" s="90"/>
      <c r="BJ978" s="90"/>
      <c r="BK978" s="90"/>
      <c r="BL978" s="90"/>
      <c r="BM978" s="90"/>
      <c r="BN978" s="90"/>
    </row>
    <row r="979" ht="16.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H979" s="90"/>
      <c r="BI979" s="90"/>
      <c r="BJ979" s="90"/>
      <c r="BK979" s="90"/>
      <c r="BL979" s="90"/>
      <c r="BM979" s="90"/>
      <c r="BN979" s="90"/>
    </row>
    <row r="980" ht="16.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H980" s="90"/>
      <c r="BI980" s="90"/>
      <c r="BJ980" s="90"/>
      <c r="BK980" s="90"/>
      <c r="BL980" s="90"/>
      <c r="BM980" s="90"/>
      <c r="BN980" s="90"/>
    </row>
    <row r="981" ht="16.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H981" s="90"/>
      <c r="BI981" s="90"/>
      <c r="BJ981" s="90"/>
      <c r="BK981" s="90"/>
      <c r="BL981" s="90"/>
      <c r="BM981" s="90"/>
      <c r="BN981" s="90"/>
    </row>
    <row r="982" ht="16.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H982" s="90"/>
      <c r="BI982" s="90"/>
      <c r="BJ982" s="90"/>
      <c r="BK982" s="90"/>
      <c r="BL982" s="90"/>
      <c r="BM982" s="90"/>
      <c r="BN982" s="90"/>
    </row>
    <row r="983" ht="16.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H983" s="90"/>
      <c r="BI983" s="90"/>
      <c r="BJ983" s="90"/>
      <c r="BK983" s="90"/>
      <c r="BL983" s="90"/>
      <c r="BM983" s="90"/>
      <c r="BN983" s="90"/>
    </row>
    <row r="984" ht="16.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  <c r="AT984" s="90"/>
      <c r="AU984" s="90"/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H984" s="90"/>
      <c r="BI984" s="90"/>
      <c r="BJ984" s="90"/>
      <c r="BK984" s="90"/>
      <c r="BL984" s="90"/>
      <c r="BM984" s="90"/>
      <c r="BN984" s="90"/>
    </row>
    <row r="985" ht="16.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  <c r="AT985" s="90"/>
      <c r="AU985" s="90"/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H985" s="90"/>
      <c r="BI985" s="90"/>
      <c r="BJ985" s="90"/>
      <c r="BK985" s="90"/>
      <c r="BL985" s="90"/>
      <c r="BM985" s="90"/>
      <c r="BN985" s="90"/>
    </row>
    <row r="986" ht="16.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0"/>
      <c r="AR986" s="90"/>
      <c r="AS986" s="90"/>
      <c r="AT986" s="90"/>
      <c r="AU986" s="90"/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H986" s="90"/>
      <c r="BI986" s="90"/>
      <c r="BJ986" s="90"/>
      <c r="BK986" s="90"/>
      <c r="BL986" s="90"/>
      <c r="BM986" s="90"/>
      <c r="BN986" s="90"/>
    </row>
    <row r="987" ht="16.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0"/>
      <c r="AR987" s="90"/>
      <c r="AS987" s="90"/>
      <c r="AT987" s="90"/>
      <c r="AU987" s="90"/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H987" s="90"/>
      <c r="BI987" s="90"/>
      <c r="BJ987" s="90"/>
      <c r="BK987" s="90"/>
      <c r="BL987" s="90"/>
      <c r="BM987" s="90"/>
      <c r="BN987" s="90"/>
    </row>
    <row r="988" ht="16.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0"/>
      <c r="AR988" s="90"/>
      <c r="AS988" s="90"/>
      <c r="AT988" s="90"/>
      <c r="AU988" s="90"/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H988" s="90"/>
      <c r="BI988" s="90"/>
      <c r="BJ988" s="90"/>
      <c r="BK988" s="90"/>
      <c r="BL988" s="90"/>
      <c r="BM988" s="90"/>
      <c r="BN988" s="90"/>
    </row>
    <row r="989" ht="16.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  <c r="AQ989" s="90"/>
      <c r="AR989" s="90"/>
      <c r="AS989" s="90"/>
      <c r="AT989" s="90"/>
      <c r="AU989" s="90"/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H989" s="90"/>
      <c r="BI989" s="90"/>
      <c r="BJ989" s="90"/>
      <c r="BK989" s="90"/>
      <c r="BL989" s="90"/>
      <c r="BM989" s="90"/>
      <c r="BN989" s="90"/>
    </row>
    <row r="990" ht="16.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  <c r="AQ990" s="90"/>
      <c r="AR990" s="90"/>
      <c r="AS990" s="90"/>
      <c r="AT990" s="90"/>
      <c r="AU990" s="90"/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H990" s="90"/>
      <c r="BI990" s="90"/>
      <c r="BJ990" s="90"/>
      <c r="BK990" s="90"/>
      <c r="BL990" s="90"/>
      <c r="BM990" s="90"/>
      <c r="BN990" s="90"/>
    </row>
    <row r="991" ht="16.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H991" s="90"/>
      <c r="BI991" s="90"/>
      <c r="BJ991" s="90"/>
      <c r="BK991" s="90"/>
      <c r="BL991" s="90"/>
      <c r="BM991" s="90"/>
      <c r="BN991" s="90"/>
    </row>
    <row r="992" ht="16.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  <c r="AQ992" s="90"/>
      <c r="AR992" s="90"/>
      <c r="AS992" s="90"/>
      <c r="AT992" s="90"/>
      <c r="AU992" s="90"/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H992" s="90"/>
      <c r="BI992" s="90"/>
      <c r="BJ992" s="90"/>
      <c r="BK992" s="90"/>
      <c r="BL992" s="90"/>
      <c r="BM992" s="90"/>
      <c r="BN992" s="90"/>
    </row>
    <row r="993" ht="16.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  <c r="AQ993" s="90"/>
      <c r="AR993" s="90"/>
      <c r="AS993" s="90"/>
      <c r="AT993" s="90"/>
      <c r="AU993" s="90"/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H993" s="90"/>
      <c r="BI993" s="90"/>
      <c r="BJ993" s="90"/>
      <c r="BK993" s="90"/>
      <c r="BL993" s="90"/>
      <c r="BM993" s="90"/>
      <c r="BN993" s="90"/>
    </row>
    <row r="994" ht="16.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0"/>
      <c r="AJ994" s="90"/>
      <c r="AK994" s="90"/>
      <c r="AL994" s="90"/>
      <c r="AM994" s="90"/>
      <c r="AN994" s="90"/>
      <c r="AO994" s="90"/>
      <c r="AP994" s="90"/>
      <c r="AQ994" s="90"/>
      <c r="AR994" s="90"/>
      <c r="AS994" s="90"/>
      <c r="AT994" s="90"/>
      <c r="AU994" s="90"/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H994" s="90"/>
      <c r="BI994" s="90"/>
      <c r="BJ994" s="90"/>
      <c r="BK994" s="90"/>
      <c r="BL994" s="90"/>
      <c r="BM994" s="90"/>
      <c r="BN994" s="90"/>
    </row>
    <row r="995" ht="16.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0"/>
      <c r="AJ995" s="90"/>
      <c r="AK995" s="90"/>
      <c r="AL995" s="90"/>
      <c r="AM995" s="90"/>
      <c r="AN995" s="90"/>
      <c r="AO995" s="90"/>
      <c r="AP995" s="90"/>
      <c r="AQ995" s="90"/>
      <c r="AR995" s="90"/>
      <c r="AS995" s="90"/>
      <c r="AT995" s="90"/>
      <c r="AU995" s="90"/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H995" s="90"/>
      <c r="BI995" s="90"/>
      <c r="BJ995" s="90"/>
      <c r="BK995" s="90"/>
      <c r="BL995" s="90"/>
      <c r="BM995" s="90"/>
      <c r="BN995" s="90"/>
    </row>
    <row r="996" ht="16.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0"/>
      <c r="AJ996" s="90"/>
      <c r="AK996" s="90"/>
      <c r="AL996" s="90"/>
      <c r="AM996" s="90"/>
      <c r="AN996" s="90"/>
      <c r="AO996" s="90"/>
      <c r="AP996" s="90"/>
      <c r="AQ996" s="90"/>
      <c r="AR996" s="90"/>
      <c r="AS996" s="90"/>
      <c r="AT996" s="90"/>
      <c r="AU996" s="90"/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H996" s="90"/>
      <c r="BI996" s="90"/>
      <c r="BJ996" s="90"/>
      <c r="BK996" s="90"/>
      <c r="BL996" s="90"/>
      <c r="BM996" s="90"/>
      <c r="BN996" s="90"/>
    </row>
    <row r="997" ht="16.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0"/>
      <c r="AJ997" s="90"/>
      <c r="AK997" s="90"/>
      <c r="AL997" s="90"/>
      <c r="AM997" s="90"/>
      <c r="AN997" s="90"/>
      <c r="AO997" s="90"/>
      <c r="AP997" s="90"/>
      <c r="AQ997" s="90"/>
      <c r="AR997" s="90"/>
      <c r="AS997" s="90"/>
      <c r="AT997" s="90"/>
      <c r="AU997" s="90"/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H997" s="90"/>
      <c r="BI997" s="90"/>
      <c r="BJ997" s="90"/>
      <c r="BK997" s="90"/>
      <c r="BL997" s="90"/>
      <c r="BM997" s="90"/>
      <c r="BN997" s="90"/>
    </row>
    <row r="998" ht="16.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0"/>
      <c r="AJ998" s="90"/>
      <c r="AK998" s="90"/>
      <c r="AL998" s="90"/>
      <c r="AM998" s="90"/>
      <c r="AN998" s="90"/>
      <c r="AO998" s="90"/>
      <c r="AP998" s="90"/>
      <c r="AQ998" s="90"/>
      <c r="AR998" s="90"/>
      <c r="AS998" s="90"/>
      <c r="AT998" s="90"/>
      <c r="AU998" s="90"/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H998" s="90"/>
      <c r="BI998" s="90"/>
      <c r="BJ998" s="90"/>
      <c r="BK998" s="90"/>
      <c r="BL998" s="90"/>
      <c r="BM998" s="90"/>
      <c r="BN998" s="90"/>
    </row>
    <row r="999" ht="16.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0"/>
      <c r="AJ999" s="90"/>
      <c r="AK999" s="90"/>
      <c r="AL999" s="90"/>
      <c r="AM999" s="90"/>
      <c r="AN999" s="90"/>
      <c r="AO999" s="90"/>
      <c r="AP999" s="90"/>
      <c r="AQ999" s="90"/>
      <c r="AR999" s="90"/>
      <c r="AS999" s="90"/>
      <c r="AT999" s="90"/>
      <c r="AU999" s="90"/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H999" s="90"/>
      <c r="BI999" s="90"/>
      <c r="BJ999" s="90"/>
      <c r="BK999" s="90"/>
      <c r="BL999" s="90"/>
      <c r="BM999" s="90"/>
      <c r="BN999" s="90"/>
    </row>
    <row r="1000" ht="16.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  <c r="AE1000" s="90"/>
      <c r="AF1000" s="90"/>
      <c r="AG1000" s="90"/>
      <c r="AH1000" s="90"/>
      <c r="AI1000" s="90"/>
      <c r="AJ1000" s="90"/>
      <c r="AK1000" s="90"/>
      <c r="AL1000" s="90"/>
      <c r="AM1000" s="90"/>
      <c r="AN1000" s="90"/>
      <c r="AO1000" s="90"/>
      <c r="AP1000" s="90"/>
      <c r="AQ1000" s="90"/>
      <c r="AR1000" s="90"/>
      <c r="AS1000" s="90"/>
      <c r="AT1000" s="90"/>
      <c r="AU1000" s="90"/>
      <c r="AV1000" s="90"/>
      <c r="AW1000" s="90"/>
      <c r="AX1000" s="90"/>
      <c r="AY1000" s="90"/>
      <c r="AZ1000" s="90"/>
      <c r="BA1000" s="90"/>
      <c r="BB1000" s="90"/>
      <c r="BC1000" s="90"/>
      <c r="BD1000" s="90"/>
      <c r="BE1000" s="90"/>
      <c r="BF1000" s="90"/>
      <c r="BG1000" s="90"/>
      <c r="BH1000" s="90"/>
      <c r="BI1000" s="90"/>
      <c r="BJ1000" s="90"/>
      <c r="BK1000" s="90"/>
      <c r="BL1000" s="90"/>
      <c r="BM1000" s="90"/>
      <c r="BN1000" s="90"/>
    </row>
    <row r="1001" ht="16.5" customHeight="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  <c r="AC1001" s="90"/>
      <c r="AD1001" s="90"/>
      <c r="AE1001" s="90"/>
      <c r="AF1001" s="90"/>
      <c r="AG1001" s="90"/>
      <c r="AH1001" s="90"/>
      <c r="AI1001" s="90"/>
      <c r="AJ1001" s="90"/>
      <c r="AK1001" s="90"/>
      <c r="AL1001" s="90"/>
      <c r="AM1001" s="90"/>
      <c r="AN1001" s="90"/>
      <c r="AO1001" s="90"/>
      <c r="AP1001" s="90"/>
      <c r="AQ1001" s="90"/>
      <c r="AR1001" s="90"/>
      <c r="AS1001" s="90"/>
      <c r="AT1001" s="90"/>
      <c r="AU1001" s="90"/>
      <c r="AV1001" s="90"/>
      <c r="AW1001" s="90"/>
      <c r="AX1001" s="90"/>
      <c r="AY1001" s="90"/>
      <c r="AZ1001" s="90"/>
      <c r="BA1001" s="90"/>
      <c r="BB1001" s="90"/>
      <c r="BC1001" s="90"/>
      <c r="BD1001" s="90"/>
      <c r="BE1001" s="90"/>
      <c r="BF1001" s="90"/>
      <c r="BG1001" s="90"/>
      <c r="BH1001" s="90"/>
      <c r="BI1001" s="90"/>
      <c r="BJ1001" s="90"/>
      <c r="BK1001" s="90"/>
      <c r="BL1001" s="90"/>
      <c r="BM1001" s="90"/>
      <c r="BN1001" s="90"/>
    </row>
    <row r="1002" ht="16.5" customHeight="1">
      <c r="A1002" s="90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  <c r="AA1002" s="90"/>
      <c r="AB1002" s="90"/>
      <c r="AC1002" s="90"/>
      <c r="AD1002" s="90"/>
      <c r="AE1002" s="90"/>
      <c r="AF1002" s="90"/>
      <c r="AG1002" s="90"/>
      <c r="AH1002" s="90"/>
      <c r="AI1002" s="90"/>
      <c r="AJ1002" s="90"/>
      <c r="AK1002" s="90"/>
      <c r="AL1002" s="90"/>
      <c r="AM1002" s="90"/>
      <c r="AN1002" s="90"/>
      <c r="AO1002" s="90"/>
      <c r="AP1002" s="90"/>
      <c r="AQ1002" s="90"/>
      <c r="AR1002" s="90"/>
      <c r="AS1002" s="90"/>
      <c r="AT1002" s="90"/>
      <c r="AU1002" s="90"/>
      <c r="AV1002" s="90"/>
      <c r="AW1002" s="90"/>
      <c r="AX1002" s="90"/>
      <c r="AY1002" s="90"/>
      <c r="AZ1002" s="90"/>
      <c r="BA1002" s="90"/>
      <c r="BB1002" s="90"/>
      <c r="BC1002" s="90"/>
      <c r="BD1002" s="90"/>
      <c r="BE1002" s="90"/>
      <c r="BF1002" s="90"/>
      <c r="BG1002" s="90"/>
      <c r="BH1002" s="90"/>
      <c r="BI1002" s="90"/>
      <c r="BJ1002" s="90"/>
      <c r="BK1002" s="90"/>
      <c r="BL1002" s="90"/>
      <c r="BM1002" s="90"/>
      <c r="BN1002" s="90"/>
    </row>
  </sheetData>
  <autoFilter ref="$A$2:$AW$84"/>
  <customSheetViews>
    <customSheetView guid="{54F8CE8E-2557-445F-84FF-C9618C825AB6}" filter="1" showAutoFilter="1">
      <autoFilter ref="$A$2:$AH$78"/>
    </customSheetView>
  </customSheetViews>
  <mergeCells count="1">
    <mergeCell ref="A85:B85"/>
  </mergeCells>
  <conditionalFormatting sqref="E3:BN78">
    <cfRule type="containsText" dxfId="4" priority="1" operator="containsText" text="DISPONIBLE">
      <formula>NOT(ISERROR(SEARCH(("DISPONIBLE"),(E3))))</formula>
    </cfRule>
  </conditionalFormatting>
  <conditionalFormatting sqref="E3:BN78">
    <cfRule type="containsText" dxfId="5" priority="2" operator="containsText" text="ASISTE TENIS">
      <formula>NOT(ISERROR(SEARCH(("ASISTE TENIS"),(E3))))</formula>
    </cfRule>
  </conditionalFormatting>
  <conditionalFormatting sqref="E3:BN78">
    <cfRule type="containsText" dxfId="6" priority="3" operator="containsText" text="ASISTE GOLF">
      <formula>NOT(ISERROR(SEARCH(("ASISTE GOLF"),(E3))))</formula>
    </cfRule>
  </conditionalFormatting>
  <conditionalFormatting sqref="E1:N78 AW5 AE6:AE7 AG7 AH8:AI8 AU27 AW27 AW34:AW35 AE43 AU47:AV51 AT63 AW63 AM68:AP68 AT68 AR73:AV73">
    <cfRule type="containsText" dxfId="7" priority="4" operator="containsText" text="ESTUDIA">
      <formula>NOT(ISERROR(SEARCH(("ESTUDIA"),(E1))))</formula>
    </cfRule>
  </conditionalFormatting>
  <conditionalFormatting sqref="E3:BN78">
    <cfRule type="containsText" dxfId="8" priority="5" operator="containsText" text="JUGADOR">
      <formula>NOT(ISERROR(SEARCH(("JUGADOR"),(E3))))</formula>
    </cfRule>
  </conditionalFormatting>
  <conditionalFormatting sqref="A1:BN1002">
    <cfRule type="containsText" dxfId="9" priority="6" operator="containsText" text="APOYO TORNEO">
      <formula>NOT(ISERROR(SEARCH(("APOYO TORNEO"),(A1))))</formula>
    </cfRule>
  </conditionalFormatting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1"/>
    <hyperlink r:id="rId57" ref="A62"/>
    <hyperlink r:id="rId58" ref="A64"/>
    <hyperlink r:id="rId59" ref="A65"/>
    <hyperlink r:id="rId60" ref="A66"/>
    <hyperlink r:id="rId61" ref="A67"/>
    <hyperlink r:id="rId62" ref="A68"/>
    <hyperlink r:id="rId63" ref="A69"/>
    <hyperlink r:id="rId64" ref="A70"/>
    <hyperlink r:id="rId65" ref="A71"/>
    <hyperlink r:id="rId66" ref="A72"/>
    <hyperlink r:id="rId67" ref="A73"/>
    <hyperlink r:id="rId68" ref="A74"/>
    <hyperlink r:id="rId69" ref="A75"/>
    <hyperlink r:id="rId70" ref="A77"/>
    <hyperlink r:id="rId71" ref="A78"/>
  </hyperlinks>
  <drawing r:id="rId72"/>
  <tableParts count="1">
    <tablePart r:id="rId7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88"/>
    <col customWidth="1" min="2" max="2" width="24.25"/>
    <col customWidth="1" min="3" max="3" width="7.88"/>
    <col customWidth="1" min="4" max="4" width="14.0"/>
    <col customWidth="1" hidden="1" min="5" max="5" width="10.5"/>
    <col customWidth="1" hidden="1" min="6" max="13" width="8.88"/>
    <col customWidth="1" hidden="1" min="14" max="14" width="8.25"/>
    <col customWidth="1" hidden="1" min="15" max="20" width="8.63"/>
    <col customWidth="1" hidden="1" min="21" max="21" width="8.25"/>
    <col customWidth="1" hidden="1" min="22" max="45" width="7.88"/>
    <col customWidth="1" min="46" max="55" width="7.88"/>
    <col customWidth="1" hidden="1" min="56" max="72" width="7.88"/>
    <col customWidth="1" min="73" max="82" width="7.88"/>
    <col customWidth="1" min="83" max="83" width="8.75"/>
    <col customWidth="1" min="84" max="101" width="7.88"/>
  </cols>
  <sheetData>
    <row r="1" ht="16.5" customHeight="1">
      <c r="A1" s="1"/>
      <c r="B1" s="3"/>
      <c r="C1" s="5"/>
      <c r="D1" s="3"/>
      <c r="E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</row>
    <row r="2" ht="17.25" customHeight="1">
      <c r="A2" s="1"/>
      <c r="B2" s="2"/>
      <c r="C2" s="4" t="s">
        <v>0</v>
      </c>
      <c r="D2" s="5" t="s">
        <v>26</v>
      </c>
      <c r="E2" s="6" t="s">
        <v>2</v>
      </c>
      <c r="F2" s="8" t="s">
        <v>3</v>
      </c>
      <c r="G2" s="6" t="s">
        <v>27</v>
      </c>
      <c r="H2" s="8" t="s">
        <v>28</v>
      </c>
      <c r="I2" s="6" t="s">
        <v>29</v>
      </c>
      <c r="J2" s="8" t="s">
        <v>30</v>
      </c>
      <c r="K2" s="6" t="s">
        <v>31</v>
      </c>
      <c r="L2" s="8" t="s">
        <v>32</v>
      </c>
      <c r="M2" s="6" t="s">
        <v>33</v>
      </c>
      <c r="N2" s="8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6" t="s">
        <v>47</v>
      </c>
      <c r="AB2" s="6" t="s">
        <v>12</v>
      </c>
      <c r="AC2" s="6" t="s">
        <v>13</v>
      </c>
      <c r="AD2" s="6" t="s">
        <v>14</v>
      </c>
      <c r="AE2" s="6" t="s">
        <v>15</v>
      </c>
      <c r="AF2" s="9">
        <v>46187.0</v>
      </c>
      <c r="AG2" s="6" t="s">
        <v>16</v>
      </c>
      <c r="AH2" s="6" t="s">
        <v>17</v>
      </c>
      <c r="AI2" s="9">
        <v>46194.0</v>
      </c>
      <c r="AJ2" s="6" t="s">
        <v>18</v>
      </c>
      <c r="AK2" s="9">
        <v>46201.0</v>
      </c>
      <c r="AL2" s="9">
        <v>46202.0</v>
      </c>
      <c r="AM2" s="6" t="s">
        <v>20</v>
      </c>
      <c r="AN2" s="9">
        <v>46208.0</v>
      </c>
      <c r="AO2" s="6" t="s">
        <v>21</v>
      </c>
      <c r="AP2" s="9">
        <v>46215.0</v>
      </c>
      <c r="AQ2" s="6" t="s">
        <v>22</v>
      </c>
      <c r="AR2" s="9">
        <v>46222.0</v>
      </c>
      <c r="AS2" s="9">
        <v>46223.0</v>
      </c>
      <c r="AT2" s="6" t="s">
        <v>2</v>
      </c>
      <c r="AU2" s="8" t="s">
        <v>3</v>
      </c>
      <c r="AV2" s="6" t="s">
        <v>27</v>
      </c>
      <c r="AW2" s="8" t="s">
        <v>28</v>
      </c>
      <c r="AX2" s="6" t="s">
        <v>29</v>
      </c>
      <c r="AY2" s="8" t="s">
        <v>30</v>
      </c>
      <c r="AZ2" s="6" t="s">
        <v>31</v>
      </c>
      <c r="BA2" s="8" t="s">
        <v>32</v>
      </c>
      <c r="BB2" s="6" t="s">
        <v>33</v>
      </c>
      <c r="BC2" s="8" t="s">
        <v>34</v>
      </c>
      <c r="BD2" s="6" t="s">
        <v>56</v>
      </c>
      <c r="BE2" s="12" t="s">
        <v>57</v>
      </c>
      <c r="BF2" s="12" t="s">
        <v>58</v>
      </c>
      <c r="BG2" s="12" t="s">
        <v>59</v>
      </c>
      <c r="BH2" s="12" t="s">
        <v>60</v>
      </c>
      <c r="BI2" s="12" t="s">
        <v>61</v>
      </c>
      <c r="BJ2" s="12" t="s">
        <v>62</v>
      </c>
      <c r="BK2" s="12" t="s">
        <v>63</v>
      </c>
      <c r="BL2" s="12" t="s">
        <v>64</v>
      </c>
      <c r="BM2" s="12" t="s">
        <v>65</v>
      </c>
      <c r="BN2" s="12" t="s">
        <v>66</v>
      </c>
      <c r="BO2" s="12" t="s">
        <v>68</v>
      </c>
      <c r="BP2" s="12" t="s">
        <v>69</v>
      </c>
      <c r="BQ2" s="12" t="s">
        <v>70</v>
      </c>
      <c r="BR2" s="12" t="s">
        <v>71</v>
      </c>
      <c r="BS2" s="12" t="s">
        <v>72</v>
      </c>
      <c r="BT2" s="12" t="s">
        <v>73</v>
      </c>
      <c r="BU2" s="12" t="s">
        <v>74</v>
      </c>
      <c r="BV2" s="12" t="s">
        <v>75</v>
      </c>
      <c r="BW2" s="12" t="s">
        <v>76</v>
      </c>
      <c r="BX2" s="12" t="s">
        <v>77</v>
      </c>
      <c r="BY2" s="12" t="s">
        <v>78</v>
      </c>
      <c r="BZ2" s="12" t="s">
        <v>79</v>
      </c>
      <c r="CA2" s="12" t="s">
        <v>80</v>
      </c>
      <c r="CB2" s="12" t="s">
        <v>81</v>
      </c>
      <c r="CC2" s="12" t="s">
        <v>82</v>
      </c>
      <c r="CD2" s="12" t="s">
        <v>83</v>
      </c>
      <c r="CE2" s="12" t="s">
        <v>84</v>
      </c>
      <c r="CF2" s="12" t="s">
        <v>85</v>
      </c>
      <c r="CG2" s="12" t="s">
        <v>86</v>
      </c>
      <c r="CH2" s="12" t="s">
        <v>87</v>
      </c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</row>
    <row r="3" ht="16.5" customHeight="1">
      <c r="A3" s="28"/>
      <c r="B3" s="17"/>
      <c r="C3" s="16"/>
      <c r="D3" s="17"/>
      <c r="E3" s="22"/>
      <c r="F3" s="17" t="s">
        <v>50</v>
      </c>
      <c r="G3" s="22"/>
      <c r="H3" s="29" t="s">
        <v>51</v>
      </c>
      <c r="I3" s="22"/>
      <c r="J3" s="29" t="s">
        <v>51</v>
      </c>
      <c r="K3" s="22"/>
      <c r="L3" s="29" t="s">
        <v>51</v>
      </c>
      <c r="M3" s="22"/>
      <c r="N3" s="22"/>
      <c r="O3" s="17" t="s">
        <v>50</v>
      </c>
      <c r="P3" s="17" t="s">
        <v>50</v>
      </c>
      <c r="Q3" s="29" t="s">
        <v>51</v>
      </c>
      <c r="R3" s="29" t="s">
        <v>51</v>
      </c>
      <c r="S3" s="17" t="s">
        <v>50</v>
      </c>
      <c r="T3" s="17" t="s">
        <v>50</v>
      </c>
      <c r="U3" s="17" t="s">
        <v>51</v>
      </c>
      <c r="V3" s="17" t="s">
        <v>51</v>
      </c>
      <c r="W3" s="17" t="s">
        <v>50</v>
      </c>
      <c r="X3" s="17" t="s">
        <v>50</v>
      </c>
      <c r="Y3" s="17" t="s">
        <v>51</v>
      </c>
      <c r="Z3" s="17" t="s">
        <v>50</v>
      </c>
      <c r="AA3" s="17" t="s">
        <v>50</v>
      </c>
      <c r="AB3" s="17" t="s">
        <v>50</v>
      </c>
      <c r="AC3" s="17" t="s">
        <v>50</v>
      </c>
      <c r="AD3" s="17" t="s">
        <v>51</v>
      </c>
      <c r="AE3" s="17" t="s">
        <v>50</v>
      </c>
      <c r="AF3" s="17" t="s">
        <v>50</v>
      </c>
      <c r="AG3" s="17" t="s">
        <v>50</v>
      </c>
      <c r="AH3" s="17" t="s">
        <v>51</v>
      </c>
      <c r="AI3" s="17" t="s">
        <v>51</v>
      </c>
      <c r="AJ3" s="17" t="s">
        <v>50</v>
      </c>
      <c r="AK3" s="17" t="s">
        <v>50</v>
      </c>
      <c r="AL3" s="17" t="s">
        <v>51</v>
      </c>
      <c r="AM3" s="17" t="s">
        <v>50</v>
      </c>
      <c r="AN3" s="17" t="s">
        <v>50</v>
      </c>
      <c r="AO3" s="17" t="s">
        <v>51</v>
      </c>
      <c r="AP3" s="17" t="s">
        <v>51</v>
      </c>
      <c r="AQ3" s="17" t="s">
        <v>50</v>
      </c>
      <c r="AR3" s="17" t="s">
        <v>50</v>
      </c>
      <c r="AS3" s="17" t="s">
        <v>51</v>
      </c>
      <c r="AT3" s="17"/>
      <c r="AU3" s="17"/>
      <c r="AV3" s="17"/>
      <c r="AW3" s="29"/>
      <c r="AX3" s="17"/>
      <c r="AY3" s="29"/>
      <c r="AZ3" s="17"/>
      <c r="BA3" s="29"/>
      <c r="BB3" s="17"/>
      <c r="BC3" s="17"/>
      <c r="BD3" s="17" t="s">
        <v>50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</row>
    <row r="4" ht="16.5" customHeight="1">
      <c r="A4" s="30" t="s">
        <v>105</v>
      </c>
      <c r="B4" s="18" t="s">
        <v>110</v>
      </c>
      <c r="C4" s="32">
        <v>1.011512703E9</v>
      </c>
      <c r="D4" s="18" t="s">
        <v>49</v>
      </c>
      <c r="E4" s="18" t="s">
        <v>50</v>
      </c>
      <c r="F4" s="22"/>
      <c r="G4" s="22"/>
      <c r="H4" s="17" t="s">
        <v>51</v>
      </c>
      <c r="I4" s="22"/>
      <c r="J4" s="17" t="s">
        <v>51</v>
      </c>
      <c r="K4" s="22"/>
      <c r="L4" s="17" t="s">
        <v>51</v>
      </c>
      <c r="M4" s="22"/>
      <c r="N4" s="22"/>
      <c r="O4" s="19" t="s">
        <v>51</v>
      </c>
      <c r="P4" s="18" t="s">
        <v>50</v>
      </c>
      <c r="Q4" s="18" t="s">
        <v>50</v>
      </c>
      <c r="R4" s="18" t="s">
        <v>50</v>
      </c>
      <c r="S4" s="20" t="s">
        <v>52</v>
      </c>
      <c r="T4" s="20" t="s">
        <v>52</v>
      </c>
      <c r="U4" s="18" t="s">
        <v>50</v>
      </c>
      <c r="V4" s="18" t="s">
        <v>50</v>
      </c>
      <c r="W4" s="18" t="s">
        <v>50</v>
      </c>
      <c r="X4" s="18" t="s">
        <v>51</v>
      </c>
      <c r="Y4" s="18" t="s">
        <v>50</v>
      </c>
      <c r="Z4" s="18" t="s">
        <v>51</v>
      </c>
      <c r="AA4" s="18" t="s">
        <v>51</v>
      </c>
      <c r="AB4" s="18" t="s">
        <v>50</v>
      </c>
      <c r="AC4" s="18" t="s">
        <v>50</v>
      </c>
      <c r="AD4" s="18" t="s">
        <v>50</v>
      </c>
      <c r="AE4" s="18" t="s">
        <v>51</v>
      </c>
      <c r="AF4" s="18" t="s">
        <v>51</v>
      </c>
      <c r="AG4" s="18" t="s">
        <v>51</v>
      </c>
      <c r="AH4" s="18" t="s">
        <v>50</v>
      </c>
      <c r="AI4" s="18" t="s">
        <v>50</v>
      </c>
      <c r="AJ4" s="18" t="s">
        <v>50</v>
      </c>
      <c r="AK4" s="18" t="s">
        <v>50</v>
      </c>
      <c r="AL4" s="18" t="s">
        <v>50</v>
      </c>
      <c r="AM4" s="17" t="s">
        <v>51</v>
      </c>
      <c r="AN4" s="17" t="s">
        <v>51</v>
      </c>
      <c r="AO4" s="17" t="s">
        <v>50</v>
      </c>
      <c r="AP4" s="17" t="s">
        <v>50</v>
      </c>
      <c r="AQ4" s="17" t="s">
        <v>51</v>
      </c>
      <c r="AR4" s="17" t="s">
        <v>51</v>
      </c>
      <c r="AS4" s="17" t="s">
        <v>50</v>
      </c>
      <c r="AT4" s="17" t="s">
        <v>111</v>
      </c>
      <c r="AU4" s="17" t="s">
        <v>51</v>
      </c>
      <c r="AV4" s="17" t="s">
        <v>51</v>
      </c>
      <c r="AW4" s="17" t="s">
        <v>111</v>
      </c>
      <c r="AX4" s="17" t="s">
        <v>111</v>
      </c>
      <c r="AY4" s="17" t="s">
        <v>111</v>
      </c>
      <c r="AZ4" s="17" t="s">
        <v>51</v>
      </c>
      <c r="BA4" s="17" t="s">
        <v>111</v>
      </c>
      <c r="BB4" s="17" t="s">
        <v>111</v>
      </c>
      <c r="BC4" s="17" t="s">
        <v>51</v>
      </c>
      <c r="BD4" s="17" t="s">
        <v>51</v>
      </c>
      <c r="BE4" s="17" t="s">
        <v>50</v>
      </c>
      <c r="BF4" s="17" t="s">
        <v>50</v>
      </c>
      <c r="BG4" s="17" t="s">
        <v>50</v>
      </c>
      <c r="BH4" s="17" t="s">
        <v>51</v>
      </c>
      <c r="BI4" s="17" t="s">
        <v>51</v>
      </c>
      <c r="BJ4" s="17" t="s">
        <v>51</v>
      </c>
      <c r="BK4" s="17" t="s">
        <v>50</v>
      </c>
      <c r="BL4" s="17" t="s">
        <v>50</v>
      </c>
      <c r="BM4" s="17" t="s">
        <v>50</v>
      </c>
      <c r="BN4" s="17" t="s">
        <v>50</v>
      </c>
      <c r="BO4" s="18" t="s">
        <v>51</v>
      </c>
      <c r="BP4" s="18" t="s">
        <v>51</v>
      </c>
      <c r="BQ4" s="17" t="s">
        <v>50</v>
      </c>
      <c r="BR4" s="17" t="s">
        <v>50</v>
      </c>
      <c r="BS4" s="18" t="s">
        <v>51</v>
      </c>
      <c r="BT4" s="18" t="s">
        <v>51</v>
      </c>
      <c r="BU4" s="17" t="s">
        <v>50</v>
      </c>
      <c r="BV4" s="17" t="s">
        <v>50</v>
      </c>
      <c r="BW4" s="17" t="s">
        <v>51</v>
      </c>
      <c r="BX4" s="17" t="s">
        <v>51</v>
      </c>
      <c r="BY4" s="17" t="s">
        <v>50</v>
      </c>
      <c r="BZ4" s="17" t="s">
        <v>50</v>
      </c>
      <c r="CA4" s="17" t="s">
        <v>50</v>
      </c>
      <c r="CB4" s="17" t="s">
        <v>51</v>
      </c>
      <c r="CC4" s="17" t="s">
        <v>51</v>
      </c>
      <c r="CD4" s="17" t="s">
        <v>50</v>
      </c>
      <c r="CE4" s="17" t="s">
        <v>50</v>
      </c>
      <c r="CF4" s="17" t="s">
        <v>51</v>
      </c>
      <c r="CG4" s="17" t="s">
        <v>51</v>
      </c>
      <c r="CH4" s="17" t="s">
        <v>51</v>
      </c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</row>
    <row r="5" ht="16.5" customHeight="1">
      <c r="A5" s="37" t="s">
        <v>121</v>
      </c>
      <c r="B5" s="18" t="s">
        <v>126</v>
      </c>
      <c r="C5" s="32">
        <v>1.034918501E9</v>
      </c>
      <c r="D5" s="18" t="s">
        <v>127</v>
      </c>
      <c r="E5" s="22"/>
      <c r="F5" s="19" t="s">
        <v>51</v>
      </c>
      <c r="G5" s="22"/>
      <c r="H5" s="19" t="s">
        <v>51</v>
      </c>
      <c r="I5" s="22"/>
      <c r="J5" s="19" t="s">
        <v>51</v>
      </c>
      <c r="K5" s="17" t="s">
        <v>51</v>
      </c>
      <c r="L5" s="19" t="s">
        <v>51</v>
      </c>
      <c r="M5" s="22"/>
      <c r="N5" s="19" t="s">
        <v>51</v>
      </c>
      <c r="O5" s="19" t="s">
        <v>51</v>
      </c>
      <c r="P5" s="18" t="s">
        <v>50</v>
      </c>
      <c r="Q5" s="18" t="s">
        <v>50</v>
      </c>
      <c r="R5" s="18" t="s">
        <v>50</v>
      </c>
      <c r="S5" s="18" t="s">
        <v>50</v>
      </c>
      <c r="T5" s="18" t="s">
        <v>50</v>
      </c>
      <c r="U5" s="18" t="s">
        <v>50</v>
      </c>
      <c r="V5" s="18" t="s">
        <v>50</v>
      </c>
      <c r="W5" s="18" t="s">
        <v>51</v>
      </c>
      <c r="X5" s="18" t="s">
        <v>50</v>
      </c>
      <c r="Y5" s="18" t="s">
        <v>50</v>
      </c>
      <c r="Z5" s="18" t="s">
        <v>51</v>
      </c>
      <c r="AA5" s="18" t="s">
        <v>51</v>
      </c>
      <c r="AB5" s="18" t="s">
        <v>50</v>
      </c>
      <c r="AC5" s="18" t="s">
        <v>50</v>
      </c>
      <c r="AD5" s="18" t="s">
        <v>50</v>
      </c>
      <c r="AE5" s="18" t="s">
        <v>51</v>
      </c>
      <c r="AF5" s="18" t="s">
        <v>51</v>
      </c>
      <c r="AG5" s="18" t="s">
        <v>50</v>
      </c>
      <c r="AH5" s="18" t="s">
        <v>50</v>
      </c>
      <c r="AI5" s="18" t="s">
        <v>50</v>
      </c>
      <c r="AJ5" s="18" t="s">
        <v>50</v>
      </c>
      <c r="AK5" s="18" t="s">
        <v>50</v>
      </c>
      <c r="AL5" s="18" t="s">
        <v>50</v>
      </c>
      <c r="AM5" s="17" t="s">
        <v>50</v>
      </c>
      <c r="AN5" s="17" t="s">
        <v>50</v>
      </c>
      <c r="AO5" s="17" t="s">
        <v>51</v>
      </c>
      <c r="AP5" s="17" t="s">
        <v>51</v>
      </c>
      <c r="AQ5" s="17" t="s">
        <v>50</v>
      </c>
      <c r="AR5" s="17" t="s">
        <v>50</v>
      </c>
      <c r="AS5" s="17" t="s">
        <v>51</v>
      </c>
      <c r="AT5" s="17" t="s">
        <v>111</v>
      </c>
      <c r="AU5" s="36" t="s">
        <v>125</v>
      </c>
      <c r="AV5" s="17" t="s">
        <v>111</v>
      </c>
      <c r="AW5" s="36" t="s">
        <v>125</v>
      </c>
      <c r="AX5" s="17" t="s">
        <v>111</v>
      </c>
      <c r="AY5" s="36" t="s">
        <v>125</v>
      </c>
      <c r="AZ5" s="17" t="s">
        <v>111</v>
      </c>
      <c r="BA5" s="36" t="s">
        <v>125</v>
      </c>
      <c r="BB5" s="17" t="s">
        <v>50</v>
      </c>
      <c r="BC5" s="36" t="s">
        <v>125</v>
      </c>
      <c r="BD5" s="17" t="s">
        <v>51</v>
      </c>
      <c r="BE5" s="17" t="s">
        <v>51</v>
      </c>
      <c r="BF5" s="36" t="s">
        <v>125</v>
      </c>
      <c r="BG5" s="17" t="s">
        <v>50</v>
      </c>
      <c r="BH5" s="36" t="s">
        <v>125</v>
      </c>
      <c r="BI5" s="17" t="s">
        <v>111</v>
      </c>
      <c r="BJ5" s="17" t="s">
        <v>50</v>
      </c>
      <c r="BK5" s="17" t="s">
        <v>50</v>
      </c>
      <c r="BL5" s="17" t="s">
        <v>50</v>
      </c>
      <c r="BM5" s="36" t="s">
        <v>125</v>
      </c>
      <c r="BN5" s="17" t="s">
        <v>111</v>
      </c>
      <c r="BO5" s="36" t="s">
        <v>125</v>
      </c>
      <c r="BP5" s="17" t="s">
        <v>111</v>
      </c>
      <c r="BQ5" s="36" t="s">
        <v>125</v>
      </c>
      <c r="BR5" s="17" t="s">
        <v>111</v>
      </c>
      <c r="BS5" s="36" t="s">
        <v>125</v>
      </c>
      <c r="BT5" s="17" t="s">
        <v>111</v>
      </c>
      <c r="BU5" s="36" t="s">
        <v>125</v>
      </c>
      <c r="BV5" s="17" t="s">
        <v>111</v>
      </c>
      <c r="BW5" s="36" t="s">
        <v>125</v>
      </c>
      <c r="BX5" s="17" t="s">
        <v>111</v>
      </c>
      <c r="BY5" s="36" t="s">
        <v>125</v>
      </c>
      <c r="BZ5" s="17" t="s">
        <v>111</v>
      </c>
      <c r="CA5" s="36" t="s">
        <v>125</v>
      </c>
      <c r="CB5" s="36" t="s">
        <v>125</v>
      </c>
      <c r="CC5" s="17" t="s">
        <v>111</v>
      </c>
      <c r="CD5" s="36" t="s">
        <v>125</v>
      </c>
      <c r="CE5" s="17" t="s">
        <v>111</v>
      </c>
      <c r="CF5" s="36" t="s">
        <v>125</v>
      </c>
      <c r="CG5" s="17" t="s">
        <v>111</v>
      </c>
      <c r="CH5" s="36" t="s">
        <v>125</v>
      </c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</row>
    <row r="6" ht="16.5" customHeight="1">
      <c r="A6" s="40" t="s">
        <v>134</v>
      </c>
      <c r="B6" s="18" t="s">
        <v>137</v>
      </c>
      <c r="C6" s="32">
        <v>1.020113476E9</v>
      </c>
      <c r="D6" s="18" t="s">
        <v>49</v>
      </c>
      <c r="E6" s="22"/>
      <c r="F6" s="22"/>
      <c r="G6" s="18" t="s">
        <v>50</v>
      </c>
      <c r="H6" s="20" t="s">
        <v>52</v>
      </c>
      <c r="I6" s="22"/>
      <c r="J6" s="22"/>
      <c r="K6" s="19" t="s">
        <v>51</v>
      </c>
      <c r="L6" s="22"/>
      <c r="M6" s="22"/>
      <c r="N6" s="22"/>
      <c r="O6" s="20" t="s">
        <v>52</v>
      </c>
      <c r="P6" s="18" t="s">
        <v>50</v>
      </c>
      <c r="Q6" s="36" t="s">
        <v>125</v>
      </c>
      <c r="R6" s="18" t="s">
        <v>50</v>
      </c>
      <c r="S6" s="19" t="s">
        <v>51</v>
      </c>
      <c r="T6" s="18" t="s">
        <v>50</v>
      </c>
      <c r="U6" s="36" t="s">
        <v>125</v>
      </c>
      <c r="V6" s="18" t="s">
        <v>50</v>
      </c>
      <c r="W6" s="18" t="s">
        <v>50</v>
      </c>
      <c r="X6" s="36" t="s">
        <v>125</v>
      </c>
      <c r="Y6" s="18" t="s">
        <v>50</v>
      </c>
      <c r="Z6" s="36" t="s">
        <v>125</v>
      </c>
      <c r="AA6" s="18" t="s">
        <v>50</v>
      </c>
      <c r="AB6" s="36" t="s">
        <v>125</v>
      </c>
      <c r="AC6" s="18" t="s">
        <v>50</v>
      </c>
      <c r="AD6" s="18" t="s">
        <v>50</v>
      </c>
      <c r="AE6" s="36" t="s">
        <v>125</v>
      </c>
      <c r="AF6" s="18" t="s">
        <v>50</v>
      </c>
      <c r="AG6" s="18" t="s">
        <v>50</v>
      </c>
      <c r="AH6" s="36" t="s">
        <v>125</v>
      </c>
      <c r="AI6" s="18" t="s">
        <v>50</v>
      </c>
      <c r="AJ6" s="36" t="s">
        <v>125</v>
      </c>
      <c r="AK6" s="18" t="s">
        <v>50</v>
      </c>
      <c r="AL6" s="18" t="s">
        <v>51</v>
      </c>
      <c r="AM6" s="17" t="s">
        <v>52</v>
      </c>
      <c r="AN6" s="17" t="s">
        <v>52</v>
      </c>
      <c r="AO6" s="17" t="s">
        <v>50</v>
      </c>
      <c r="AP6" s="17" t="s">
        <v>50</v>
      </c>
      <c r="AQ6" s="18" t="s">
        <v>51</v>
      </c>
      <c r="AR6" s="17" t="s">
        <v>50</v>
      </c>
      <c r="AS6" s="17" t="s">
        <v>52</v>
      </c>
      <c r="AT6" s="17" t="s">
        <v>111</v>
      </c>
      <c r="AU6" s="18" t="s">
        <v>50</v>
      </c>
      <c r="AV6" s="17" t="s">
        <v>111</v>
      </c>
      <c r="AW6" s="18" t="s">
        <v>52</v>
      </c>
      <c r="AX6" s="17" t="s">
        <v>111</v>
      </c>
      <c r="AY6" s="18" t="s">
        <v>52</v>
      </c>
      <c r="AZ6" s="17" t="s">
        <v>111</v>
      </c>
      <c r="BA6" s="18" t="s">
        <v>52</v>
      </c>
      <c r="BB6" s="17" t="s">
        <v>111</v>
      </c>
      <c r="BC6" s="17" t="s">
        <v>111</v>
      </c>
      <c r="BD6" s="17" t="s">
        <v>50</v>
      </c>
      <c r="BE6" s="17" t="s">
        <v>50</v>
      </c>
      <c r="BF6" s="17" t="s">
        <v>50</v>
      </c>
      <c r="BG6" s="17" t="s">
        <v>50</v>
      </c>
      <c r="BH6" s="36" t="s">
        <v>125</v>
      </c>
      <c r="BI6" s="17" t="s">
        <v>51</v>
      </c>
      <c r="BJ6" s="17" t="s">
        <v>51</v>
      </c>
      <c r="BK6" s="36" t="s">
        <v>125</v>
      </c>
      <c r="BL6" s="17" t="s">
        <v>50</v>
      </c>
      <c r="BM6" s="36" t="s">
        <v>125</v>
      </c>
      <c r="BN6" s="18" t="s">
        <v>51</v>
      </c>
      <c r="BO6" s="36" t="s">
        <v>125</v>
      </c>
      <c r="BP6" s="17" t="s">
        <v>50</v>
      </c>
      <c r="BQ6" s="36" t="s">
        <v>125</v>
      </c>
      <c r="BR6" s="18" t="s">
        <v>51</v>
      </c>
      <c r="BS6" s="36" t="s">
        <v>125</v>
      </c>
      <c r="BT6" s="17" t="s">
        <v>50</v>
      </c>
      <c r="BU6" s="36" t="s">
        <v>125</v>
      </c>
      <c r="BV6" s="18" t="s">
        <v>51</v>
      </c>
      <c r="BW6" s="36" t="s">
        <v>125</v>
      </c>
      <c r="BX6" s="17" t="s">
        <v>50</v>
      </c>
      <c r="BY6" s="36" t="s">
        <v>125</v>
      </c>
      <c r="BZ6" s="18" t="s">
        <v>51</v>
      </c>
      <c r="CA6" s="18" t="s">
        <v>51</v>
      </c>
      <c r="CB6" s="36" t="s">
        <v>125</v>
      </c>
      <c r="CC6" s="17" t="s">
        <v>50</v>
      </c>
      <c r="CD6" s="36" t="s">
        <v>125</v>
      </c>
      <c r="CE6" s="18" t="s">
        <v>51</v>
      </c>
      <c r="CF6" s="36" t="s">
        <v>125</v>
      </c>
      <c r="CG6" s="17" t="s">
        <v>50</v>
      </c>
      <c r="CH6" s="17" t="s">
        <v>50</v>
      </c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</row>
    <row r="7" ht="16.5" customHeight="1">
      <c r="A7" s="41" t="s">
        <v>142</v>
      </c>
      <c r="B7" s="42" t="s">
        <v>145</v>
      </c>
      <c r="C7" s="42">
        <v>1.039446686E9</v>
      </c>
      <c r="D7" s="42" t="s">
        <v>127</v>
      </c>
      <c r="E7" s="19" t="s">
        <v>51</v>
      </c>
      <c r="F7" s="17" t="s">
        <v>50</v>
      </c>
      <c r="G7" s="17" t="s">
        <v>111</v>
      </c>
      <c r="H7" s="17" t="s">
        <v>50</v>
      </c>
      <c r="I7" s="19" t="s">
        <v>51</v>
      </c>
      <c r="J7" s="17" t="s">
        <v>50</v>
      </c>
      <c r="K7" s="17" t="s">
        <v>111</v>
      </c>
      <c r="L7" s="17" t="s">
        <v>111</v>
      </c>
      <c r="M7" s="17" t="s">
        <v>51</v>
      </c>
      <c r="N7" s="17" t="s">
        <v>50</v>
      </c>
      <c r="O7" s="19" t="s">
        <v>51</v>
      </c>
      <c r="P7" s="19" t="s">
        <v>51</v>
      </c>
      <c r="Q7" s="18" t="s">
        <v>50</v>
      </c>
      <c r="R7" s="18" t="s">
        <v>50</v>
      </c>
      <c r="S7" s="18" t="s">
        <v>50</v>
      </c>
      <c r="T7" s="18" t="s">
        <v>50</v>
      </c>
      <c r="U7" s="18" t="s">
        <v>51</v>
      </c>
      <c r="V7" s="18" t="s">
        <v>51</v>
      </c>
      <c r="W7" s="18" t="s">
        <v>50</v>
      </c>
      <c r="X7" s="18" t="s">
        <v>50</v>
      </c>
      <c r="Y7" s="18" t="s">
        <v>50</v>
      </c>
      <c r="Z7" s="18" t="s">
        <v>51</v>
      </c>
      <c r="AA7" s="18" t="s">
        <v>51</v>
      </c>
      <c r="AB7" s="18" t="s">
        <v>50</v>
      </c>
      <c r="AC7" s="18" t="s">
        <v>50</v>
      </c>
      <c r="AD7" s="18" t="s">
        <v>50</v>
      </c>
      <c r="AE7" s="18" t="s">
        <v>50</v>
      </c>
      <c r="AF7" s="18" t="s">
        <v>51</v>
      </c>
      <c r="AG7" s="18" t="s">
        <v>51</v>
      </c>
      <c r="AH7" s="18" t="s">
        <v>50</v>
      </c>
      <c r="AI7" s="18" t="s">
        <v>50</v>
      </c>
      <c r="AJ7" s="18" t="s">
        <v>50</v>
      </c>
      <c r="AK7" s="18" t="s">
        <v>50</v>
      </c>
      <c r="AL7" s="18" t="s">
        <v>51</v>
      </c>
      <c r="AM7" s="17" t="s">
        <v>51</v>
      </c>
      <c r="AN7" s="17" t="s">
        <v>51</v>
      </c>
      <c r="AO7" s="17" t="s">
        <v>50</v>
      </c>
      <c r="AP7" s="17" t="s">
        <v>50</v>
      </c>
      <c r="AQ7" s="17" t="s">
        <v>51</v>
      </c>
      <c r="AR7" s="17" t="s">
        <v>51</v>
      </c>
      <c r="AS7" s="17" t="s">
        <v>50</v>
      </c>
      <c r="AT7" s="19" t="s">
        <v>51</v>
      </c>
      <c r="AU7" s="18" t="s">
        <v>50</v>
      </c>
      <c r="AV7" s="17" t="s">
        <v>111</v>
      </c>
      <c r="AW7" s="19" t="s">
        <v>51</v>
      </c>
      <c r="AX7" s="19" t="s">
        <v>51</v>
      </c>
      <c r="AY7" s="19" t="s">
        <v>51</v>
      </c>
      <c r="AZ7" s="17" t="s">
        <v>111</v>
      </c>
      <c r="BA7" s="17" t="s">
        <v>111</v>
      </c>
      <c r="BB7" s="18" t="s">
        <v>50</v>
      </c>
      <c r="BC7" s="19" t="s">
        <v>51</v>
      </c>
      <c r="BD7" s="18" t="s">
        <v>51</v>
      </c>
      <c r="BE7" s="17" t="s">
        <v>50</v>
      </c>
      <c r="BF7" s="17" t="s">
        <v>50</v>
      </c>
      <c r="BG7" s="17" t="s">
        <v>50</v>
      </c>
      <c r="BH7" s="17" t="s">
        <v>51</v>
      </c>
      <c r="BI7" s="17" t="s">
        <v>51</v>
      </c>
      <c r="BJ7" s="17" t="s">
        <v>51</v>
      </c>
      <c r="BK7" s="17" t="s">
        <v>50</v>
      </c>
      <c r="BL7" s="17" t="s">
        <v>50</v>
      </c>
      <c r="BM7" s="18" t="s">
        <v>51</v>
      </c>
      <c r="BN7" s="18" t="s">
        <v>51</v>
      </c>
      <c r="BO7" s="17" t="s">
        <v>50</v>
      </c>
      <c r="BP7" s="17" t="s">
        <v>50</v>
      </c>
      <c r="BQ7" s="18" t="s">
        <v>51</v>
      </c>
      <c r="BR7" s="18" t="s">
        <v>51</v>
      </c>
      <c r="BS7" s="17" t="s">
        <v>50</v>
      </c>
      <c r="BT7" s="17" t="s">
        <v>50</v>
      </c>
      <c r="BU7" s="18" t="s">
        <v>51</v>
      </c>
      <c r="BV7" s="18" t="s">
        <v>51</v>
      </c>
      <c r="BW7" s="17" t="s">
        <v>50</v>
      </c>
      <c r="BX7" s="17" t="s">
        <v>50</v>
      </c>
      <c r="BY7" s="18" t="s">
        <v>51</v>
      </c>
      <c r="BZ7" s="18" t="s">
        <v>51</v>
      </c>
      <c r="CA7" s="18" t="s">
        <v>51</v>
      </c>
      <c r="CB7" s="17" t="s">
        <v>50</v>
      </c>
      <c r="CC7" s="17" t="s">
        <v>50</v>
      </c>
      <c r="CD7" s="18" t="s">
        <v>51</v>
      </c>
      <c r="CE7" s="18" t="s">
        <v>51</v>
      </c>
      <c r="CF7" s="17" t="s">
        <v>50</v>
      </c>
      <c r="CG7" s="17" t="s">
        <v>50</v>
      </c>
      <c r="CH7" s="17" t="s">
        <v>50</v>
      </c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</row>
    <row r="8" ht="16.5" customHeight="1">
      <c r="A8" s="45" t="s">
        <v>151</v>
      </c>
      <c r="B8" s="46" t="s">
        <v>155</v>
      </c>
      <c r="C8" s="46">
        <v>1.04035541E9</v>
      </c>
      <c r="D8" s="46" t="s">
        <v>49</v>
      </c>
      <c r="E8" s="18" t="s">
        <v>50</v>
      </c>
      <c r="F8" s="22"/>
      <c r="G8" s="34" t="s">
        <v>50</v>
      </c>
      <c r="H8" s="19" t="s">
        <v>51</v>
      </c>
      <c r="I8" s="19" t="s">
        <v>50</v>
      </c>
      <c r="J8" s="18" t="s">
        <v>51</v>
      </c>
      <c r="K8" s="18" t="s">
        <v>50</v>
      </c>
      <c r="L8" s="22"/>
      <c r="M8" s="18" t="s">
        <v>50</v>
      </c>
      <c r="N8" s="19" t="s">
        <v>51</v>
      </c>
      <c r="O8" s="19" t="s">
        <v>51</v>
      </c>
      <c r="P8" s="18" t="s">
        <v>50</v>
      </c>
      <c r="Q8" s="18" t="s">
        <v>50</v>
      </c>
      <c r="R8" s="18" t="s">
        <v>50</v>
      </c>
      <c r="S8" s="20" t="s">
        <v>52</v>
      </c>
      <c r="T8" s="18" t="s">
        <v>50</v>
      </c>
      <c r="U8" s="18" t="s">
        <v>51</v>
      </c>
      <c r="V8" s="18" t="s">
        <v>51</v>
      </c>
      <c r="W8" s="18" t="s">
        <v>50</v>
      </c>
      <c r="X8" s="18" t="s">
        <v>50</v>
      </c>
      <c r="Y8" s="18" t="s">
        <v>51</v>
      </c>
      <c r="Z8" s="18" t="s">
        <v>51</v>
      </c>
      <c r="AA8" s="18" t="s">
        <v>50</v>
      </c>
      <c r="AB8" s="18" t="s">
        <v>50</v>
      </c>
      <c r="AC8" s="18" t="s">
        <v>50</v>
      </c>
      <c r="AD8" s="18" t="s">
        <v>51</v>
      </c>
      <c r="AE8" s="18" t="s">
        <v>50</v>
      </c>
      <c r="AF8" s="18" t="s">
        <v>50</v>
      </c>
      <c r="AG8" s="18" t="s">
        <v>50</v>
      </c>
      <c r="AH8" s="18" t="s">
        <v>51</v>
      </c>
      <c r="AI8" s="18" t="s">
        <v>51</v>
      </c>
      <c r="AJ8" s="18" t="s">
        <v>50</v>
      </c>
      <c r="AK8" s="18" t="s">
        <v>50</v>
      </c>
      <c r="AL8" s="18" t="s">
        <v>50</v>
      </c>
      <c r="AM8" s="17" t="s">
        <v>51</v>
      </c>
      <c r="AN8" s="17" t="s">
        <v>50</v>
      </c>
      <c r="AO8" s="17" t="s">
        <v>52</v>
      </c>
      <c r="AP8" s="17" t="s">
        <v>52</v>
      </c>
      <c r="AQ8" s="17" t="s">
        <v>50</v>
      </c>
      <c r="AR8" s="17" t="s">
        <v>50</v>
      </c>
      <c r="AS8" s="17" t="s">
        <v>52</v>
      </c>
      <c r="AT8" s="18" t="s">
        <v>50</v>
      </c>
      <c r="AU8" s="17" t="s">
        <v>111</v>
      </c>
      <c r="AV8" s="19" t="s">
        <v>51</v>
      </c>
      <c r="AW8" s="19" t="s">
        <v>51</v>
      </c>
      <c r="AX8" s="19" t="s">
        <v>50</v>
      </c>
      <c r="AY8" s="18" t="s">
        <v>51</v>
      </c>
      <c r="AZ8" s="18" t="s">
        <v>51</v>
      </c>
      <c r="BA8" s="17" t="s">
        <v>111</v>
      </c>
      <c r="BB8" s="18" t="s">
        <v>50</v>
      </c>
      <c r="BC8" s="19" t="s">
        <v>51</v>
      </c>
      <c r="BD8" s="17" t="s">
        <v>50</v>
      </c>
      <c r="BE8" s="17" t="s">
        <v>50</v>
      </c>
      <c r="BF8" s="17" t="s">
        <v>50</v>
      </c>
      <c r="BG8" s="17" t="s">
        <v>50</v>
      </c>
      <c r="BH8" s="17" t="s">
        <v>51</v>
      </c>
      <c r="BI8" s="17" t="s">
        <v>51</v>
      </c>
      <c r="BJ8" s="17" t="s">
        <v>51</v>
      </c>
      <c r="BK8" s="17" t="s">
        <v>50</v>
      </c>
      <c r="BL8" s="17" t="s">
        <v>50</v>
      </c>
      <c r="BM8" s="18" t="s">
        <v>51</v>
      </c>
      <c r="BN8" s="18" t="s">
        <v>51</v>
      </c>
      <c r="BO8" s="18" t="s">
        <v>51</v>
      </c>
      <c r="BP8" s="18" t="s">
        <v>51</v>
      </c>
      <c r="BQ8" s="18" t="s">
        <v>52</v>
      </c>
      <c r="BR8" s="18" t="s">
        <v>51</v>
      </c>
      <c r="BS8" s="17" t="s">
        <v>50</v>
      </c>
      <c r="BT8" s="17" t="s">
        <v>50</v>
      </c>
      <c r="BU8" s="18" t="s">
        <v>51</v>
      </c>
      <c r="BV8" s="18" t="s">
        <v>51</v>
      </c>
      <c r="BW8" s="17" t="s">
        <v>50</v>
      </c>
      <c r="BX8" s="17" t="s">
        <v>50</v>
      </c>
      <c r="BY8" s="18" t="s">
        <v>51</v>
      </c>
      <c r="BZ8" s="18" t="s">
        <v>51</v>
      </c>
      <c r="CA8" s="18" t="s">
        <v>51</v>
      </c>
      <c r="CB8" s="17" t="s">
        <v>50</v>
      </c>
      <c r="CC8" s="17" t="s">
        <v>50</v>
      </c>
      <c r="CD8" s="18" t="s">
        <v>51</v>
      </c>
      <c r="CE8" s="18" t="s">
        <v>51</v>
      </c>
      <c r="CF8" s="17" t="s">
        <v>50</v>
      </c>
      <c r="CG8" s="17" t="s">
        <v>50</v>
      </c>
      <c r="CH8" s="17" t="s">
        <v>50</v>
      </c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</row>
    <row r="9" ht="16.5" customHeight="1">
      <c r="A9" s="48" t="s">
        <v>160</v>
      </c>
      <c r="B9" s="17" t="s">
        <v>164</v>
      </c>
      <c r="C9" s="16">
        <v>1.033178035E9</v>
      </c>
      <c r="D9" s="18" t="s">
        <v>127</v>
      </c>
      <c r="E9" s="18" t="s">
        <v>50</v>
      </c>
      <c r="F9" s="19" t="s">
        <v>51</v>
      </c>
      <c r="G9" s="20" t="s">
        <v>52</v>
      </c>
      <c r="H9" s="22"/>
      <c r="I9" s="17" t="s">
        <v>51</v>
      </c>
      <c r="J9" s="22"/>
      <c r="K9" s="19" t="s">
        <v>51</v>
      </c>
      <c r="L9" s="22"/>
      <c r="M9" s="22"/>
      <c r="N9" s="22"/>
      <c r="O9" s="18" t="s">
        <v>50</v>
      </c>
      <c r="P9" s="18" t="s">
        <v>50</v>
      </c>
      <c r="Q9" s="19" t="s">
        <v>51</v>
      </c>
      <c r="R9" s="19" t="s">
        <v>51</v>
      </c>
      <c r="S9" s="18" t="s">
        <v>50</v>
      </c>
      <c r="T9" s="18" t="s">
        <v>50</v>
      </c>
      <c r="U9" s="18" t="s">
        <v>50</v>
      </c>
      <c r="V9" s="18" t="s">
        <v>50</v>
      </c>
      <c r="W9" s="18" t="s">
        <v>50</v>
      </c>
      <c r="X9" s="18" t="s">
        <v>52</v>
      </c>
      <c r="Y9" s="18" t="s">
        <v>52</v>
      </c>
      <c r="Z9" s="18" t="s">
        <v>52</v>
      </c>
      <c r="AA9" s="18" t="s">
        <v>50</v>
      </c>
      <c r="AB9" s="18" t="s">
        <v>50</v>
      </c>
      <c r="AC9" s="18" t="s">
        <v>50</v>
      </c>
      <c r="AD9" s="18" t="s">
        <v>51</v>
      </c>
      <c r="AE9" s="18" t="s">
        <v>50</v>
      </c>
      <c r="AF9" s="18" t="s">
        <v>50</v>
      </c>
      <c r="AG9" s="18" t="s">
        <v>50</v>
      </c>
      <c r="AH9" s="18" t="s">
        <v>51</v>
      </c>
      <c r="AI9" s="18" t="s">
        <v>51</v>
      </c>
      <c r="AJ9" s="18" t="s">
        <v>50</v>
      </c>
      <c r="AK9" s="18" t="s">
        <v>50</v>
      </c>
      <c r="AL9" s="18" t="s">
        <v>50</v>
      </c>
      <c r="AM9" s="17" t="s">
        <v>51</v>
      </c>
      <c r="AN9" s="17" t="s">
        <v>51</v>
      </c>
      <c r="AO9" s="17" t="s">
        <v>50</v>
      </c>
      <c r="AP9" s="17" t="s">
        <v>50</v>
      </c>
      <c r="AQ9" s="17" t="s">
        <v>52</v>
      </c>
      <c r="AR9" s="17" t="s">
        <v>52</v>
      </c>
      <c r="AS9" s="17" t="s">
        <v>50</v>
      </c>
      <c r="AT9" s="17" t="s">
        <v>111</v>
      </c>
      <c r="AU9" s="17" t="s">
        <v>111</v>
      </c>
      <c r="AV9" s="17" t="s">
        <v>111</v>
      </c>
      <c r="AW9" s="17" t="s">
        <v>111</v>
      </c>
      <c r="AX9" s="19" t="s">
        <v>168</v>
      </c>
      <c r="AY9" s="17" t="s">
        <v>111</v>
      </c>
      <c r="AZ9" s="17" t="s">
        <v>111</v>
      </c>
      <c r="BA9" s="17" t="s">
        <v>111</v>
      </c>
      <c r="BB9" s="19" t="s">
        <v>168</v>
      </c>
      <c r="BC9" s="17" t="s">
        <v>111</v>
      </c>
      <c r="BD9" s="27" t="s">
        <v>92</v>
      </c>
      <c r="BE9" s="17" t="s">
        <v>50</v>
      </c>
      <c r="BF9" s="17" t="s">
        <v>50</v>
      </c>
      <c r="BG9" s="17" t="s">
        <v>50</v>
      </c>
      <c r="BH9" s="36" t="s">
        <v>125</v>
      </c>
      <c r="BI9" s="36" t="s">
        <v>125</v>
      </c>
      <c r="BJ9" s="36" t="s">
        <v>125</v>
      </c>
      <c r="BK9" s="17" t="s">
        <v>50</v>
      </c>
      <c r="BL9" s="17" t="s">
        <v>50</v>
      </c>
      <c r="BM9" s="36" t="s">
        <v>125</v>
      </c>
      <c r="BN9" s="36" t="s">
        <v>125</v>
      </c>
      <c r="BO9" s="36" t="s">
        <v>125</v>
      </c>
      <c r="BP9" s="36" t="s">
        <v>125</v>
      </c>
      <c r="BQ9" s="36" t="s">
        <v>125</v>
      </c>
      <c r="BR9" s="36" t="s">
        <v>125</v>
      </c>
      <c r="BS9" s="36" t="s">
        <v>125</v>
      </c>
      <c r="BT9" s="36" t="s">
        <v>125</v>
      </c>
      <c r="BU9" s="36" t="s">
        <v>125</v>
      </c>
      <c r="BV9" s="36" t="s">
        <v>170</v>
      </c>
      <c r="BW9" s="36" t="s">
        <v>125</v>
      </c>
      <c r="BX9" s="36" t="s">
        <v>125</v>
      </c>
      <c r="BY9" s="36" t="s">
        <v>125</v>
      </c>
      <c r="BZ9" s="36" t="s">
        <v>125</v>
      </c>
      <c r="CA9" s="36" t="s">
        <v>125</v>
      </c>
      <c r="CB9" s="36" t="s">
        <v>125</v>
      </c>
      <c r="CC9" s="36" t="s">
        <v>125</v>
      </c>
      <c r="CD9" s="36" t="s">
        <v>125</v>
      </c>
      <c r="CE9" s="36" t="s">
        <v>125</v>
      </c>
      <c r="CF9" s="36" t="s">
        <v>125</v>
      </c>
      <c r="CG9" s="36" t="s">
        <v>125</v>
      </c>
      <c r="CH9" s="36" t="s">
        <v>125</v>
      </c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</row>
    <row r="10" ht="16.5" customHeight="1">
      <c r="A10" s="31" t="s">
        <v>172</v>
      </c>
      <c r="B10" s="17" t="s">
        <v>176</v>
      </c>
      <c r="C10" s="16">
        <v>1.000889013E9</v>
      </c>
      <c r="D10" s="17" t="s">
        <v>127</v>
      </c>
      <c r="E10" s="19" t="s">
        <v>162</v>
      </c>
      <c r="F10" s="22"/>
      <c r="G10" s="22"/>
      <c r="H10" s="22"/>
      <c r="I10" s="19" t="s">
        <v>162</v>
      </c>
      <c r="J10" s="22"/>
      <c r="K10" s="22"/>
      <c r="L10" s="22"/>
      <c r="M10" s="22"/>
      <c r="N10" s="22"/>
      <c r="O10" s="19" t="s">
        <v>51</v>
      </c>
      <c r="P10" s="18" t="s">
        <v>50</v>
      </c>
      <c r="Q10" s="18" t="s">
        <v>50</v>
      </c>
      <c r="R10" s="18" t="s">
        <v>50</v>
      </c>
      <c r="S10" s="19" t="s">
        <v>51</v>
      </c>
      <c r="T10" s="18" t="s">
        <v>50</v>
      </c>
      <c r="U10" s="18" t="s">
        <v>50</v>
      </c>
      <c r="V10" s="18" t="s">
        <v>51</v>
      </c>
      <c r="W10" s="18" t="s">
        <v>50</v>
      </c>
      <c r="X10" s="18" t="s">
        <v>50</v>
      </c>
      <c r="Y10" s="18" t="s">
        <v>51</v>
      </c>
      <c r="Z10" s="18" t="s">
        <v>51</v>
      </c>
      <c r="AA10" s="18" t="s">
        <v>50</v>
      </c>
      <c r="AB10" s="18" t="s">
        <v>50</v>
      </c>
      <c r="AC10" s="18" t="s">
        <v>50</v>
      </c>
      <c r="AD10" s="18" t="s">
        <v>51</v>
      </c>
      <c r="AE10" s="18" t="s">
        <v>50</v>
      </c>
      <c r="AF10" s="18" t="s">
        <v>50</v>
      </c>
      <c r="AG10" s="18" t="s">
        <v>50</v>
      </c>
      <c r="AH10" s="18" t="s">
        <v>51</v>
      </c>
      <c r="AI10" s="18" t="s">
        <v>51</v>
      </c>
      <c r="AJ10" s="18" t="s">
        <v>50</v>
      </c>
      <c r="AK10" s="18" t="s">
        <v>51</v>
      </c>
      <c r="AL10" s="18" t="s">
        <v>50</v>
      </c>
      <c r="AM10" s="18" t="s">
        <v>50</v>
      </c>
      <c r="AN10" s="17" t="s">
        <v>51</v>
      </c>
      <c r="AO10" s="17" t="s">
        <v>51</v>
      </c>
      <c r="AP10" s="17" t="s">
        <v>51</v>
      </c>
      <c r="AQ10" s="17" t="s">
        <v>50</v>
      </c>
      <c r="AR10" s="17" t="s">
        <v>50</v>
      </c>
      <c r="AS10" s="17" t="s">
        <v>51</v>
      </c>
      <c r="AT10" s="19" t="s">
        <v>51</v>
      </c>
      <c r="AU10" s="17" t="s">
        <v>50</v>
      </c>
      <c r="AV10" s="17" t="s">
        <v>111</v>
      </c>
      <c r="AW10" s="17" t="s">
        <v>111</v>
      </c>
      <c r="AX10" s="19" t="s">
        <v>51</v>
      </c>
      <c r="AY10" s="18" t="s">
        <v>50</v>
      </c>
      <c r="AZ10" s="17" t="s">
        <v>111</v>
      </c>
      <c r="BA10" s="17" t="s">
        <v>111</v>
      </c>
      <c r="BB10" s="18" t="s">
        <v>50</v>
      </c>
      <c r="BC10" s="17" t="s">
        <v>111</v>
      </c>
      <c r="BD10" s="17" t="s">
        <v>50</v>
      </c>
      <c r="BE10" s="17" t="s">
        <v>50</v>
      </c>
      <c r="BF10" s="17" t="s">
        <v>50</v>
      </c>
      <c r="BG10" s="17" t="s">
        <v>50</v>
      </c>
      <c r="BH10" s="17" t="s">
        <v>51</v>
      </c>
      <c r="BI10" s="17" t="s">
        <v>51</v>
      </c>
      <c r="BJ10" s="17" t="s">
        <v>51</v>
      </c>
      <c r="BK10" s="17" t="s">
        <v>50</v>
      </c>
      <c r="BL10" s="17" t="s">
        <v>50</v>
      </c>
      <c r="BM10" s="18" t="s">
        <v>51</v>
      </c>
      <c r="BN10" s="18" t="s">
        <v>51</v>
      </c>
      <c r="BO10" s="17" t="s">
        <v>50</v>
      </c>
      <c r="BP10" s="17" t="s">
        <v>50</v>
      </c>
      <c r="BQ10" s="18" t="s">
        <v>51</v>
      </c>
      <c r="BR10" s="18" t="s">
        <v>51</v>
      </c>
      <c r="BS10" s="17" t="s">
        <v>50</v>
      </c>
      <c r="BT10" s="17" t="s">
        <v>50</v>
      </c>
      <c r="BU10" s="18" t="s">
        <v>51</v>
      </c>
      <c r="BV10" s="18" t="s">
        <v>51</v>
      </c>
      <c r="BW10" s="17" t="s">
        <v>50</v>
      </c>
      <c r="BX10" s="17" t="s">
        <v>50</v>
      </c>
      <c r="BY10" s="18" t="s">
        <v>51</v>
      </c>
      <c r="BZ10" s="18" t="s">
        <v>51</v>
      </c>
      <c r="CA10" s="18" t="s">
        <v>51</v>
      </c>
      <c r="CB10" s="17" t="s">
        <v>50</v>
      </c>
      <c r="CC10" s="17" t="s">
        <v>50</v>
      </c>
      <c r="CD10" s="18" t="s">
        <v>51</v>
      </c>
      <c r="CE10" s="18" t="s">
        <v>51</v>
      </c>
      <c r="CF10" s="17" t="s">
        <v>50</v>
      </c>
      <c r="CG10" s="17" t="s">
        <v>50</v>
      </c>
      <c r="CH10" s="17" t="s">
        <v>50</v>
      </c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</row>
    <row r="11" ht="16.5" customHeight="1">
      <c r="A11" s="31" t="s">
        <v>181</v>
      </c>
      <c r="B11" s="17" t="s">
        <v>182</v>
      </c>
      <c r="C11" s="16">
        <v>1.127206552E9</v>
      </c>
      <c r="D11" s="18" t="s">
        <v>104</v>
      </c>
      <c r="E11" s="19" t="s">
        <v>51</v>
      </c>
      <c r="F11" s="22"/>
      <c r="G11" s="19" t="s">
        <v>51</v>
      </c>
      <c r="H11" s="22"/>
      <c r="I11" s="22"/>
      <c r="J11" s="20" t="s">
        <v>52</v>
      </c>
      <c r="K11" s="18" t="s">
        <v>50</v>
      </c>
      <c r="L11" s="22"/>
      <c r="M11" s="50"/>
      <c r="N11" s="22"/>
      <c r="O11" s="20" t="s">
        <v>52</v>
      </c>
      <c r="P11" s="18" t="s">
        <v>50</v>
      </c>
      <c r="Q11" s="18" t="s">
        <v>50</v>
      </c>
      <c r="R11" s="18" t="s">
        <v>50</v>
      </c>
      <c r="S11" s="18" t="s">
        <v>50</v>
      </c>
      <c r="T11" s="18" t="s">
        <v>50</v>
      </c>
      <c r="U11" s="18" t="s">
        <v>50</v>
      </c>
      <c r="V11" s="18" t="s">
        <v>50</v>
      </c>
      <c r="W11" s="18" t="s">
        <v>52</v>
      </c>
      <c r="X11" s="18" t="s">
        <v>50</v>
      </c>
      <c r="Y11" s="18" t="s">
        <v>50</v>
      </c>
      <c r="Z11" s="18" t="s">
        <v>50</v>
      </c>
      <c r="AA11" s="18" t="s">
        <v>50</v>
      </c>
      <c r="AB11" s="18" t="s">
        <v>52</v>
      </c>
      <c r="AC11" s="18" t="s">
        <v>50</v>
      </c>
      <c r="AD11" s="18" t="s">
        <v>50</v>
      </c>
      <c r="AE11" s="18" t="s">
        <v>50</v>
      </c>
      <c r="AF11" s="18" t="s">
        <v>50</v>
      </c>
      <c r="AG11" s="18" t="s">
        <v>51</v>
      </c>
      <c r="AH11" s="18" t="s">
        <v>50</v>
      </c>
      <c r="AI11" s="18" t="s">
        <v>50</v>
      </c>
      <c r="AJ11" s="18" t="s">
        <v>50</v>
      </c>
      <c r="AK11" s="18" t="s">
        <v>50</v>
      </c>
      <c r="AL11" s="18" t="s">
        <v>50</v>
      </c>
      <c r="AM11" s="17" t="s">
        <v>50</v>
      </c>
      <c r="AN11" s="17" t="s">
        <v>50</v>
      </c>
      <c r="AO11" s="17" t="s">
        <v>52</v>
      </c>
      <c r="AP11" s="18" t="s">
        <v>50</v>
      </c>
      <c r="AQ11" s="17" t="s">
        <v>50</v>
      </c>
      <c r="AR11" s="17" t="s">
        <v>50</v>
      </c>
      <c r="AS11" s="17" t="s">
        <v>50</v>
      </c>
      <c r="AT11" s="17" t="s">
        <v>50</v>
      </c>
      <c r="AU11" s="17" t="s">
        <v>50</v>
      </c>
      <c r="AV11" s="17" t="s">
        <v>111</v>
      </c>
      <c r="AW11" s="18" t="s">
        <v>52</v>
      </c>
      <c r="AX11" s="17" t="s">
        <v>111</v>
      </c>
      <c r="AY11" s="17" t="s">
        <v>111</v>
      </c>
      <c r="AZ11" s="17" t="s">
        <v>111</v>
      </c>
      <c r="BA11" s="19" t="s">
        <v>51</v>
      </c>
      <c r="BB11" s="17" t="s">
        <v>111</v>
      </c>
      <c r="BC11" s="20" t="s">
        <v>184</v>
      </c>
      <c r="BD11" s="18" t="s">
        <v>52</v>
      </c>
      <c r="BE11" s="17" t="s">
        <v>52</v>
      </c>
      <c r="BF11" s="27" t="s">
        <v>100</v>
      </c>
      <c r="BG11" s="17" t="s">
        <v>50</v>
      </c>
      <c r="BH11" s="27" t="s">
        <v>100</v>
      </c>
      <c r="BI11" s="18" t="s">
        <v>52</v>
      </c>
      <c r="BJ11" s="18" t="s">
        <v>52</v>
      </c>
      <c r="BK11" s="27" t="s">
        <v>100</v>
      </c>
      <c r="BL11" s="17" t="s">
        <v>50</v>
      </c>
      <c r="BM11" s="27" t="s">
        <v>100</v>
      </c>
      <c r="BN11" s="18" t="s">
        <v>52</v>
      </c>
      <c r="BO11" s="27" t="s">
        <v>100</v>
      </c>
      <c r="BP11" s="17" t="s">
        <v>50</v>
      </c>
      <c r="BQ11" s="27" t="s">
        <v>100</v>
      </c>
      <c r="BR11" s="18" t="s">
        <v>51</v>
      </c>
      <c r="BS11" s="27" t="s">
        <v>100</v>
      </c>
      <c r="BT11" s="17" t="s">
        <v>50</v>
      </c>
      <c r="BU11" s="27" t="s">
        <v>100</v>
      </c>
      <c r="BV11" s="18" t="s">
        <v>52</v>
      </c>
      <c r="BW11" s="27" t="s">
        <v>100</v>
      </c>
      <c r="BX11" s="18" t="s">
        <v>52</v>
      </c>
      <c r="BY11" s="27" t="s">
        <v>100</v>
      </c>
      <c r="BZ11" s="20" t="s">
        <v>184</v>
      </c>
      <c r="CA11" s="20" t="s">
        <v>184</v>
      </c>
      <c r="CB11" s="27" t="s">
        <v>100</v>
      </c>
      <c r="CC11" s="18" t="s">
        <v>52</v>
      </c>
      <c r="CD11" s="27" t="s">
        <v>100</v>
      </c>
      <c r="CE11" s="20" t="s">
        <v>184</v>
      </c>
      <c r="CF11" s="27" t="s">
        <v>100</v>
      </c>
      <c r="CG11" s="18" t="s">
        <v>52</v>
      </c>
      <c r="CH11" s="18" t="s">
        <v>52</v>
      </c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</row>
    <row r="12" ht="16.5" customHeight="1">
      <c r="A12" s="31" t="s">
        <v>186</v>
      </c>
      <c r="B12" s="17" t="s">
        <v>188</v>
      </c>
      <c r="C12" s="16">
        <v>1.025886622E9</v>
      </c>
      <c r="D12" s="42" t="s">
        <v>49</v>
      </c>
      <c r="E12" s="19" t="s">
        <v>51</v>
      </c>
      <c r="F12" s="22"/>
      <c r="G12" s="18" t="s">
        <v>50</v>
      </c>
      <c r="H12" s="52"/>
      <c r="I12" s="22"/>
      <c r="J12" s="22"/>
      <c r="K12" s="22"/>
      <c r="L12" s="19" t="s">
        <v>51</v>
      </c>
      <c r="M12" s="22"/>
      <c r="N12" s="19" t="s">
        <v>51</v>
      </c>
      <c r="O12" s="19" t="s">
        <v>51</v>
      </c>
      <c r="P12" s="18" t="s">
        <v>50</v>
      </c>
      <c r="Q12" s="18" t="s">
        <v>50</v>
      </c>
      <c r="R12" s="18" t="s">
        <v>50</v>
      </c>
      <c r="S12" s="18" t="s">
        <v>50</v>
      </c>
      <c r="T12" s="19" t="s">
        <v>51</v>
      </c>
      <c r="U12" s="18" t="s">
        <v>50</v>
      </c>
      <c r="V12" s="18" t="s">
        <v>50</v>
      </c>
      <c r="W12" s="18" t="s">
        <v>50</v>
      </c>
      <c r="X12" s="18" t="s">
        <v>51</v>
      </c>
      <c r="Y12" s="18" t="s">
        <v>50</v>
      </c>
      <c r="Z12" s="18" t="s">
        <v>51</v>
      </c>
      <c r="AA12" s="18" t="s">
        <v>50</v>
      </c>
      <c r="AB12" s="18" t="s">
        <v>51</v>
      </c>
      <c r="AC12" s="18" t="s">
        <v>51</v>
      </c>
      <c r="AD12" s="18" t="s">
        <v>50</v>
      </c>
      <c r="AE12" s="18" t="s">
        <v>50</v>
      </c>
      <c r="AF12" s="18" t="s">
        <v>50</v>
      </c>
      <c r="AG12" s="18" t="s">
        <v>51</v>
      </c>
      <c r="AH12" s="18" t="s">
        <v>50</v>
      </c>
      <c r="AI12" s="18" t="s">
        <v>50</v>
      </c>
      <c r="AJ12" s="18" t="s">
        <v>50</v>
      </c>
      <c r="AK12" s="18" t="s">
        <v>190</v>
      </c>
      <c r="AL12" s="18" t="s">
        <v>51</v>
      </c>
      <c r="AM12" s="17" t="s">
        <v>51</v>
      </c>
      <c r="AN12" s="17" t="s">
        <v>51</v>
      </c>
      <c r="AO12" s="17" t="s">
        <v>50</v>
      </c>
      <c r="AP12" s="17" t="s">
        <v>50</v>
      </c>
      <c r="AQ12" s="18" t="s">
        <v>51</v>
      </c>
      <c r="AR12" s="17" t="s">
        <v>50</v>
      </c>
      <c r="AS12" s="17" t="s">
        <v>50</v>
      </c>
      <c r="AT12" s="19" t="s">
        <v>51</v>
      </c>
      <c r="AU12" s="18" t="s">
        <v>50</v>
      </c>
      <c r="AV12" s="17" t="s">
        <v>111</v>
      </c>
      <c r="AW12" s="19" t="s">
        <v>51</v>
      </c>
      <c r="AX12" s="17" t="s">
        <v>111</v>
      </c>
      <c r="AY12" s="19" t="s">
        <v>51</v>
      </c>
      <c r="AZ12" s="17" t="s">
        <v>111</v>
      </c>
      <c r="BA12" s="17" t="s">
        <v>111</v>
      </c>
      <c r="BB12" s="18" t="s">
        <v>50</v>
      </c>
      <c r="BC12" s="19" t="s">
        <v>51</v>
      </c>
      <c r="BD12" s="17" t="s">
        <v>50</v>
      </c>
      <c r="BE12" s="17" t="s">
        <v>51</v>
      </c>
      <c r="BF12" s="17" t="s">
        <v>50</v>
      </c>
      <c r="BG12" s="17" t="s">
        <v>50</v>
      </c>
      <c r="BH12" s="17" t="s">
        <v>51</v>
      </c>
      <c r="BI12" s="17" t="s">
        <v>51</v>
      </c>
      <c r="BJ12" s="17" t="s">
        <v>51</v>
      </c>
      <c r="BK12" s="17" t="s">
        <v>50</v>
      </c>
      <c r="BL12" s="17" t="s">
        <v>50</v>
      </c>
      <c r="BM12" s="17" t="s">
        <v>51</v>
      </c>
      <c r="BN12" s="17" t="s">
        <v>51</v>
      </c>
      <c r="BO12" s="17" t="s">
        <v>50</v>
      </c>
      <c r="BP12" s="17" t="s">
        <v>50</v>
      </c>
      <c r="BQ12" s="17" t="s">
        <v>51</v>
      </c>
      <c r="BR12" s="17" t="s">
        <v>51</v>
      </c>
      <c r="BS12" s="17" t="s">
        <v>50</v>
      </c>
      <c r="BT12" s="17" t="s">
        <v>50</v>
      </c>
      <c r="BU12" s="17" t="s">
        <v>51</v>
      </c>
      <c r="BV12" s="17" t="s">
        <v>51</v>
      </c>
      <c r="BW12" s="17" t="s">
        <v>50</v>
      </c>
      <c r="BX12" s="17" t="s">
        <v>50</v>
      </c>
      <c r="BY12" s="18" t="s">
        <v>51</v>
      </c>
      <c r="BZ12" s="18" t="s">
        <v>51</v>
      </c>
      <c r="CA12" s="18" t="s">
        <v>51</v>
      </c>
      <c r="CB12" s="17" t="s">
        <v>50</v>
      </c>
      <c r="CC12" s="17" t="s">
        <v>50</v>
      </c>
      <c r="CD12" s="18" t="s">
        <v>51</v>
      </c>
      <c r="CE12" s="18" t="s">
        <v>51</v>
      </c>
      <c r="CF12" s="17" t="s">
        <v>50</v>
      </c>
      <c r="CG12" s="17" t="s">
        <v>50</v>
      </c>
      <c r="CH12" s="17" t="s">
        <v>50</v>
      </c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</row>
    <row r="13" ht="16.5" customHeight="1">
      <c r="A13" s="31" t="s">
        <v>193</v>
      </c>
      <c r="B13" s="17" t="s">
        <v>196</v>
      </c>
      <c r="C13" s="16">
        <v>1.000654693E9</v>
      </c>
      <c r="D13" s="18" t="s">
        <v>104</v>
      </c>
      <c r="E13" s="19" t="s">
        <v>51</v>
      </c>
      <c r="F13" s="18" t="s">
        <v>50</v>
      </c>
      <c r="G13" s="20" t="s">
        <v>52</v>
      </c>
      <c r="H13" s="22"/>
      <c r="I13" s="19" t="s">
        <v>51</v>
      </c>
      <c r="J13" s="22"/>
      <c r="K13" s="18" t="s">
        <v>52</v>
      </c>
      <c r="L13" s="22"/>
      <c r="M13" s="22"/>
      <c r="N13" s="22"/>
      <c r="O13" s="19" t="s">
        <v>51</v>
      </c>
      <c r="P13" s="18" t="s">
        <v>50</v>
      </c>
      <c r="Q13" s="18" t="s">
        <v>50</v>
      </c>
      <c r="R13" s="18" t="s">
        <v>50</v>
      </c>
      <c r="S13" s="20" t="s">
        <v>52</v>
      </c>
      <c r="T13" s="19" t="s">
        <v>51</v>
      </c>
      <c r="U13" s="18" t="s">
        <v>50</v>
      </c>
      <c r="V13" s="18" t="s">
        <v>50</v>
      </c>
      <c r="W13" s="18" t="s">
        <v>50</v>
      </c>
      <c r="X13" s="18" t="s">
        <v>50</v>
      </c>
      <c r="Y13" s="18" t="s">
        <v>50</v>
      </c>
      <c r="Z13" s="18" t="s">
        <v>52</v>
      </c>
      <c r="AA13" s="18" t="s">
        <v>50</v>
      </c>
      <c r="AB13" s="18" t="s">
        <v>50</v>
      </c>
      <c r="AC13" s="18" t="s">
        <v>50</v>
      </c>
      <c r="AD13" s="18" t="s">
        <v>50</v>
      </c>
      <c r="AE13" s="18" t="s">
        <v>50</v>
      </c>
      <c r="AF13" s="18" t="s">
        <v>51</v>
      </c>
      <c r="AG13" s="18" t="s">
        <v>50</v>
      </c>
      <c r="AH13" s="18" t="s">
        <v>50</v>
      </c>
      <c r="AI13" s="18" t="s">
        <v>50</v>
      </c>
      <c r="AJ13" s="18" t="s">
        <v>50</v>
      </c>
      <c r="AK13" s="18" t="s">
        <v>50</v>
      </c>
      <c r="AL13" s="18" t="s">
        <v>52</v>
      </c>
      <c r="AM13" s="17" t="s">
        <v>52</v>
      </c>
      <c r="AN13" s="17" t="s">
        <v>52</v>
      </c>
      <c r="AO13" s="17" t="s">
        <v>50</v>
      </c>
      <c r="AP13" s="17" t="s">
        <v>50</v>
      </c>
      <c r="AQ13" s="18" t="s">
        <v>51</v>
      </c>
      <c r="AR13" s="18" t="s">
        <v>51</v>
      </c>
      <c r="AS13" s="17" t="s">
        <v>50</v>
      </c>
      <c r="AT13" s="19" t="s">
        <v>51</v>
      </c>
      <c r="AU13" s="18" t="s">
        <v>111</v>
      </c>
      <c r="AV13" s="18" t="s">
        <v>52</v>
      </c>
      <c r="AW13" s="18" t="s">
        <v>50</v>
      </c>
      <c r="AX13" s="19" t="s">
        <v>51</v>
      </c>
      <c r="AY13" s="17" t="s">
        <v>111</v>
      </c>
      <c r="AZ13" s="18" t="s">
        <v>111</v>
      </c>
      <c r="BA13" s="17" t="s">
        <v>111</v>
      </c>
      <c r="BB13" s="18" t="s">
        <v>52</v>
      </c>
      <c r="BC13" s="17" t="s">
        <v>50</v>
      </c>
      <c r="BD13" s="17" t="s">
        <v>50</v>
      </c>
      <c r="BE13" s="17" t="s">
        <v>51</v>
      </c>
      <c r="BF13" s="17" t="s">
        <v>50</v>
      </c>
      <c r="BG13" s="17" t="s">
        <v>50</v>
      </c>
      <c r="BH13" s="17" t="s">
        <v>111</v>
      </c>
      <c r="BI13" s="18" t="s">
        <v>52</v>
      </c>
      <c r="BJ13" s="18" t="s">
        <v>52</v>
      </c>
      <c r="BK13" s="17" t="s">
        <v>50</v>
      </c>
      <c r="BL13" s="17" t="s">
        <v>50</v>
      </c>
      <c r="BM13" s="17" t="s">
        <v>111</v>
      </c>
      <c r="BN13" s="18" t="s">
        <v>52</v>
      </c>
      <c r="BO13" s="17" t="s">
        <v>111</v>
      </c>
      <c r="BP13" s="17" t="s">
        <v>50</v>
      </c>
      <c r="BQ13" s="17" t="s">
        <v>111</v>
      </c>
      <c r="BR13" s="17" t="s">
        <v>51</v>
      </c>
      <c r="BS13" s="17" t="s">
        <v>111</v>
      </c>
      <c r="BT13" s="17" t="s">
        <v>50</v>
      </c>
      <c r="BU13" s="17" t="s">
        <v>111</v>
      </c>
      <c r="BV13" s="18" t="s">
        <v>52</v>
      </c>
      <c r="BW13" s="17" t="s">
        <v>111</v>
      </c>
      <c r="BX13" s="17" t="s">
        <v>50</v>
      </c>
      <c r="BY13" s="17" t="s">
        <v>111</v>
      </c>
      <c r="BZ13" s="18" t="s">
        <v>52</v>
      </c>
      <c r="CA13" s="18" t="s">
        <v>52</v>
      </c>
      <c r="CB13" s="17" t="s">
        <v>111</v>
      </c>
      <c r="CC13" s="17" t="s">
        <v>50</v>
      </c>
      <c r="CD13" s="17" t="s">
        <v>111</v>
      </c>
      <c r="CE13" s="18" t="s">
        <v>52</v>
      </c>
      <c r="CF13" s="17" t="s">
        <v>111</v>
      </c>
      <c r="CG13" s="17" t="s">
        <v>50</v>
      </c>
      <c r="CH13" s="17" t="s">
        <v>50</v>
      </c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</row>
    <row r="14" ht="16.5" customHeight="1">
      <c r="A14" s="31" t="s">
        <v>199</v>
      </c>
      <c r="B14" s="17" t="s">
        <v>203</v>
      </c>
      <c r="C14" s="16">
        <v>1.042764028E9</v>
      </c>
      <c r="D14" s="26" t="s">
        <v>90</v>
      </c>
      <c r="E14" s="22"/>
      <c r="F14" s="22"/>
      <c r="G14" s="22"/>
      <c r="H14" s="22"/>
      <c r="I14" s="20" t="s">
        <v>52</v>
      </c>
      <c r="J14" s="18" t="s">
        <v>52</v>
      </c>
      <c r="K14" s="22"/>
      <c r="L14" s="22"/>
      <c r="M14" s="22"/>
      <c r="N14" s="22"/>
      <c r="O14" s="27" t="s">
        <v>100</v>
      </c>
      <c r="P14" s="27" t="s">
        <v>92</v>
      </c>
      <c r="Q14" s="27" t="s">
        <v>100</v>
      </c>
      <c r="R14" s="27" t="s">
        <v>92</v>
      </c>
      <c r="S14" s="27" t="s">
        <v>100</v>
      </c>
      <c r="T14" s="27" t="s">
        <v>92</v>
      </c>
      <c r="U14" s="27" t="s">
        <v>100</v>
      </c>
      <c r="V14" s="27" t="s">
        <v>92</v>
      </c>
      <c r="W14" s="18" t="s">
        <v>52</v>
      </c>
      <c r="X14" s="27" t="s">
        <v>92</v>
      </c>
      <c r="Y14" s="27" t="s">
        <v>92</v>
      </c>
      <c r="Z14" s="27" t="s">
        <v>92</v>
      </c>
      <c r="AA14" s="27" t="s">
        <v>92</v>
      </c>
      <c r="AB14" s="27" t="s">
        <v>92</v>
      </c>
      <c r="AC14" s="27" t="s">
        <v>92</v>
      </c>
      <c r="AD14" s="27" t="s">
        <v>92</v>
      </c>
      <c r="AE14" s="27" t="s">
        <v>92</v>
      </c>
      <c r="AF14" s="27" t="s">
        <v>92</v>
      </c>
      <c r="AG14" s="27" t="s">
        <v>92</v>
      </c>
      <c r="AH14" s="27" t="s">
        <v>92</v>
      </c>
      <c r="AI14" s="27" t="s">
        <v>92</v>
      </c>
      <c r="AJ14" s="27" t="s">
        <v>92</v>
      </c>
      <c r="AK14" s="18" t="s">
        <v>50</v>
      </c>
      <c r="AL14" s="18" t="s">
        <v>50</v>
      </c>
      <c r="AM14" s="27" t="s">
        <v>92</v>
      </c>
      <c r="AN14" s="27" t="s">
        <v>92</v>
      </c>
      <c r="AO14" s="17" t="s">
        <v>50</v>
      </c>
      <c r="AP14" s="17" t="s">
        <v>50</v>
      </c>
      <c r="AQ14" s="27" t="s">
        <v>92</v>
      </c>
      <c r="AR14" s="27" t="s">
        <v>92</v>
      </c>
      <c r="AS14" s="17" t="s">
        <v>50</v>
      </c>
      <c r="AT14" s="17" t="s">
        <v>111</v>
      </c>
      <c r="AU14" s="18" t="s">
        <v>50</v>
      </c>
      <c r="AV14" s="17" t="s">
        <v>111</v>
      </c>
      <c r="AW14" s="17" t="s">
        <v>111</v>
      </c>
      <c r="AX14" s="18" t="s">
        <v>52</v>
      </c>
      <c r="AY14" s="18" t="s">
        <v>52</v>
      </c>
      <c r="AZ14" s="17" t="s">
        <v>111</v>
      </c>
      <c r="BA14" s="17" t="s">
        <v>111</v>
      </c>
      <c r="BB14" s="17" t="s">
        <v>111</v>
      </c>
      <c r="BC14" s="17" t="s">
        <v>111</v>
      </c>
      <c r="BD14" s="56" t="s">
        <v>92</v>
      </c>
      <c r="BE14" s="18" t="s">
        <v>52</v>
      </c>
      <c r="BF14" s="27" t="s">
        <v>100</v>
      </c>
      <c r="BG14" s="27" t="s">
        <v>100</v>
      </c>
      <c r="BH14" s="27" t="s">
        <v>100</v>
      </c>
      <c r="BI14" s="27" t="s">
        <v>100</v>
      </c>
      <c r="BJ14" s="27" t="s">
        <v>100</v>
      </c>
      <c r="BK14" s="27" t="s">
        <v>100</v>
      </c>
      <c r="BL14" s="27" t="s">
        <v>100</v>
      </c>
      <c r="BM14" s="27" t="s">
        <v>100</v>
      </c>
      <c r="BN14" s="27" t="s">
        <v>100</v>
      </c>
      <c r="BO14" s="27" t="s">
        <v>100</v>
      </c>
      <c r="BP14" s="27" t="s">
        <v>100</v>
      </c>
      <c r="BQ14" s="27" t="s">
        <v>100</v>
      </c>
      <c r="BR14" s="27" t="s">
        <v>100</v>
      </c>
      <c r="BS14" s="27" t="s">
        <v>100</v>
      </c>
      <c r="BT14" s="27" t="s">
        <v>100</v>
      </c>
      <c r="BU14" s="27" t="s">
        <v>100</v>
      </c>
      <c r="BV14" s="27" t="s">
        <v>100</v>
      </c>
      <c r="BW14" s="27" t="s">
        <v>100</v>
      </c>
      <c r="BX14" s="27" t="s">
        <v>100</v>
      </c>
      <c r="BY14" s="27" t="s">
        <v>100</v>
      </c>
      <c r="BZ14" s="27" t="s">
        <v>100</v>
      </c>
      <c r="CA14" s="27" t="s">
        <v>100</v>
      </c>
      <c r="CB14" s="27" t="s">
        <v>100</v>
      </c>
      <c r="CC14" s="27" t="s">
        <v>100</v>
      </c>
      <c r="CD14" s="27" t="s">
        <v>100</v>
      </c>
      <c r="CE14" s="27" t="s">
        <v>100</v>
      </c>
      <c r="CF14" s="27" t="s">
        <v>100</v>
      </c>
      <c r="CG14" s="27" t="s">
        <v>100</v>
      </c>
      <c r="CH14" s="27" t="s">
        <v>100</v>
      </c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</row>
    <row r="15" ht="16.5" customHeight="1">
      <c r="A15" s="31" t="s">
        <v>208</v>
      </c>
      <c r="B15" s="17" t="s">
        <v>210</v>
      </c>
      <c r="C15" s="16">
        <v>1.001577545E9</v>
      </c>
      <c r="D15" s="26" t="s">
        <v>98</v>
      </c>
      <c r="E15" s="18" t="s">
        <v>50</v>
      </c>
      <c r="F15" s="18" t="s">
        <v>50</v>
      </c>
      <c r="G15" s="22"/>
      <c r="H15" s="20" t="s">
        <v>99</v>
      </c>
      <c r="I15" s="22"/>
      <c r="J15" s="18" t="s">
        <v>50</v>
      </c>
      <c r="K15" s="22"/>
      <c r="L15" s="20" t="s">
        <v>52</v>
      </c>
      <c r="M15" s="22"/>
      <c r="N15" s="22"/>
      <c r="O15" s="27" t="s">
        <v>100</v>
      </c>
      <c r="P15" s="20" t="s">
        <v>52</v>
      </c>
      <c r="Q15" s="27" t="s">
        <v>100</v>
      </c>
      <c r="R15" s="18" t="s">
        <v>50</v>
      </c>
      <c r="S15" s="27" t="s">
        <v>100</v>
      </c>
      <c r="T15" s="18" t="s">
        <v>50</v>
      </c>
      <c r="U15" s="27" t="s">
        <v>100</v>
      </c>
      <c r="V15" s="18" t="s">
        <v>50</v>
      </c>
      <c r="W15" s="18" t="s">
        <v>52</v>
      </c>
      <c r="X15" s="18" t="s">
        <v>52</v>
      </c>
      <c r="Y15" s="18" t="s">
        <v>52</v>
      </c>
      <c r="Z15" s="27" t="s">
        <v>100</v>
      </c>
      <c r="AA15" s="18" t="s">
        <v>50</v>
      </c>
      <c r="AB15" s="27" t="s">
        <v>100</v>
      </c>
      <c r="AC15" s="18" t="s">
        <v>50</v>
      </c>
      <c r="AD15" s="27" t="s">
        <v>100</v>
      </c>
      <c r="AE15" s="18" t="s">
        <v>52</v>
      </c>
      <c r="AF15" s="27" t="s">
        <v>50</v>
      </c>
      <c r="AG15" s="18" t="s">
        <v>50</v>
      </c>
      <c r="AH15" s="27" t="s">
        <v>100</v>
      </c>
      <c r="AI15" s="18" t="s">
        <v>50</v>
      </c>
      <c r="AJ15" s="27" t="s">
        <v>100</v>
      </c>
      <c r="AK15" s="18" t="s">
        <v>50</v>
      </c>
      <c r="AL15" s="18" t="s">
        <v>50</v>
      </c>
      <c r="AM15" s="17" t="s">
        <v>52</v>
      </c>
      <c r="AN15" s="17" t="s">
        <v>52</v>
      </c>
      <c r="AO15" s="17" t="s">
        <v>50</v>
      </c>
      <c r="AP15" s="17" t="s">
        <v>50</v>
      </c>
      <c r="AQ15" s="17" t="s">
        <v>52</v>
      </c>
      <c r="AR15" s="17" t="s">
        <v>52</v>
      </c>
      <c r="AS15" s="17" t="s">
        <v>50</v>
      </c>
      <c r="AT15" s="18" t="s">
        <v>50</v>
      </c>
      <c r="AU15" s="18" t="s">
        <v>111</v>
      </c>
      <c r="AV15" s="17" t="s">
        <v>111</v>
      </c>
      <c r="AW15" s="20" t="s">
        <v>52</v>
      </c>
      <c r="AX15" s="17" t="s">
        <v>111</v>
      </c>
      <c r="AY15" s="18" t="s">
        <v>52</v>
      </c>
      <c r="AZ15" s="17" t="s">
        <v>111</v>
      </c>
      <c r="BA15" s="18" t="s">
        <v>52</v>
      </c>
      <c r="BB15" s="17" t="s">
        <v>111</v>
      </c>
      <c r="BC15" s="17" t="s">
        <v>111</v>
      </c>
      <c r="BD15" s="24" t="s">
        <v>52</v>
      </c>
      <c r="BE15" s="17" t="s">
        <v>50</v>
      </c>
      <c r="BF15" s="27" t="s">
        <v>100</v>
      </c>
      <c r="BG15" s="17" t="s">
        <v>50</v>
      </c>
      <c r="BH15" s="27" t="s">
        <v>100</v>
      </c>
      <c r="BI15" s="17" t="s">
        <v>50</v>
      </c>
      <c r="BJ15" s="17" t="s">
        <v>50</v>
      </c>
      <c r="BK15" s="27" t="s">
        <v>100</v>
      </c>
      <c r="BL15" s="17" t="s">
        <v>50</v>
      </c>
      <c r="BM15" s="27" t="s">
        <v>100</v>
      </c>
      <c r="BN15" s="17" t="s">
        <v>50</v>
      </c>
      <c r="BO15" s="27" t="s">
        <v>100</v>
      </c>
      <c r="BP15" s="17" t="s">
        <v>111</v>
      </c>
      <c r="BQ15" s="17" t="s">
        <v>111</v>
      </c>
      <c r="BR15" s="17" t="s">
        <v>111</v>
      </c>
      <c r="BS15" s="17" t="s">
        <v>111</v>
      </c>
      <c r="BT15" s="17" t="s">
        <v>111</v>
      </c>
      <c r="BU15" s="17" t="s">
        <v>111</v>
      </c>
      <c r="BV15" s="17" t="s">
        <v>111</v>
      </c>
      <c r="BW15" s="18" t="s">
        <v>52</v>
      </c>
      <c r="BX15" s="18" t="s">
        <v>52</v>
      </c>
      <c r="BY15" s="18" t="s">
        <v>52</v>
      </c>
      <c r="BZ15" s="18" t="s">
        <v>52</v>
      </c>
      <c r="CA15" s="18" t="s">
        <v>52</v>
      </c>
      <c r="CB15" s="18" t="s">
        <v>52</v>
      </c>
      <c r="CC15" s="18" t="s">
        <v>52</v>
      </c>
      <c r="CD15" s="17" t="s">
        <v>111</v>
      </c>
      <c r="CE15" s="17" t="s">
        <v>111</v>
      </c>
      <c r="CF15" s="17" t="s">
        <v>111</v>
      </c>
      <c r="CG15" s="17" t="s">
        <v>111</v>
      </c>
      <c r="CH15" s="17" t="s">
        <v>111</v>
      </c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</row>
    <row r="16" ht="16.5" customHeight="1">
      <c r="A16" s="14" t="s">
        <v>216</v>
      </c>
      <c r="B16" s="17" t="s">
        <v>219</v>
      </c>
      <c r="C16" s="16">
        <v>1.033184338E9</v>
      </c>
      <c r="D16" s="17" t="s">
        <v>49</v>
      </c>
      <c r="E16" s="22"/>
      <c r="F16" s="22"/>
      <c r="G16" s="18" t="s">
        <v>50</v>
      </c>
      <c r="H16" s="22"/>
      <c r="I16" s="19" t="s">
        <v>51</v>
      </c>
      <c r="J16" s="22"/>
      <c r="K16" s="19" t="s">
        <v>51</v>
      </c>
      <c r="L16" s="22"/>
      <c r="M16" s="19" t="s">
        <v>51</v>
      </c>
      <c r="N16" s="22"/>
      <c r="O16" s="19" t="s">
        <v>51</v>
      </c>
      <c r="P16" s="18" t="s">
        <v>50</v>
      </c>
      <c r="Q16" s="18" t="s">
        <v>50</v>
      </c>
      <c r="R16" s="18" t="s">
        <v>50</v>
      </c>
      <c r="S16" s="19" t="s">
        <v>51</v>
      </c>
      <c r="T16" s="19" t="s">
        <v>51</v>
      </c>
      <c r="U16" s="18" t="s">
        <v>50</v>
      </c>
      <c r="V16" s="18" t="s">
        <v>50</v>
      </c>
      <c r="W16" s="18" t="s">
        <v>50</v>
      </c>
      <c r="X16" s="18" t="s">
        <v>51</v>
      </c>
      <c r="Y16" s="18" t="s">
        <v>50</v>
      </c>
      <c r="Z16" s="18" t="s">
        <v>51</v>
      </c>
      <c r="AA16" s="18" t="s">
        <v>50</v>
      </c>
      <c r="AB16" s="18" t="s">
        <v>51</v>
      </c>
      <c r="AC16" s="18" t="s">
        <v>51</v>
      </c>
      <c r="AD16" s="18" t="s">
        <v>50</v>
      </c>
      <c r="AE16" s="18" t="s">
        <v>50</v>
      </c>
      <c r="AF16" s="18" t="s">
        <v>50</v>
      </c>
      <c r="AG16" s="18" t="s">
        <v>51</v>
      </c>
      <c r="AH16" s="18" t="s">
        <v>50</v>
      </c>
      <c r="AI16" s="18" t="s">
        <v>50</v>
      </c>
      <c r="AJ16" s="18" t="s">
        <v>50</v>
      </c>
      <c r="AK16" s="18" t="s">
        <v>50</v>
      </c>
      <c r="AL16" s="18" t="s">
        <v>51</v>
      </c>
      <c r="AM16" s="17" t="s">
        <v>51</v>
      </c>
      <c r="AN16" s="17" t="s">
        <v>51</v>
      </c>
      <c r="AO16" s="17" t="s">
        <v>50</v>
      </c>
      <c r="AP16" s="17" t="s">
        <v>50</v>
      </c>
      <c r="AQ16" s="18" t="s">
        <v>51</v>
      </c>
      <c r="AR16" s="18" t="s">
        <v>51</v>
      </c>
      <c r="AS16" s="17" t="s">
        <v>50</v>
      </c>
      <c r="AT16" s="17" t="s">
        <v>111</v>
      </c>
      <c r="AU16" s="17" t="s">
        <v>111</v>
      </c>
      <c r="AV16" s="19" t="s">
        <v>51</v>
      </c>
      <c r="AW16" s="17" t="s">
        <v>111</v>
      </c>
      <c r="AX16" s="19" t="s">
        <v>51</v>
      </c>
      <c r="AY16" s="17" t="s">
        <v>111</v>
      </c>
      <c r="AZ16" s="19" t="s">
        <v>51</v>
      </c>
      <c r="BA16" s="17" t="s">
        <v>111</v>
      </c>
      <c r="BB16" s="19" t="s">
        <v>51</v>
      </c>
      <c r="BC16" s="17" t="s">
        <v>111</v>
      </c>
      <c r="BD16" s="17" t="s">
        <v>50</v>
      </c>
      <c r="BE16" s="17" t="s">
        <v>51</v>
      </c>
      <c r="BF16" s="17" t="s">
        <v>50</v>
      </c>
      <c r="BG16" s="17" t="s">
        <v>50</v>
      </c>
      <c r="BH16" s="18" t="s">
        <v>51</v>
      </c>
      <c r="BI16" s="18" t="s">
        <v>51</v>
      </c>
      <c r="BJ16" s="18" t="s">
        <v>51</v>
      </c>
      <c r="BK16" s="17" t="s">
        <v>50</v>
      </c>
      <c r="BL16" s="17" t="s">
        <v>50</v>
      </c>
      <c r="BM16" s="18" t="s">
        <v>51</v>
      </c>
      <c r="BN16" s="18" t="s">
        <v>51</v>
      </c>
      <c r="BO16" s="17" t="s">
        <v>50</v>
      </c>
      <c r="BP16" s="17" t="s">
        <v>50</v>
      </c>
      <c r="BQ16" s="18" t="s">
        <v>51</v>
      </c>
      <c r="BR16" s="17" t="s">
        <v>50</v>
      </c>
      <c r="BS16" s="18" t="s">
        <v>51</v>
      </c>
      <c r="BT16" s="18" t="s">
        <v>51</v>
      </c>
      <c r="BU16" s="18" t="s">
        <v>51</v>
      </c>
      <c r="BV16" s="17" t="s">
        <v>50</v>
      </c>
      <c r="BW16" s="18" t="s">
        <v>51</v>
      </c>
      <c r="BX16" s="18" t="s">
        <v>51</v>
      </c>
      <c r="BY16" s="17" t="s">
        <v>50</v>
      </c>
      <c r="BZ16" s="17" t="s">
        <v>50</v>
      </c>
      <c r="CA16" s="17" t="s">
        <v>50</v>
      </c>
      <c r="CB16" s="18" t="s">
        <v>51</v>
      </c>
      <c r="CC16" s="18" t="s">
        <v>51</v>
      </c>
      <c r="CD16" s="17" t="s">
        <v>50</v>
      </c>
      <c r="CE16" s="17" t="s">
        <v>50</v>
      </c>
      <c r="CF16" s="18" t="s">
        <v>51</v>
      </c>
      <c r="CG16" s="18" t="s">
        <v>51</v>
      </c>
      <c r="CH16" s="18" t="s">
        <v>51</v>
      </c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</row>
    <row r="17" ht="16.5" customHeight="1">
      <c r="A17" s="48" t="s">
        <v>223</v>
      </c>
      <c r="B17" s="17" t="s">
        <v>227</v>
      </c>
      <c r="C17" s="16">
        <v>1.011391701E9</v>
      </c>
      <c r="D17" s="17" t="s">
        <v>175</v>
      </c>
      <c r="E17" s="22"/>
      <c r="F17" s="18" t="s">
        <v>50</v>
      </c>
      <c r="G17" s="22"/>
      <c r="H17" s="19" t="s">
        <v>51</v>
      </c>
      <c r="I17" s="22"/>
      <c r="J17" s="19" t="s">
        <v>51</v>
      </c>
      <c r="K17" s="22"/>
      <c r="L17" s="19" t="s">
        <v>51</v>
      </c>
      <c r="M17" s="22"/>
      <c r="N17" s="50"/>
      <c r="O17" s="35" t="s">
        <v>111</v>
      </c>
      <c r="P17" s="19" t="s">
        <v>51</v>
      </c>
      <c r="Q17" s="35" t="s">
        <v>111</v>
      </c>
      <c r="R17" s="18" t="s">
        <v>50</v>
      </c>
      <c r="S17" s="35" t="s">
        <v>111</v>
      </c>
      <c r="T17" s="18" t="s">
        <v>50</v>
      </c>
      <c r="U17" s="35" t="s">
        <v>111</v>
      </c>
      <c r="V17" s="18" t="s">
        <v>50</v>
      </c>
      <c r="W17" s="18" t="s">
        <v>50</v>
      </c>
      <c r="X17" s="35" t="s">
        <v>111</v>
      </c>
      <c r="Y17" s="18" t="s">
        <v>50</v>
      </c>
      <c r="Z17" s="35" t="s">
        <v>111</v>
      </c>
      <c r="AA17" s="18" t="s">
        <v>50</v>
      </c>
      <c r="AB17" s="35" t="s">
        <v>111</v>
      </c>
      <c r="AC17" s="18" t="s">
        <v>50</v>
      </c>
      <c r="AD17" s="35" t="s">
        <v>111</v>
      </c>
      <c r="AE17" s="35" t="s">
        <v>111</v>
      </c>
      <c r="AF17" s="35" t="s">
        <v>50</v>
      </c>
      <c r="AG17" s="18" t="s">
        <v>50</v>
      </c>
      <c r="AH17" s="18" t="s">
        <v>50</v>
      </c>
      <c r="AI17" s="18" t="s">
        <v>50</v>
      </c>
      <c r="AJ17" s="18" t="s">
        <v>51</v>
      </c>
      <c r="AK17" s="18" t="s">
        <v>51</v>
      </c>
      <c r="AL17" s="18" t="s">
        <v>50</v>
      </c>
      <c r="AM17" s="17" t="s">
        <v>50</v>
      </c>
      <c r="AN17" s="17" t="s">
        <v>50</v>
      </c>
      <c r="AO17" s="17" t="s">
        <v>51</v>
      </c>
      <c r="AP17" s="17" t="s">
        <v>51</v>
      </c>
      <c r="AQ17" s="17" t="s">
        <v>50</v>
      </c>
      <c r="AR17" s="17" t="s">
        <v>50</v>
      </c>
      <c r="AS17" s="17" t="s">
        <v>51</v>
      </c>
      <c r="AT17" s="17" t="s">
        <v>111</v>
      </c>
      <c r="AU17" s="19" t="s">
        <v>51</v>
      </c>
      <c r="AV17" s="17" t="s">
        <v>111</v>
      </c>
      <c r="AW17" s="19" t="s">
        <v>51</v>
      </c>
      <c r="AX17" s="18" t="s">
        <v>50</v>
      </c>
      <c r="AY17" s="19" t="s">
        <v>51</v>
      </c>
      <c r="AZ17" s="18" t="s">
        <v>50</v>
      </c>
      <c r="BA17" s="19" t="s">
        <v>51</v>
      </c>
      <c r="BB17" s="17" t="s">
        <v>111</v>
      </c>
      <c r="BC17" s="17" t="s">
        <v>111</v>
      </c>
      <c r="BD17" s="17" t="s">
        <v>111</v>
      </c>
      <c r="BE17" s="17" t="s">
        <v>111</v>
      </c>
      <c r="BF17" s="17" t="s">
        <v>111</v>
      </c>
      <c r="BG17" s="17" t="s">
        <v>111</v>
      </c>
      <c r="BH17" s="17" t="s">
        <v>111</v>
      </c>
      <c r="BI17" s="17" t="s">
        <v>51</v>
      </c>
      <c r="BJ17" s="18" t="s">
        <v>51</v>
      </c>
      <c r="BK17" s="19" t="s">
        <v>111</v>
      </c>
      <c r="BL17" s="17" t="s">
        <v>50</v>
      </c>
      <c r="BM17" s="19" t="s">
        <v>111</v>
      </c>
      <c r="BN17" s="18" t="s">
        <v>51</v>
      </c>
      <c r="BO17" s="19" t="s">
        <v>111</v>
      </c>
      <c r="BP17" s="17" t="s">
        <v>50</v>
      </c>
      <c r="BQ17" s="19" t="s">
        <v>111</v>
      </c>
      <c r="BR17" s="18" t="s">
        <v>51</v>
      </c>
      <c r="BS17" s="19" t="s">
        <v>111</v>
      </c>
      <c r="BT17" s="17" t="s">
        <v>50</v>
      </c>
      <c r="BU17" s="17" t="s">
        <v>111</v>
      </c>
      <c r="BV17" s="18" t="s">
        <v>51</v>
      </c>
      <c r="BW17" s="17" t="s">
        <v>111</v>
      </c>
      <c r="BX17" s="17" t="s">
        <v>50</v>
      </c>
      <c r="BY17" s="17" t="s">
        <v>111</v>
      </c>
      <c r="BZ17" s="18" t="s">
        <v>51</v>
      </c>
      <c r="CA17" s="18" t="s">
        <v>51</v>
      </c>
      <c r="CB17" s="17" t="s">
        <v>111</v>
      </c>
      <c r="CC17" s="17" t="s">
        <v>50</v>
      </c>
      <c r="CD17" s="17" t="s">
        <v>111</v>
      </c>
      <c r="CE17" s="18" t="s">
        <v>51</v>
      </c>
      <c r="CF17" s="17" t="s">
        <v>111</v>
      </c>
      <c r="CG17" s="17" t="s">
        <v>50</v>
      </c>
      <c r="CH17" s="17" t="s">
        <v>50</v>
      </c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</row>
    <row r="18" ht="16.5" customHeight="1">
      <c r="A18" s="53" t="s">
        <v>230</v>
      </c>
      <c r="B18" s="17" t="s">
        <v>232</v>
      </c>
      <c r="C18" s="16">
        <v>1.036448195E9</v>
      </c>
      <c r="D18" s="26" t="s">
        <v>90</v>
      </c>
      <c r="E18" s="18" t="s">
        <v>233</v>
      </c>
      <c r="F18" s="18" t="s">
        <v>233</v>
      </c>
      <c r="G18" s="18" t="s">
        <v>50</v>
      </c>
      <c r="H18" s="20" t="s">
        <v>99</v>
      </c>
      <c r="I18" s="20" t="s">
        <v>52</v>
      </c>
      <c r="J18" s="20" t="s">
        <v>52</v>
      </c>
      <c r="K18" s="20" t="s">
        <v>235</v>
      </c>
      <c r="L18" s="22"/>
      <c r="M18" s="18" t="s">
        <v>50</v>
      </c>
      <c r="N18" s="18" t="s">
        <v>52</v>
      </c>
      <c r="O18" s="35" t="s">
        <v>111</v>
      </c>
      <c r="P18" s="35" t="s">
        <v>111</v>
      </c>
      <c r="Q18" s="35" t="s">
        <v>111</v>
      </c>
      <c r="R18" s="35" t="s">
        <v>111</v>
      </c>
      <c r="S18" s="35" t="s">
        <v>111</v>
      </c>
      <c r="T18" s="35" t="s">
        <v>111</v>
      </c>
      <c r="U18" s="35" t="s">
        <v>111</v>
      </c>
      <c r="V18" s="35" t="s">
        <v>111</v>
      </c>
      <c r="W18" s="18" t="s">
        <v>52</v>
      </c>
      <c r="X18" s="35" t="s">
        <v>111</v>
      </c>
      <c r="Y18" s="35" t="s">
        <v>111</v>
      </c>
      <c r="Z18" s="35" t="s">
        <v>111</v>
      </c>
      <c r="AA18" s="35" t="s">
        <v>111</v>
      </c>
      <c r="AB18" s="35" t="s">
        <v>111</v>
      </c>
      <c r="AC18" s="35" t="s">
        <v>111</v>
      </c>
      <c r="AD18" s="18" t="s">
        <v>50</v>
      </c>
      <c r="AE18" s="35" t="s">
        <v>111</v>
      </c>
      <c r="AF18" s="35" t="s">
        <v>111</v>
      </c>
      <c r="AG18" s="18" t="s">
        <v>50</v>
      </c>
      <c r="AH18" s="18" t="s">
        <v>50</v>
      </c>
      <c r="AI18" s="18" t="s">
        <v>50</v>
      </c>
      <c r="AJ18" s="18" t="s">
        <v>52</v>
      </c>
      <c r="AK18" s="18" t="s">
        <v>50</v>
      </c>
      <c r="AL18" s="18" t="s">
        <v>50</v>
      </c>
      <c r="AM18" s="17" t="s">
        <v>50</v>
      </c>
      <c r="AN18" s="17" t="s">
        <v>50</v>
      </c>
      <c r="AO18" s="17" t="s">
        <v>52</v>
      </c>
      <c r="AP18" s="17" t="s">
        <v>52</v>
      </c>
      <c r="AQ18" s="17" t="s">
        <v>50</v>
      </c>
      <c r="AR18" s="17" t="s">
        <v>50</v>
      </c>
      <c r="AS18" s="17" t="s">
        <v>50</v>
      </c>
      <c r="AT18" s="18" t="s">
        <v>50</v>
      </c>
      <c r="AU18" s="17" t="s">
        <v>111</v>
      </c>
      <c r="AV18" s="17" t="s">
        <v>111</v>
      </c>
      <c r="AW18" s="18" t="s">
        <v>52</v>
      </c>
      <c r="AX18" s="18" t="s">
        <v>52</v>
      </c>
      <c r="AY18" s="17" t="s">
        <v>111</v>
      </c>
      <c r="AZ18" s="17" t="s">
        <v>111</v>
      </c>
      <c r="BA18" s="18" t="s">
        <v>50</v>
      </c>
      <c r="BB18" s="18" t="s">
        <v>52</v>
      </c>
      <c r="BC18" s="17" t="s">
        <v>111</v>
      </c>
      <c r="BD18" s="24" t="s">
        <v>50</v>
      </c>
      <c r="BE18" s="17" t="s">
        <v>50</v>
      </c>
      <c r="BF18" s="27" t="s">
        <v>100</v>
      </c>
      <c r="BG18" s="17" t="s">
        <v>50</v>
      </c>
      <c r="BH18" s="27" t="s">
        <v>100</v>
      </c>
      <c r="BI18" s="17" t="s">
        <v>50</v>
      </c>
      <c r="BJ18" s="17" t="s">
        <v>50</v>
      </c>
      <c r="BK18" s="27" t="s">
        <v>100</v>
      </c>
      <c r="BL18" s="17" t="s">
        <v>50</v>
      </c>
      <c r="BM18" s="27" t="s">
        <v>100</v>
      </c>
      <c r="BN18" s="18" t="s">
        <v>52</v>
      </c>
      <c r="BO18" s="27" t="s">
        <v>100</v>
      </c>
      <c r="BP18" s="17" t="s">
        <v>50</v>
      </c>
      <c r="BQ18" s="27" t="s">
        <v>100</v>
      </c>
      <c r="BR18" s="18" t="s">
        <v>52</v>
      </c>
      <c r="BS18" s="27" t="s">
        <v>100</v>
      </c>
      <c r="BT18" s="17" t="s">
        <v>50</v>
      </c>
      <c r="BU18" s="27" t="s">
        <v>100</v>
      </c>
      <c r="BV18" s="27" t="s">
        <v>100</v>
      </c>
      <c r="BW18" s="27" t="s">
        <v>100</v>
      </c>
      <c r="BX18" s="27" t="s">
        <v>100</v>
      </c>
      <c r="BY18" s="27" t="s">
        <v>100</v>
      </c>
      <c r="BZ18" s="27" t="s">
        <v>100</v>
      </c>
      <c r="CA18" s="27" t="s">
        <v>100</v>
      </c>
      <c r="CB18" s="27" t="s">
        <v>100</v>
      </c>
      <c r="CC18" s="27" t="s">
        <v>100</v>
      </c>
      <c r="CD18" s="27" t="s">
        <v>100</v>
      </c>
      <c r="CE18" s="27" t="s">
        <v>100</v>
      </c>
      <c r="CF18" s="27" t="s">
        <v>100</v>
      </c>
      <c r="CG18" s="27" t="s">
        <v>100</v>
      </c>
      <c r="CH18" s="27" t="s">
        <v>100</v>
      </c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</row>
    <row r="19" ht="16.5" customHeight="1">
      <c r="A19" s="31" t="s">
        <v>239</v>
      </c>
      <c r="B19" s="17" t="s">
        <v>241</v>
      </c>
      <c r="C19" s="16">
        <v>1.018243153E9</v>
      </c>
      <c r="D19" s="17" t="s">
        <v>124</v>
      </c>
      <c r="E19" s="19"/>
      <c r="F19" s="18"/>
      <c r="G19" s="17"/>
      <c r="H19" s="17"/>
      <c r="I19" s="17"/>
      <c r="J19" s="17"/>
      <c r="K19" s="19"/>
      <c r="L19" s="17"/>
      <c r="M19" s="17"/>
      <c r="N19" s="18"/>
      <c r="O19" s="36"/>
      <c r="P19" s="19"/>
      <c r="Q19" s="36"/>
      <c r="R19" s="18"/>
      <c r="S19" s="36"/>
      <c r="T19" s="18"/>
      <c r="U19" s="36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7"/>
      <c r="AP19" s="17"/>
      <c r="AQ19" s="17"/>
      <c r="AR19" s="17"/>
      <c r="AS19" s="17"/>
      <c r="AT19" s="17" t="s">
        <v>111</v>
      </c>
      <c r="AU19" s="19" t="s">
        <v>51</v>
      </c>
      <c r="AV19" s="18" t="s">
        <v>50</v>
      </c>
      <c r="AW19" s="19" t="s">
        <v>51</v>
      </c>
      <c r="AX19" s="19" t="s">
        <v>51</v>
      </c>
      <c r="AY19" s="17" t="s">
        <v>111</v>
      </c>
      <c r="AZ19" s="18" t="s">
        <v>52</v>
      </c>
      <c r="BA19" s="17" t="s">
        <v>111</v>
      </c>
      <c r="BB19" s="17" t="s">
        <v>111</v>
      </c>
      <c r="BC19" s="17" t="s">
        <v>111</v>
      </c>
      <c r="BD19" s="17" t="s">
        <v>111</v>
      </c>
      <c r="BE19" s="17" t="s">
        <v>111</v>
      </c>
      <c r="BF19" s="17" t="s">
        <v>111</v>
      </c>
      <c r="BG19" s="17" t="s">
        <v>111</v>
      </c>
      <c r="BH19" s="17" t="s">
        <v>111</v>
      </c>
      <c r="BI19" s="17" t="s">
        <v>111</v>
      </c>
      <c r="BJ19" s="17" t="s">
        <v>111</v>
      </c>
      <c r="BK19" s="17" t="s">
        <v>111</v>
      </c>
      <c r="BL19" s="17" t="s">
        <v>111</v>
      </c>
      <c r="BM19" s="17" t="s">
        <v>111</v>
      </c>
      <c r="BN19" s="17" t="s">
        <v>111</v>
      </c>
      <c r="BO19" s="17" t="s">
        <v>111</v>
      </c>
      <c r="BP19" s="17" t="s">
        <v>111</v>
      </c>
      <c r="BQ19" s="17" t="s">
        <v>111</v>
      </c>
      <c r="BR19" s="17" t="s">
        <v>111</v>
      </c>
      <c r="BS19" s="17" t="s">
        <v>111</v>
      </c>
      <c r="BT19" s="18" t="s">
        <v>52</v>
      </c>
      <c r="BU19" s="17" t="s">
        <v>111</v>
      </c>
      <c r="BV19" s="17" t="s">
        <v>50</v>
      </c>
      <c r="BW19" s="17" t="s">
        <v>111</v>
      </c>
      <c r="BX19" s="18" t="s">
        <v>52</v>
      </c>
      <c r="BY19" s="17" t="s">
        <v>111</v>
      </c>
      <c r="BZ19" s="17" t="s">
        <v>50</v>
      </c>
      <c r="CA19" s="17" t="s">
        <v>50</v>
      </c>
      <c r="CB19" s="17" t="s">
        <v>111</v>
      </c>
      <c r="CC19" s="18" t="s">
        <v>52</v>
      </c>
      <c r="CD19" s="17" t="s">
        <v>111</v>
      </c>
      <c r="CE19" s="17" t="s">
        <v>50</v>
      </c>
      <c r="CF19" s="17" t="s">
        <v>111</v>
      </c>
      <c r="CG19" s="18" t="s">
        <v>52</v>
      </c>
      <c r="CH19" s="18" t="s">
        <v>52</v>
      </c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</row>
    <row r="20" ht="16.5" customHeight="1">
      <c r="A20" s="31" t="s">
        <v>245</v>
      </c>
      <c r="B20" s="17" t="s">
        <v>247</v>
      </c>
      <c r="C20" s="16">
        <v>1.036448863E9</v>
      </c>
      <c r="D20" s="17" t="s">
        <v>124</v>
      </c>
      <c r="E20" s="19" t="s">
        <v>248</v>
      </c>
      <c r="F20" s="18" t="s">
        <v>111</v>
      </c>
      <c r="G20" s="17" t="s">
        <v>111</v>
      </c>
      <c r="H20" s="17" t="s">
        <v>111</v>
      </c>
      <c r="I20" s="17" t="s">
        <v>111</v>
      </c>
      <c r="J20" s="17" t="s">
        <v>111</v>
      </c>
      <c r="K20" s="19" t="s">
        <v>248</v>
      </c>
      <c r="L20" s="17" t="s">
        <v>111</v>
      </c>
      <c r="M20" s="17" t="s">
        <v>51</v>
      </c>
      <c r="N20" s="18" t="s">
        <v>50</v>
      </c>
      <c r="O20" s="36" t="s">
        <v>125</v>
      </c>
      <c r="P20" s="19" t="s">
        <v>51</v>
      </c>
      <c r="Q20" s="36" t="s">
        <v>125</v>
      </c>
      <c r="R20" s="18" t="s">
        <v>50</v>
      </c>
      <c r="S20" s="36" t="s">
        <v>125</v>
      </c>
      <c r="T20" s="18" t="s">
        <v>50</v>
      </c>
      <c r="U20" s="36" t="s">
        <v>125</v>
      </c>
      <c r="V20" s="18" t="s">
        <v>50</v>
      </c>
      <c r="W20" s="18" t="s">
        <v>50</v>
      </c>
      <c r="X20" s="18" t="s">
        <v>51</v>
      </c>
      <c r="Y20" s="18" t="s">
        <v>50</v>
      </c>
      <c r="Z20" s="18" t="s">
        <v>52</v>
      </c>
      <c r="AA20" s="18" t="s">
        <v>50</v>
      </c>
      <c r="AB20" s="18" t="s">
        <v>51</v>
      </c>
      <c r="AC20" s="18" t="s">
        <v>51</v>
      </c>
      <c r="AD20" s="18" t="s">
        <v>50</v>
      </c>
      <c r="AE20" s="18" t="s">
        <v>50</v>
      </c>
      <c r="AF20" s="18" t="s">
        <v>50</v>
      </c>
      <c r="AG20" s="18" t="s">
        <v>51</v>
      </c>
      <c r="AH20" s="18" t="s">
        <v>50</v>
      </c>
      <c r="AI20" s="18" t="s">
        <v>50</v>
      </c>
      <c r="AJ20" s="18" t="s">
        <v>50</v>
      </c>
      <c r="AK20" s="18" t="s">
        <v>50</v>
      </c>
      <c r="AL20" s="18" t="s">
        <v>52</v>
      </c>
      <c r="AM20" s="18" t="s">
        <v>52</v>
      </c>
      <c r="AN20" s="18" t="s">
        <v>52</v>
      </c>
      <c r="AO20" s="17" t="s">
        <v>50</v>
      </c>
      <c r="AP20" s="17" t="s">
        <v>50</v>
      </c>
      <c r="AQ20" s="17" t="s">
        <v>51</v>
      </c>
      <c r="AR20" s="17" t="s">
        <v>51</v>
      </c>
      <c r="AS20" s="17" t="s">
        <v>50</v>
      </c>
      <c r="AT20" s="19" t="s">
        <v>248</v>
      </c>
      <c r="AU20" s="18" t="s">
        <v>111</v>
      </c>
      <c r="AV20" s="17" t="s">
        <v>111</v>
      </c>
      <c r="AW20" s="17" t="s">
        <v>111</v>
      </c>
      <c r="AX20" s="17" t="s">
        <v>111</v>
      </c>
      <c r="AY20" s="17" t="s">
        <v>111</v>
      </c>
      <c r="AZ20" s="19" t="s">
        <v>248</v>
      </c>
      <c r="BA20" s="17" t="s">
        <v>111</v>
      </c>
      <c r="BB20" s="17" t="s">
        <v>51</v>
      </c>
      <c r="BC20" s="18" t="s">
        <v>50</v>
      </c>
      <c r="BD20" s="17" t="s">
        <v>51</v>
      </c>
      <c r="BE20" s="17" t="s">
        <v>50</v>
      </c>
      <c r="BF20" s="17" t="s">
        <v>50</v>
      </c>
      <c r="BG20" s="17" t="s">
        <v>50</v>
      </c>
      <c r="BH20" s="17" t="s">
        <v>51</v>
      </c>
      <c r="BI20" s="17" t="s">
        <v>51</v>
      </c>
      <c r="BJ20" s="17" t="s">
        <v>51</v>
      </c>
      <c r="BK20" s="17" t="s">
        <v>50</v>
      </c>
      <c r="BL20" s="17" t="s">
        <v>50</v>
      </c>
      <c r="BM20" s="17" t="s">
        <v>51</v>
      </c>
      <c r="BN20" s="17" t="s">
        <v>51</v>
      </c>
      <c r="BO20" s="17" t="s">
        <v>50</v>
      </c>
      <c r="BP20" s="17" t="s">
        <v>50</v>
      </c>
      <c r="BQ20" s="18" t="s">
        <v>52</v>
      </c>
      <c r="BR20" s="17" t="s">
        <v>50</v>
      </c>
      <c r="BS20" s="18" t="s">
        <v>52</v>
      </c>
      <c r="BT20" s="17" t="s">
        <v>50</v>
      </c>
      <c r="BU20" s="18" t="s">
        <v>52</v>
      </c>
      <c r="BV20" s="18" t="s">
        <v>170</v>
      </c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</row>
    <row r="21" ht="16.5" customHeight="1">
      <c r="A21" s="14" t="s">
        <v>253</v>
      </c>
      <c r="B21" s="17" t="s">
        <v>257</v>
      </c>
      <c r="C21" s="16">
        <v>1.033180843E9</v>
      </c>
      <c r="D21" s="17" t="s">
        <v>104</v>
      </c>
      <c r="E21" s="22"/>
      <c r="F21" s="22"/>
      <c r="G21" s="22"/>
      <c r="H21" s="19" t="s">
        <v>51</v>
      </c>
      <c r="I21" s="22"/>
      <c r="J21" s="20" t="s">
        <v>52</v>
      </c>
      <c r="K21" s="22"/>
      <c r="L21" s="22"/>
      <c r="M21" s="22"/>
      <c r="N21" s="18" t="s">
        <v>52</v>
      </c>
      <c r="O21" s="18" t="s">
        <v>50</v>
      </c>
      <c r="P21" s="18" t="s">
        <v>50</v>
      </c>
      <c r="Q21" s="19" t="s">
        <v>51</v>
      </c>
      <c r="R21" s="19" t="s">
        <v>51</v>
      </c>
      <c r="S21" s="18" t="s">
        <v>50</v>
      </c>
      <c r="T21" s="18" t="s">
        <v>50</v>
      </c>
      <c r="U21" s="18" t="s">
        <v>51</v>
      </c>
      <c r="V21" s="18" t="s">
        <v>51</v>
      </c>
      <c r="W21" s="18" t="s">
        <v>50</v>
      </c>
      <c r="X21" s="18" t="s">
        <v>50</v>
      </c>
      <c r="Y21" s="18" t="s">
        <v>50</v>
      </c>
      <c r="Z21" s="18" t="s">
        <v>52</v>
      </c>
      <c r="AA21" s="18" t="s">
        <v>50</v>
      </c>
      <c r="AB21" s="18" t="s">
        <v>50</v>
      </c>
      <c r="AC21" s="18" t="s">
        <v>50</v>
      </c>
      <c r="AD21" s="18" t="s">
        <v>52</v>
      </c>
      <c r="AE21" s="18" t="s">
        <v>50</v>
      </c>
      <c r="AF21" s="18" t="s">
        <v>52</v>
      </c>
      <c r="AG21" s="18" t="s">
        <v>52</v>
      </c>
      <c r="AH21" s="18" t="s">
        <v>50</v>
      </c>
      <c r="AI21" s="18" t="s">
        <v>50</v>
      </c>
      <c r="AJ21" s="18" t="s">
        <v>50</v>
      </c>
      <c r="AK21" s="18" t="s">
        <v>50</v>
      </c>
      <c r="AL21" s="18" t="s">
        <v>52</v>
      </c>
      <c r="AM21" s="18" t="s">
        <v>52</v>
      </c>
      <c r="AN21" s="18" t="s">
        <v>52</v>
      </c>
      <c r="AO21" s="17" t="s">
        <v>50</v>
      </c>
      <c r="AP21" s="17" t="s">
        <v>50</v>
      </c>
      <c r="AQ21" s="18" t="s">
        <v>52</v>
      </c>
      <c r="AR21" s="18" t="s">
        <v>52</v>
      </c>
      <c r="AS21" s="17" t="s">
        <v>50</v>
      </c>
      <c r="AT21" s="17" t="s">
        <v>111</v>
      </c>
      <c r="AU21" s="17" t="s">
        <v>111</v>
      </c>
      <c r="AV21" s="17" t="s">
        <v>111</v>
      </c>
      <c r="AW21" s="18" t="s">
        <v>52</v>
      </c>
      <c r="AX21" s="18" t="s">
        <v>52</v>
      </c>
      <c r="AY21" s="18" t="s">
        <v>52</v>
      </c>
      <c r="AZ21" s="17" t="s">
        <v>111</v>
      </c>
      <c r="BA21" s="18" t="s">
        <v>50</v>
      </c>
      <c r="BB21" s="17" t="s">
        <v>111</v>
      </c>
      <c r="BC21" s="17" t="s">
        <v>111</v>
      </c>
      <c r="BD21" s="17" t="s">
        <v>50</v>
      </c>
      <c r="BE21" s="24" t="s">
        <v>52</v>
      </c>
      <c r="BF21" s="27" t="s">
        <v>100</v>
      </c>
      <c r="BG21" s="17" t="s">
        <v>50</v>
      </c>
      <c r="BH21" s="27" t="s">
        <v>100</v>
      </c>
      <c r="BI21" s="17" t="s">
        <v>50</v>
      </c>
      <c r="BJ21" s="17" t="s">
        <v>50</v>
      </c>
      <c r="BK21" s="27" t="s">
        <v>100</v>
      </c>
      <c r="BL21" s="17" t="s">
        <v>50</v>
      </c>
      <c r="BM21" s="27" t="s">
        <v>100</v>
      </c>
      <c r="BN21" s="24" t="s">
        <v>52</v>
      </c>
      <c r="BO21" s="27" t="s">
        <v>100</v>
      </c>
      <c r="BP21" s="17" t="s">
        <v>50</v>
      </c>
      <c r="BQ21" s="27" t="s">
        <v>100</v>
      </c>
      <c r="BR21" s="18" t="s">
        <v>52</v>
      </c>
      <c r="BS21" s="27" t="s">
        <v>100</v>
      </c>
      <c r="BT21" s="17" t="s">
        <v>50</v>
      </c>
      <c r="BU21" s="27" t="s">
        <v>100</v>
      </c>
      <c r="BV21" s="27" t="s">
        <v>100</v>
      </c>
      <c r="BW21" s="27" t="s">
        <v>100</v>
      </c>
      <c r="BX21" s="18" t="s">
        <v>170</v>
      </c>
      <c r="BY21" s="27" t="s">
        <v>100</v>
      </c>
      <c r="BZ21" s="27" t="s">
        <v>100</v>
      </c>
      <c r="CA21" s="20" t="s">
        <v>184</v>
      </c>
      <c r="CB21" s="27" t="s">
        <v>100</v>
      </c>
      <c r="CC21" s="27" t="s">
        <v>100</v>
      </c>
      <c r="CD21" s="27" t="s">
        <v>100</v>
      </c>
      <c r="CE21" s="27" t="s">
        <v>100</v>
      </c>
      <c r="CF21" s="27" t="s">
        <v>100</v>
      </c>
      <c r="CG21" s="27" t="s">
        <v>100</v>
      </c>
      <c r="CH21" s="27" t="s">
        <v>100</v>
      </c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</row>
    <row r="22" ht="16.5" customHeight="1">
      <c r="A22" s="31" t="s">
        <v>261</v>
      </c>
      <c r="B22" s="17" t="s">
        <v>263</v>
      </c>
      <c r="C22" s="16">
        <v>1.018238026E9</v>
      </c>
      <c r="D22" s="17" t="s">
        <v>124</v>
      </c>
      <c r="E22" s="22"/>
      <c r="F22" s="22"/>
      <c r="G22" s="22"/>
      <c r="H22" s="22"/>
      <c r="I22" s="22"/>
      <c r="J22" s="19"/>
      <c r="K22" s="18"/>
      <c r="L22" s="18"/>
      <c r="M22" s="22"/>
      <c r="N22" s="18"/>
      <c r="O22" s="18"/>
      <c r="P22" s="18"/>
      <c r="Q22" s="20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7"/>
      <c r="AN22" s="17"/>
      <c r="AO22" s="17"/>
      <c r="AP22" s="17"/>
      <c r="AQ22" s="17"/>
      <c r="AR22" s="17"/>
      <c r="AS22" s="17"/>
      <c r="AT22" s="19" t="s">
        <v>248</v>
      </c>
      <c r="AU22" s="17" t="s">
        <v>111</v>
      </c>
      <c r="AV22" s="19" t="s">
        <v>248</v>
      </c>
      <c r="AW22" s="17" t="s">
        <v>111</v>
      </c>
      <c r="AX22" s="18" t="s">
        <v>52</v>
      </c>
      <c r="AY22" s="17" t="s">
        <v>51</v>
      </c>
      <c r="AZ22" s="17" t="s">
        <v>111</v>
      </c>
      <c r="BA22" s="17" t="s">
        <v>264</v>
      </c>
      <c r="BB22" s="18" t="s">
        <v>52</v>
      </c>
      <c r="BC22" s="17" t="s">
        <v>111</v>
      </c>
      <c r="BD22" s="17"/>
      <c r="BE22" s="24"/>
      <c r="BF22" s="18"/>
      <c r="BG22" s="18"/>
      <c r="BH22" s="17"/>
      <c r="BI22" s="17"/>
      <c r="BJ22" s="17"/>
      <c r="BK22" s="18"/>
      <c r="BL22" s="18"/>
      <c r="BM22" s="24"/>
      <c r="BN22" s="24"/>
      <c r="BO22" s="24"/>
      <c r="BP22" s="17"/>
      <c r="BQ22" s="18"/>
      <c r="BR22" s="18"/>
      <c r="BS22" s="18" t="s">
        <v>51</v>
      </c>
      <c r="BT22" s="18" t="s">
        <v>52</v>
      </c>
      <c r="BU22" s="17" t="s">
        <v>52</v>
      </c>
      <c r="BV22" s="17" t="s">
        <v>52</v>
      </c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</row>
    <row r="23" ht="16.5" customHeight="1">
      <c r="A23" s="31" t="s">
        <v>266</v>
      </c>
      <c r="B23" s="17" t="s">
        <v>269</v>
      </c>
      <c r="C23" s="16">
        <v>1.03498784E9</v>
      </c>
      <c r="D23" s="17" t="s">
        <v>49</v>
      </c>
      <c r="E23" s="22"/>
      <c r="F23" s="22"/>
      <c r="G23" s="22"/>
      <c r="H23" s="22"/>
      <c r="I23" s="22"/>
      <c r="J23" s="19" t="s">
        <v>51</v>
      </c>
      <c r="K23" s="18" t="s">
        <v>50</v>
      </c>
      <c r="L23" s="18" t="s">
        <v>51</v>
      </c>
      <c r="M23" s="22"/>
      <c r="N23" s="18" t="s">
        <v>52</v>
      </c>
      <c r="O23" s="18" t="s">
        <v>50</v>
      </c>
      <c r="P23" s="18" t="s">
        <v>50</v>
      </c>
      <c r="Q23" s="20" t="s">
        <v>99</v>
      </c>
      <c r="R23" s="18" t="s">
        <v>50</v>
      </c>
      <c r="S23" s="18" t="s">
        <v>50</v>
      </c>
      <c r="T23" s="18" t="s">
        <v>50</v>
      </c>
      <c r="U23" s="18" t="s">
        <v>51</v>
      </c>
      <c r="V23" s="18" t="s">
        <v>51</v>
      </c>
      <c r="W23" s="18" t="s">
        <v>50</v>
      </c>
      <c r="X23" s="18" t="s">
        <v>50</v>
      </c>
      <c r="Y23" s="18" t="s">
        <v>51</v>
      </c>
      <c r="Z23" s="18" t="s">
        <v>52</v>
      </c>
      <c r="AA23" s="18" t="s">
        <v>50</v>
      </c>
      <c r="AB23" s="18" t="s">
        <v>50</v>
      </c>
      <c r="AC23" s="18" t="s">
        <v>50</v>
      </c>
      <c r="AD23" s="18" t="s">
        <v>50</v>
      </c>
      <c r="AE23" s="18" t="s">
        <v>52</v>
      </c>
      <c r="AF23" s="18" t="s">
        <v>50</v>
      </c>
      <c r="AG23" s="18" t="s">
        <v>52</v>
      </c>
      <c r="AH23" s="18" t="s">
        <v>50</v>
      </c>
      <c r="AI23" s="18" t="s">
        <v>50</v>
      </c>
      <c r="AJ23" s="18" t="s">
        <v>50</v>
      </c>
      <c r="AK23" s="18" t="s">
        <v>50</v>
      </c>
      <c r="AL23" s="18" t="s">
        <v>52</v>
      </c>
      <c r="AM23" s="17" t="s">
        <v>51</v>
      </c>
      <c r="AN23" s="17" t="s">
        <v>51</v>
      </c>
      <c r="AO23" s="17" t="s">
        <v>50</v>
      </c>
      <c r="AP23" s="17" t="s">
        <v>50</v>
      </c>
      <c r="AQ23" s="17" t="s">
        <v>52</v>
      </c>
      <c r="AR23" s="17" t="s">
        <v>50</v>
      </c>
      <c r="AS23" s="17" t="s">
        <v>52</v>
      </c>
      <c r="AT23" s="17" t="s">
        <v>111</v>
      </c>
      <c r="AU23" s="17" t="s">
        <v>111</v>
      </c>
      <c r="AV23" s="17" t="s">
        <v>111</v>
      </c>
      <c r="AW23" s="17" t="s">
        <v>111</v>
      </c>
      <c r="AX23" s="19" t="s">
        <v>51</v>
      </c>
      <c r="AY23" s="17" t="s">
        <v>111</v>
      </c>
      <c r="AZ23" s="17" t="s">
        <v>111</v>
      </c>
      <c r="BA23" s="17" t="s">
        <v>111</v>
      </c>
      <c r="BB23" s="18" t="s">
        <v>52</v>
      </c>
      <c r="BC23" s="18" t="s">
        <v>50</v>
      </c>
      <c r="BD23" s="17" t="s">
        <v>50</v>
      </c>
      <c r="BE23" s="17" t="s">
        <v>50</v>
      </c>
      <c r="BF23" s="18" t="s">
        <v>51</v>
      </c>
      <c r="BG23" s="18" t="s">
        <v>51</v>
      </c>
      <c r="BH23" s="17" t="s">
        <v>50</v>
      </c>
      <c r="BI23" s="17" t="s">
        <v>50</v>
      </c>
      <c r="BJ23" s="17" t="s">
        <v>50</v>
      </c>
      <c r="BK23" s="18" t="s">
        <v>51</v>
      </c>
      <c r="BL23" s="18" t="s">
        <v>51</v>
      </c>
      <c r="BM23" s="24" t="s">
        <v>52</v>
      </c>
      <c r="BN23" s="17" t="s">
        <v>50</v>
      </c>
      <c r="BO23" s="24" t="s">
        <v>52</v>
      </c>
      <c r="BP23" s="17" t="s">
        <v>50</v>
      </c>
      <c r="BQ23" s="18" t="s">
        <v>52</v>
      </c>
      <c r="BR23" s="18" t="s">
        <v>52</v>
      </c>
      <c r="BS23" s="17" t="s">
        <v>50</v>
      </c>
      <c r="BT23" s="17" t="s">
        <v>50</v>
      </c>
      <c r="BU23" s="18" t="s">
        <v>52</v>
      </c>
      <c r="BV23" s="18" t="s">
        <v>51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</row>
    <row r="24" ht="16.5" customHeight="1">
      <c r="A24" s="14" t="s">
        <v>273</v>
      </c>
      <c r="B24" s="17" t="s">
        <v>275</v>
      </c>
      <c r="C24" s="16">
        <v>1.035973364E9</v>
      </c>
      <c r="D24" s="17" t="s">
        <v>124</v>
      </c>
      <c r="E24" s="22"/>
      <c r="F24" s="19" t="s">
        <v>51</v>
      </c>
      <c r="G24" s="19" t="s">
        <v>51</v>
      </c>
      <c r="H24" s="22"/>
      <c r="I24" s="22"/>
      <c r="J24" s="22"/>
      <c r="K24" s="19" t="s">
        <v>51</v>
      </c>
      <c r="L24" s="22"/>
      <c r="M24" s="22"/>
      <c r="N24" s="22"/>
      <c r="O24" s="36" t="s">
        <v>125</v>
      </c>
      <c r="P24" s="18" t="s">
        <v>50</v>
      </c>
      <c r="Q24" s="36" t="s">
        <v>125</v>
      </c>
      <c r="R24" s="19" t="s">
        <v>51</v>
      </c>
      <c r="S24" s="36" t="s">
        <v>125</v>
      </c>
      <c r="T24" s="18" t="s">
        <v>50</v>
      </c>
      <c r="U24" s="36" t="s">
        <v>125</v>
      </c>
      <c r="V24" s="18" t="s">
        <v>50</v>
      </c>
      <c r="W24" s="18" t="s">
        <v>50</v>
      </c>
      <c r="X24" s="18" t="s">
        <v>52</v>
      </c>
      <c r="Y24" s="18" t="s">
        <v>50</v>
      </c>
      <c r="Z24" s="18" t="s">
        <v>52</v>
      </c>
      <c r="AA24" s="18" t="s">
        <v>50</v>
      </c>
      <c r="AB24" s="18" t="s">
        <v>51</v>
      </c>
      <c r="AC24" s="18" t="s">
        <v>51</v>
      </c>
      <c r="AD24" s="18" t="s">
        <v>50</v>
      </c>
      <c r="AE24" s="18" t="s">
        <v>51</v>
      </c>
      <c r="AF24" s="18" t="s">
        <v>51</v>
      </c>
      <c r="AG24" s="18" t="s">
        <v>52</v>
      </c>
      <c r="AH24" s="36" t="s">
        <v>125</v>
      </c>
      <c r="AI24" s="18" t="s">
        <v>50</v>
      </c>
      <c r="AJ24" s="18" t="s">
        <v>50</v>
      </c>
      <c r="AK24" s="18" t="s">
        <v>50</v>
      </c>
      <c r="AL24" s="18" t="s">
        <v>50</v>
      </c>
      <c r="AM24" s="17" t="s">
        <v>52</v>
      </c>
      <c r="AN24" s="17" t="s">
        <v>52</v>
      </c>
      <c r="AO24" s="17" t="s">
        <v>50</v>
      </c>
      <c r="AP24" s="17" t="s">
        <v>50</v>
      </c>
      <c r="AQ24" s="17" t="s">
        <v>51</v>
      </c>
      <c r="AR24" s="17" t="s">
        <v>51</v>
      </c>
      <c r="AS24" s="17" t="s">
        <v>50</v>
      </c>
      <c r="AT24" s="17" t="s">
        <v>111</v>
      </c>
      <c r="AU24" s="17" t="s">
        <v>111</v>
      </c>
      <c r="AV24" s="19" t="s">
        <v>51</v>
      </c>
      <c r="AW24" s="17" t="s">
        <v>111</v>
      </c>
      <c r="AX24" s="18" t="s">
        <v>52</v>
      </c>
      <c r="AY24" s="17" t="s">
        <v>111</v>
      </c>
      <c r="AZ24" s="19" t="s">
        <v>51</v>
      </c>
      <c r="BA24" s="17" t="s">
        <v>111</v>
      </c>
      <c r="BB24" s="19" t="s">
        <v>51</v>
      </c>
      <c r="BC24" s="17" t="s">
        <v>111</v>
      </c>
      <c r="BD24" s="17" t="s">
        <v>51</v>
      </c>
      <c r="BE24" s="17" t="s">
        <v>50</v>
      </c>
      <c r="BF24" s="17" t="s">
        <v>50</v>
      </c>
      <c r="BG24" s="17" t="s">
        <v>50</v>
      </c>
      <c r="BH24" s="24" t="s">
        <v>52</v>
      </c>
      <c r="BI24" s="24" t="s">
        <v>52</v>
      </c>
      <c r="BJ24" s="24" t="s">
        <v>52</v>
      </c>
      <c r="BK24" s="17" t="s">
        <v>50</v>
      </c>
      <c r="BL24" s="17" t="s">
        <v>50</v>
      </c>
      <c r="BM24" s="17" t="s">
        <v>51</v>
      </c>
      <c r="BN24" s="17" t="s">
        <v>51</v>
      </c>
      <c r="BO24" s="17" t="s">
        <v>50</v>
      </c>
      <c r="BP24" s="17" t="s">
        <v>50</v>
      </c>
      <c r="BQ24" s="17" t="s">
        <v>51</v>
      </c>
      <c r="BR24" s="17" t="s">
        <v>51</v>
      </c>
      <c r="BS24" s="17" t="s">
        <v>50</v>
      </c>
      <c r="BT24" s="17" t="s">
        <v>50</v>
      </c>
      <c r="BU24" s="18" t="s">
        <v>51</v>
      </c>
      <c r="BV24" s="18" t="s">
        <v>51</v>
      </c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</row>
    <row r="25" ht="16.5" customHeight="1">
      <c r="A25" s="14" t="s">
        <v>206</v>
      </c>
      <c r="B25" s="17" t="s">
        <v>282</v>
      </c>
      <c r="C25" s="16">
        <v>1.018228842E9</v>
      </c>
      <c r="D25" s="17" t="s">
        <v>104</v>
      </c>
      <c r="E25" s="19" t="s">
        <v>51</v>
      </c>
      <c r="F25" s="18" t="s">
        <v>50</v>
      </c>
      <c r="G25" s="19" t="s">
        <v>51</v>
      </c>
      <c r="H25" s="22"/>
      <c r="I25" s="22"/>
      <c r="J25" s="22"/>
      <c r="K25" s="22"/>
      <c r="L25" s="22"/>
      <c r="M25" s="18" t="s">
        <v>52</v>
      </c>
      <c r="N25" s="22"/>
      <c r="O25" s="19" t="s">
        <v>51</v>
      </c>
      <c r="P25" s="27" t="s">
        <v>100</v>
      </c>
      <c r="Q25" s="18" t="s">
        <v>50</v>
      </c>
      <c r="R25" s="27" t="s">
        <v>100</v>
      </c>
      <c r="S25" s="18" t="s">
        <v>50</v>
      </c>
      <c r="T25" s="27" t="s">
        <v>100</v>
      </c>
      <c r="U25" s="18" t="s">
        <v>50</v>
      </c>
      <c r="V25" s="27" t="s">
        <v>100</v>
      </c>
      <c r="W25" s="18" t="s">
        <v>50</v>
      </c>
      <c r="X25" s="27" t="s">
        <v>100</v>
      </c>
      <c r="Y25" s="27" t="s">
        <v>100</v>
      </c>
      <c r="Z25" s="18" t="s">
        <v>52</v>
      </c>
      <c r="AA25" s="27" t="s">
        <v>100</v>
      </c>
      <c r="AB25" s="18" t="s">
        <v>50</v>
      </c>
      <c r="AC25" s="27" t="s">
        <v>100</v>
      </c>
      <c r="AD25" s="18" t="s">
        <v>50</v>
      </c>
      <c r="AE25" s="27"/>
      <c r="AF25" s="18" t="s">
        <v>50</v>
      </c>
      <c r="AG25" s="18" t="s">
        <v>50</v>
      </c>
      <c r="AH25" s="18" t="s">
        <v>50</v>
      </c>
      <c r="AI25" s="18" t="s">
        <v>50</v>
      </c>
      <c r="AJ25" s="18" t="s">
        <v>52</v>
      </c>
      <c r="AK25" s="18" t="s">
        <v>52</v>
      </c>
      <c r="AL25" s="18" t="s">
        <v>50</v>
      </c>
      <c r="AM25" s="17" t="s">
        <v>50</v>
      </c>
      <c r="AN25" s="17" t="s">
        <v>50</v>
      </c>
      <c r="AO25" s="17" t="s">
        <v>52</v>
      </c>
      <c r="AP25" s="17" t="s">
        <v>52</v>
      </c>
      <c r="AQ25" s="17" t="s">
        <v>50</v>
      </c>
      <c r="AR25" s="17" t="s">
        <v>50</v>
      </c>
      <c r="AS25" s="17" t="s">
        <v>52</v>
      </c>
      <c r="AT25" s="19" t="s">
        <v>51</v>
      </c>
      <c r="AU25" s="18" t="s">
        <v>50</v>
      </c>
      <c r="AV25" s="17" t="s">
        <v>111</v>
      </c>
      <c r="AW25" s="17" t="s">
        <v>111</v>
      </c>
      <c r="AX25" s="19" t="s">
        <v>51</v>
      </c>
      <c r="AY25" s="17" t="s">
        <v>111</v>
      </c>
      <c r="AZ25" s="17" t="s">
        <v>111</v>
      </c>
      <c r="BA25" s="19" t="s">
        <v>51</v>
      </c>
      <c r="BB25" s="17" t="s">
        <v>111</v>
      </c>
      <c r="BC25" s="17" t="s">
        <v>52</v>
      </c>
      <c r="BD25" s="17" t="s">
        <v>50</v>
      </c>
      <c r="BE25" s="17" t="s">
        <v>52</v>
      </c>
      <c r="BF25" s="24" t="s">
        <v>52</v>
      </c>
      <c r="BG25" s="27" t="s">
        <v>100</v>
      </c>
      <c r="BH25" s="17" t="s">
        <v>50</v>
      </c>
      <c r="BI25" s="27" t="s">
        <v>100</v>
      </c>
      <c r="BJ25" s="17" t="s">
        <v>50</v>
      </c>
      <c r="BK25" s="24" t="s">
        <v>52</v>
      </c>
      <c r="BL25" s="27" t="s">
        <v>100</v>
      </c>
      <c r="BM25" s="17" t="s">
        <v>51</v>
      </c>
      <c r="BN25" s="27" t="s">
        <v>100</v>
      </c>
      <c r="BO25" s="19" t="s">
        <v>111</v>
      </c>
      <c r="BP25" s="27" t="s">
        <v>100</v>
      </c>
      <c r="BQ25" s="17" t="s">
        <v>111</v>
      </c>
      <c r="BR25" s="27" t="s">
        <v>100</v>
      </c>
      <c r="BS25" s="17" t="s">
        <v>111</v>
      </c>
      <c r="BT25" s="27" t="s">
        <v>100</v>
      </c>
      <c r="BU25" s="17" t="s">
        <v>111</v>
      </c>
      <c r="BV25" s="27" t="s">
        <v>100</v>
      </c>
      <c r="BW25" s="17" t="s">
        <v>111</v>
      </c>
      <c r="BX25" s="27" t="s">
        <v>100</v>
      </c>
      <c r="BY25" s="17" t="s">
        <v>111</v>
      </c>
      <c r="BZ25" s="27" t="s">
        <v>100</v>
      </c>
      <c r="CA25" s="27" t="s">
        <v>100</v>
      </c>
      <c r="CB25" s="17" t="s">
        <v>111</v>
      </c>
      <c r="CC25" s="27" t="s">
        <v>100</v>
      </c>
      <c r="CD25" s="17" t="s">
        <v>111</v>
      </c>
      <c r="CE25" s="27" t="s">
        <v>100</v>
      </c>
      <c r="CF25" s="17" t="s">
        <v>111</v>
      </c>
      <c r="CG25" s="27" t="s">
        <v>100</v>
      </c>
      <c r="CH25" s="27" t="s">
        <v>100</v>
      </c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</row>
    <row r="26" ht="16.5" customHeight="1">
      <c r="A26" s="39" t="s">
        <v>284</v>
      </c>
      <c r="B26" s="17" t="s">
        <v>287</v>
      </c>
      <c r="C26" s="16">
        <v>1.021808617E9</v>
      </c>
      <c r="D26" s="17" t="s">
        <v>124</v>
      </c>
      <c r="E26" s="18" t="s">
        <v>50</v>
      </c>
      <c r="F26" s="19" t="s">
        <v>51</v>
      </c>
      <c r="G26" s="52"/>
      <c r="H26" s="22"/>
      <c r="I26" s="20" t="s">
        <v>52</v>
      </c>
      <c r="J26" s="18" t="s">
        <v>50</v>
      </c>
      <c r="K26" s="22"/>
      <c r="L26" s="22"/>
      <c r="M26" s="18" t="s">
        <v>50</v>
      </c>
      <c r="N26" s="19" t="s">
        <v>51</v>
      </c>
      <c r="O26" s="35" t="s">
        <v>111</v>
      </c>
      <c r="P26" s="22"/>
      <c r="Q26" s="35" t="s">
        <v>111</v>
      </c>
      <c r="R26" s="22"/>
      <c r="S26" s="35" t="s">
        <v>111</v>
      </c>
      <c r="T26" s="22"/>
      <c r="U26" s="35" t="s">
        <v>111</v>
      </c>
      <c r="V26" s="22"/>
      <c r="W26" s="18" t="s">
        <v>50</v>
      </c>
      <c r="X26" s="35" t="s">
        <v>111</v>
      </c>
      <c r="Y26" s="22"/>
      <c r="Z26" s="35" t="s">
        <v>111</v>
      </c>
      <c r="AA26" s="22"/>
      <c r="AB26" s="35" t="s">
        <v>111</v>
      </c>
      <c r="AC26" s="22"/>
      <c r="AD26" s="35" t="s">
        <v>111</v>
      </c>
      <c r="AE26" s="22"/>
      <c r="AF26" s="35" t="s">
        <v>111</v>
      </c>
      <c r="AG26" s="18" t="s">
        <v>51</v>
      </c>
      <c r="AH26" s="18" t="s">
        <v>50</v>
      </c>
      <c r="AI26" s="18" t="s">
        <v>50</v>
      </c>
      <c r="AJ26" s="18" t="s">
        <v>50</v>
      </c>
      <c r="AK26" s="18" t="s">
        <v>50</v>
      </c>
      <c r="AL26" s="18" t="s">
        <v>52</v>
      </c>
      <c r="AM26" s="17" t="s">
        <v>52</v>
      </c>
      <c r="AN26" s="17" t="s">
        <v>52</v>
      </c>
      <c r="AO26" s="17" t="s">
        <v>50</v>
      </c>
      <c r="AP26" s="17" t="s">
        <v>50</v>
      </c>
      <c r="AQ26" s="18" t="s">
        <v>52</v>
      </c>
      <c r="AR26" s="18" t="s">
        <v>52</v>
      </c>
      <c r="AS26" s="17" t="s">
        <v>50</v>
      </c>
      <c r="AT26" s="17" t="s">
        <v>111</v>
      </c>
      <c r="AU26" s="17" t="s">
        <v>111</v>
      </c>
      <c r="AV26" s="17" t="s">
        <v>111</v>
      </c>
      <c r="AW26" s="17" t="s">
        <v>111</v>
      </c>
      <c r="AX26" s="17" t="s">
        <v>111</v>
      </c>
      <c r="AY26" s="17" t="s">
        <v>111</v>
      </c>
      <c r="AZ26" s="17" t="s">
        <v>111</v>
      </c>
      <c r="BA26" s="17" t="s">
        <v>111</v>
      </c>
      <c r="BB26" s="19" t="s">
        <v>291</v>
      </c>
      <c r="BC26" s="17" t="s">
        <v>111</v>
      </c>
      <c r="BD26" s="17" t="s">
        <v>50</v>
      </c>
      <c r="BE26" s="17" t="s">
        <v>51</v>
      </c>
      <c r="BF26" s="19" t="s">
        <v>51</v>
      </c>
      <c r="BG26" s="19" t="s">
        <v>51</v>
      </c>
      <c r="BH26" s="17" t="s">
        <v>50</v>
      </c>
      <c r="BI26" s="17" t="s">
        <v>50</v>
      </c>
      <c r="BJ26" s="17" t="s">
        <v>50</v>
      </c>
      <c r="BK26" s="19" t="s">
        <v>51</v>
      </c>
      <c r="BL26" s="19" t="s">
        <v>51</v>
      </c>
      <c r="BM26" s="24" t="s">
        <v>52</v>
      </c>
      <c r="BN26" s="17" t="s">
        <v>51</v>
      </c>
      <c r="BO26" s="17" t="s">
        <v>111</v>
      </c>
      <c r="BP26" s="17" t="s">
        <v>50</v>
      </c>
      <c r="BQ26" s="17" t="s">
        <v>111</v>
      </c>
      <c r="BR26" s="17" t="s">
        <v>52</v>
      </c>
      <c r="BS26" s="17" t="s">
        <v>111</v>
      </c>
      <c r="BT26" s="19" t="s">
        <v>51</v>
      </c>
      <c r="BU26" s="17" t="s">
        <v>111</v>
      </c>
      <c r="BV26" s="17" t="s">
        <v>52</v>
      </c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</row>
    <row r="27" ht="16.5" customHeight="1">
      <c r="A27" s="31" t="s">
        <v>293</v>
      </c>
      <c r="B27" s="17" t="s">
        <v>295</v>
      </c>
      <c r="C27" s="16">
        <v>1.04057022E9</v>
      </c>
      <c r="D27" s="17" t="s">
        <v>104</v>
      </c>
      <c r="E27" s="22"/>
      <c r="F27" s="22"/>
      <c r="G27" s="20" t="s">
        <v>52</v>
      </c>
      <c r="H27" s="22"/>
      <c r="I27" s="19" t="s">
        <v>51</v>
      </c>
      <c r="J27" s="22"/>
      <c r="K27" s="19" t="s">
        <v>51</v>
      </c>
      <c r="L27" s="22"/>
      <c r="M27" s="18" t="s">
        <v>50</v>
      </c>
      <c r="N27" s="22"/>
      <c r="O27" s="19" t="s">
        <v>51</v>
      </c>
      <c r="P27" s="18" t="s">
        <v>50</v>
      </c>
      <c r="Q27" s="35" t="s">
        <v>111</v>
      </c>
      <c r="R27" s="18" t="s">
        <v>50</v>
      </c>
      <c r="S27" s="35" t="s">
        <v>111</v>
      </c>
      <c r="T27" s="19" t="s">
        <v>51</v>
      </c>
      <c r="U27" s="35" t="s">
        <v>111</v>
      </c>
      <c r="V27" s="18" t="s">
        <v>50</v>
      </c>
      <c r="W27" s="18" t="s">
        <v>50</v>
      </c>
      <c r="X27" s="18" t="s">
        <v>51</v>
      </c>
      <c r="Y27" s="18" t="s">
        <v>50</v>
      </c>
      <c r="Z27" s="18" t="s">
        <v>50</v>
      </c>
      <c r="AA27" s="18" t="s">
        <v>50</v>
      </c>
      <c r="AB27" s="18" t="s">
        <v>51</v>
      </c>
      <c r="AC27" s="18" t="s">
        <v>51</v>
      </c>
      <c r="AD27" s="18" t="s">
        <v>50</v>
      </c>
      <c r="AE27" s="18" t="s">
        <v>50</v>
      </c>
      <c r="AF27" s="18" t="s">
        <v>50</v>
      </c>
      <c r="AG27" s="18" t="s">
        <v>51</v>
      </c>
      <c r="AH27" s="18" t="s">
        <v>50</v>
      </c>
      <c r="AI27" s="18" t="s">
        <v>50</v>
      </c>
      <c r="AJ27" s="18" t="s">
        <v>50</v>
      </c>
      <c r="AK27" s="18" t="s">
        <v>50</v>
      </c>
      <c r="AL27" s="18" t="s">
        <v>51</v>
      </c>
      <c r="AM27" s="17" t="s">
        <v>51</v>
      </c>
      <c r="AN27" s="17" t="s">
        <v>51</v>
      </c>
      <c r="AO27" s="17" t="s">
        <v>50</v>
      </c>
      <c r="AP27" s="17" t="s">
        <v>50</v>
      </c>
      <c r="AQ27" s="17" t="s">
        <v>51</v>
      </c>
      <c r="AR27" s="17" t="s">
        <v>51</v>
      </c>
      <c r="AS27" s="17" t="s">
        <v>50</v>
      </c>
      <c r="AT27" s="19" t="s">
        <v>51</v>
      </c>
      <c r="AU27" s="17" t="s">
        <v>111</v>
      </c>
      <c r="AV27" s="17" t="s">
        <v>254</v>
      </c>
      <c r="AW27" s="17" t="s">
        <v>111</v>
      </c>
      <c r="AX27" s="19" t="s">
        <v>51</v>
      </c>
      <c r="AY27" s="17" t="s">
        <v>111</v>
      </c>
      <c r="AZ27" s="19" t="s">
        <v>254</v>
      </c>
      <c r="BA27" s="19" t="s">
        <v>51</v>
      </c>
      <c r="BB27" s="17" t="s">
        <v>111</v>
      </c>
      <c r="BC27" s="17" t="s">
        <v>50</v>
      </c>
      <c r="BD27" s="17" t="s">
        <v>50</v>
      </c>
      <c r="BE27" s="17" t="s">
        <v>50</v>
      </c>
      <c r="BF27" s="17" t="s">
        <v>111</v>
      </c>
      <c r="BG27" s="19" t="s">
        <v>51</v>
      </c>
      <c r="BH27" s="17" t="s">
        <v>50</v>
      </c>
      <c r="BI27" s="17" t="s">
        <v>50</v>
      </c>
      <c r="BJ27" s="17" t="s">
        <v>50</v>
      </c>
      <c r="BK27" s="17" t="s">
        <v>111</v>
      </c>
      <c r="BL27" s="19" t="s">
        <v>51</v>
      </c>
      <c r="BM27" s="17" t="s">
        <v>111</v>
      </c>
      <c r="BN27" s="17" t="s">
        <v>50</v>
      </c>
      <c r="BO27" s="17" t="s">
        <v>111</v>
      </c>
      <c r="BP27" s="19" t="s">
        <v>51</v>
      </c>
      <c r="BQ27" s="17" t="s">
        <v>50</v>
      </c>
      <c r="BR27" s="17" t="s">
        <v>50</v>
      </c>
      <c r="BS27" s="17" t="s">
        <v>111</v>
      </c>
      <c r="BT27" s="19" t="s">
        <v>51</v>
      </c>
      <c r="BU27" s="18" t="s">
        <v>51</v>
      </c>
      <c r="BV27" s="17" t="s">
        <v>50</v>
      </c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</row>
    <row r="28" ht="16.5" customHeight="1">
      <c r="A28" s="67" t="s">
        <v>300</v>
      </c>
      <c r="B28" s="17" t="s">
        <v>303</v>
      </c>
      <c r="C28" s="16">
        <v>1.027662663E9</v>
      </c>
      <c r="D28" s="17" t="s">
        <v>90</v>
      </c>
      <c r="E28" s="17"/>
      <c r="F28" s="17"/>
      <c r="G28" s="17"/>
      <c r="H28" s="18"/>
      <c r="I28" s="17"/>
      <c r="J28" s="17"/>
      <c r="K28" s="19"/>
      <c r="L28" s="17"/>
      <c r="M28" s="57"/>
      <c r="N28" s="17"/>
      <c r="O28" s="22"/>
      <c r="P28" s="22"/>
      <c r="Q28" s="20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7"/>
      <c r="AN28" s="17"/>
      <c r="AO28" s="17"/>
      <c r="AP28" s="17"/>
      <c r="AQ28" s="17"/>
      <c r="AR28" s="17"/>
      <c r="AS28" s="17"/>
      <c r="AT28" s="18" t="s">
        <v>50</v>
      </c>
      <c r="AU28" s="17" t="s">
        <v>111</v>
      </c>
      <c r="AV28" s="17" t="s">
        <v>111</v>
      </c>
      <c r="AW28" s="17" t="s">
        <v>111</v>
      </c>
      <c r="AX28" s="27" t="s">
        <v>100</v>
      </c>
      <c r="AY28" s="17" t="s">
        <v>111</v>
      </c>
      <c r="AZ28" s="17" t="s">
        <v>111</v>
      </c>
      <c r="BA28" s="17" t="s">
        <v>111</v>
      </c>
      <c r="BB28" s="27" t="s">
        <v>100</v>
      </c>
      <c r="BC28" s="27" t="s">
        <v>100</v>
      </c>
      <c r="BD28" s="17" t="s">
        <v>50</v>
      </c>
      <c r="BE28" s="17" t="s">
        <v>50</v>
      </c>
      <c r="BF28" s="24" t="s">
        <v>52</v>
      </c>
      <c r="BG28" s="27" t="s">
        <v>100</v>
      </c>
      <c r="BH28" s="17" t="s">
        <v>50</v>
      </c>
      <c r="BI28" s="27" t="s">
        <v>100</v>
      </c>
      <c r="BJ28" s="24" t="s">
        <v>52</v>
      </c>
      <c r="BK28" s="17" t="s">
        <v>50</v>
      </c>
      <c r="BL28" s="27" t="s">
        <v>100</v>
      </c>
      <c r="BM28" s="24" t="s">
        <v>52</v>
      </c>
      <c r="BN28" s="27" t="s">
        <v>100</v>
      </c>
      <c r="BO28" s="27" t="s">
        <v>100</v>
      </c>
      <c r="BP28" s="17" t="s">
        <v>50</v>
      </c>
      <c r="BQ28" s="27" t="s">
        <v>100</v>
      </c>
      <c r="BR28" s="17" t="s">
        <v>52</v>
      </c>
      <c r="BS28" s="27" t="s">
        <v>100</v>
      </c>
      <c r="BT28" s="17" t="s">
        <v>50</v>
      </c>
      <c r="BU28" s="27" t="s">
        <v>100</v>
      </c>
      <c r="BV28" s="27" t="s">
        <v>100</v>
      </c>
      <c r="BW28" s="27" t="s">
        <v>100</v>
      </c>
      <c r="BX28" s="27" t="s">
        <v>100</v>
      </c>
      <c r="BY28" s="27" t="s">
        <v>100</v>
      </c>
      <c r="BZ28" s="27" t="s">
        <v>100</v>
      </c>
      <c r="CA28" s="27" t="s">
        <v>100</v>
      </c>
      <c r="CB28" s="27" t="s">
        <v>100</v>
      </c>
      <c r="CC28" s="27" t="s">
        <v>100</v>
      </c>
      <c r="CD28" s="27" t="s">
        <v>100</v>
      </c>
      <c r="CE28" s="27" t="s">
        <v>100</v>
      </c>
      <c r="CF28" s="27" t="s">
        <v>100</v>
      </c>
      <c r="CG28" s="27" t="s">
        <v>100</v>
      </c>
      <c r="CH28" s="27" t="s">
        <v>100</v>
      </c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</row>
    <row r="29" ht="16.5" customHeight="1">
      <c r="A29" s="67" t="s">
        <v>306</v>
      </c>
      <c r="B29" s="17" t="s">
        <v>308</v>
      </c>
      <c r="C29" s="16">
        <v>1.025887911E9</v>
      </c>
      <c r="D29" s="17" t="s">
        <v>118</v>
      </c>
      <c r="E29" s="17" t="s">
        <v>111</v>
      </c>
      <c r="F29" s="17" t="s">
        <v>111</v>
      </c>
      <c r="G29" s="17" t="s">
        <v>254</v>
      </c>
      <c r="H29" s="18" t="s">
        <v>50</v>
      </c>
      <c r="I29" s="17" t="s">
        <v>51</v>
      </c>
      <c r="J29" s="17" t="s">
        <v>111</v>
      </c>
      <c r="K29" s="19" t="s">
        <v>51</v>
      </c>
      <c r="L29" s="17" t="s">
        <v>50</v>
      </c>
      <c r="M29" s="57" t="s">
        <v>111</v>
      </c>
      <c r="N29" s="17" t="s">
        <v>50</v>
      </c>
      <c r="O29" s="22"/>
      <c r="P29" s="22"/>
      <c r="Q29" s="20" t="s">
        <v>99</v>
      </c>
      <c r="R29" s="20" t="s">
        <v>99</v>
      </c>
      <c r="S29" s="18" t="s">
        <v>50</v>
      </c>
      <c r="T29" s="18" t="s">
        <v>50</v>
      </c>
      <c r="U29" s="18" t="s">
        <v>51</v>
      </c>
      <c r="V29" s="18" t="s">
        <v>51</v>
      </c>
      <c r="W29" s="18" t="s">
        <v>50</v>
      </c>
      <c r="X29" s="18" t="s">
        <v>50</v>
      </c>
      <c r="Y29" s="18" t="s">
        <v>51</v>
      </c>
      <c r="Z29" s="18" t="s">
        <v>50</v>
      </c>
      <c r="AA29" s="18" t="s">
        <v>50</v>
      </c>
      <c r="AB29" s="18" t="s">
        <v>50</v>
      </c>
      <c r="AC29" s="18" t="s">
        <v>50</v>
      </c>
      <c r="AD29" s="18" t="s">
        <v>51</v>
      </c>
      <c r="AE29" s="18" t="s">
        <v>50</v>
      </c>
      <c r="AF29" s="18" t="s">
        <v>50</v>
      </c>
      <c r="AG29" s="18" t="s">
        <v>50</v>
      </c>
      <c r="AH29" s="18" t="s">
        <v>51</v>
      </c>
      <c r="AI29" s="18" t="s">
        <v>51</v>
      </c>
      <c r="AJ29" s="18" t="s">
        <v>50</v>
      </c>
      <c r="AK29" s="18" t="s">
        <v>50</v>
      </c>
      <c r="AL29" s="18" t="s">
        <v>51</v>
      </c>
      <c r="AM29" s="17" t="s">
        <v>52</v>
      </c>
      <c r="AN29" s="17" t="s">
        <v>52</v>
      </c>
      <c r="AO29" s="17" t="s">
        <v>50</v>
      </c>
      <c r="AP29" s="17" t="s">
        <v>50</v>
      </c>
      <c r="AQ29" s="17" t="s">
        <v>52</v>
      </c>
      <c r="AR29" s="17" t="s">
        <v>52</v>
      </c>
      <c r="AS29" s="17" t="s">
        <v>50</v>
      </c>
      <c r="AT29" s="17" t="s">
        <v>111</v>
      </c>
      <c r="AU29" s="17" t="s">
        <v>111</v>
      </c>
      <c r="AV29" s="17" t="s">
        <v>111</v>
      </c>
      <c r="AW29" s="19" t="s">
        <v>51</v>
      </c>
      <c r="AX29" s="19" t="s">
        <v>51</v>
      </c>
      <c r="AY29" s="17" t="s">
        <v>111</v>
      </c>
      <c r="AZ29" s="19" t="s">
        <v>51</v>
      </c>
      <c r="BA29" s="19" t="s">
        <v>170</v>
      </c>
      <c r="BB29" s="17" t="s">
        <v>50</v>
      </c>
      <c r="BC29" s="17" t="s">
        <v>50</v>
      </c>
      <c r="BD29" s="17" t="s">
        <v>50</v>
      </c>
      <c r="BE29" s="17" t="s">
        <v>50</v>
      </c>
      <c r="BF29" s="18" t="s">
        <v>51</v>
      </c>
      <c r="BG29" s="18" t="s">
        <v>51</v>
      </c>
      <c r="BH29" s="17" t="s">
        <v>50</v>
      </c>
      <c r="BI29" s="17" t="s">
        <v>50</v>
      </c>
      <c r="BJ29" s="17" t="s">
        <v>50</v>
      </c>
      <c r="BK29" s="19" t="s">
        <v>51</v>
      </c>
      <c r="BL29" s="19" t="s">
        <v>51</v>
      </c>
      <c r="BM29" s="17" t="s">
        <v>50</v>
      </c>
      <c r="BN29" s="17" t="s">
        <v>50</v>
      </c>
      <c r="BO29" s="19" t="s">
        <v>51</v>
      </c>
      <c r="BP29" s="19" t="s">
        <v>51</v>
      </c>
      <c r="BQ29" s="17" t="s">
        <v>52</v>
      </c>
      <c r="BR29" s="17" t="s">
        <v>52</v>
      </c>
      <c r="BS29" s="19" t="s">
        <v>51</v>
      </c>
      <c r="BT29" s="19" t="s">
        <v>51</v>
      </c>
      <c r="BU29" s="17" t="s">
        <v>50</v>
      </c>
      <c r="BV29" s="17" t="s">
        <v>50</v>
      </c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</row>
    <row r="30" ht="16.5" customHeight="1">
      <c r="A30" s="31" t="s">
        <v>314</v>
      </c>
      <c r="B30" s="17" t="s">
        <v>316</v>
      </c>
      <c r="C30" s="69">
        <v>1.040574294E9</v>
      </c>
      <c r="D30" s="46" t="s">
        <v>124</v>
      </c>
      <c r="E30" s="19" t="s">
        <v>51</v>
      </c>
      <c r="F30" s="22"/>
      <c r="G30" s="63"/>
      <c r="H30" s="22"/>
      <c r="I30" s="19" t="s">
        <v>51</v>
      </c>
      <c r="J30" s="22"/>
      <c r="K30" s="18" t="s">
        <v>50</v>
      </c>
      <c r="L30" s="22"/>
      <c r="M30" s="22"/>
      <c r="N30" s="22"/>
      <c r="O30" s="36" t="s">
        <v>125</v>
      </c>
      <c r="P30" s="18" t="s">
        <v>50</v>
      </c>
      <c r="Q30" s="36" t="s">
        <v>125</v>
      </c>
      <c r="R30" s="20" t="s">
        <v>99</v>
      </c>
      <c r="S30" s="36" t="s">
        <v>125</v>
      </c>
      <c r="T30" s="18" t="s">
        <v>50</v>
      </c>
      <c r="U30" s="36" t="s">
        <v>125</v>
      </c>
      <c r="V30" s="18" t="s">
        <v>50</v>
      </c>
      <c r="W30" s="18" t="s">
        <v>50</v>
      </c>
      <c r="X30" s="36" t="s">
        <v>125</v>
      </c>
      <c r="Y30" s="18" t="s">
        <v>50</v>
      </c>
      <c r="Z30" s="36" t="s">
        <v>125</v>
      </c>
      <c r="AA30" s="18" t="s">
        <v>50</v>
      </c>
      <c r="AB30" s="36" t="s">
        <v>125</v>
      </c>
      <c r="AC30" s="18" t="s">
        <v>50</v>
      </c>
      <c r="AD30" s="36" t="s">
        <v>125</v>
      </c>
      <c r="AE30" s="18" t="s">
        <v>50</v>
      </c>
      <c r="AF30" s="36" t="s">
        <v>125</v>
      </c>
      <c r="AG30" s="18" t="s">
        <v>50</v>
      </c>
      <c r="AH30" s="36" t="s">
        <v>125</v>
      </c>
      <c r="AI30" s="36" t="s">
        <v>125</v>
      </c>
      <c r="AJ30" s="36" t="s">
        <v>125</v>
      </c>
      <c r="AK30" s="18" t="s">
        <v>50</v>
      </c>
      <c r="AL30" s="18" t="s">
        <v>51</v>
      </c>
      <c r="AM30" s="17" t="s">
        <v>50</v>
      </c>
      <c r="AN30" s="17" t="s">
        <v>52</v>
      </c>
      <c r="AO30" s="17" t="s">
        <v>50</v>
      </c>
      <c r="AP30" s="17" t="s">
        <v>50</v>
      </c>
      <c r="AQ30" s="17" t="s">
        <v>50</v>
      </c>
      <c r="AR30" s="17" t="s">
        <v>50</v>
      </c>
      <c r="AS30" s="17" t="s">
        <v>52</v>
      </c>
      <c r="AT30" s="17" t="s">
        <v>50</v>
      </c>
      <c r="AU30" s="17" t="s">
        <v>111</v>
      </c>
      <c r="AV30" s="19" t="s">
        <v>51</v>
      </c>
      <c r="AW30" s="17" t="s">
        <v>111</v>
      </c>
      <c r="AX30" s="18" t="s">
        <v>52</v>
      </c>
      <c r="AY30" s="17" t="s">
        <v>111</v>
      </c>
      <c r="AZ30" s="18" t="s">
        <v>111</v>
      </c>
      <c r="BA30" s="17" t="s">
        <v>111</v>
      </c>
      <c r="BB30" s="18" t="s">
        <v>52</v>
      </c>
      <c r="BC30" s="17" t="s">
        <v>111</v>
      </c>
      <c r="BD30" s="17" t="s">
        <v>50</v>
      </c>
      <c r="BE30" s="17" t="s">
        <v>52</v>
      </c>
      <c r="BF30" s="17" t="s">
        <v>52</v>
      </c>
      <c r="BG30" s="17" t="s">
        <v>52</v>
      </c>
      <c r="BH30" s="17" t="s">
        <v>50</v>
      </c>
      <c r="BI30" s="17" t="s">
        <v>50</v>
      </c>
      <c r="BJ30" s="17" t="s">
        <v>50</v>
      </c>
      <c r="BK30" s="17" t="s">
        <v>52</v>
      </c>
      <c r="BL30" s="17" t="s">
        <v>52</v>
      </c>
      <c r="BM30" s="27" t="s">
        <v>100</v>
      </c>
      <c r="BN30" s="27" t="s">
        <v>100</v>
      </c>
      <c r="BO30" s="27" t="s">
        <v>100</v>
      </c>
      <c r="BP30" s="27" t="s">
        <v>100</v>
      </c>
      <c r="BQ30" s="27" t="s">
        <v>100</v>
      </c>
      <c r="BR30" s="27" t="s">
        <v>100</v>
      </c>
      <c r="BS30" s="27" t="s">
        <v>100</v>
      </c>
      <c r="BT30" s="27" t="s">
        <v>100</v>
      </c>
      <c r="BU30" s="27" t="s">
        <v>100</v>
      </c>
      <c r="BV30" s="27" t="s">
        <v>100</v>
      </c>
      <c r="BW30" s="27" t="s">
        <v>100</v>
      </c>
      <c r="BX30" s="27" t="s">
        <v>100</v>
      </c>
      <c r="BY30" s="27" t="s">
        <v>100</v>
      </c>
      <c r="BZ30" s="27" t="s">
        <v>100</v>
      </c>
      <c r="CA30" s="27" t="s">
        <v>100</v>
      </c>
      <c r="CB30" s="27" t="s">
        <v>100</v>
      </c>
      <c r="CC30" s="27" t="s">
        <v>100</v>
      </c>
      <c r="CD30" s="27" t="s">
        <v>100</v>
      </c>
      <c r="CE30" s="27" t="s">
        <v>100</v>
      </c>
      <c r="CF30" s="27" t="s">
        <v>100</v>
      </c>
      <c r="CG30" s="27" t="s">
        <v>100</v>
      </c>
      <c r="CH30" s="27" t="s">
        <v>100</v>
      </c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</row>
    <row r="31" ht="16.5" customHeight="1">
      <c r="A31" s="44" t="s">
        <v>321</v>
      </c>
      <c r="B31" s="17" t="s">
        <v>326</v>
      </c>
      <c r="C31" s="16">
        <v>1.038868428E9</v>
      </c>
      <c r="D31" s="17" t="s">
        <v>124</v>
      </c>
      <c r="E31" s="18"/>
      <c r="F31" s="22"/>
      <c r="G31" s="34"/>
      <c r="H31" s="19"/>
      <c r="I31" s="19"/>
      <c r="J31" s="18"/>
      <c r="K31" s="18"/>
      <c r="L31" s="22"/>
      <c r="M31" s="18"/>
      <c r="N31" s="19"/>
      <c r="O31" s="19"/>
      <c r="P31" s="18"/>
      <c r="Q31" s="18"/>
      <c r="R31" s="18"/>
      <c r="S31" s="20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7"/>
      <c r="AN31" s="17"/>
      <c r="AO31" s="17"/>
      <c r="AP31" s="17"/>
      <c r="AQ31" s="17"/>
      <c r="AR31" s="17"/>
      <c r="AS31" s="17"/>
      <c r="AT31" s="17" t="s">
        <v>50</v>
      </c>
      <c r="AU31" s="19" t="s">
        <v>51</v>
      </c>
      <c r="AV31" s="18" t="s">
        <v>52</v>
      </c>
      <c r="AW31" s="17" t="s">
        <v>111</v>
      </c>
      <c r="AX31" s="18" t="s">
        <v>52</v>
      </c>
      <c r="AY31" s="17" t="s">
        <v>111</v>
      </c>
      <c r="AZ31" s="18" t="s">
        <v>50</v>
      </c>
      <c r="BA31" s="18" t="s">
        <v>52</v>
      </c>
      <c r="BB31" s="19" t="s">
        <v>51</v>
      </c>
      <c r="BC31" s="17" t="s">
        <v>50</v>
      </c>
      <c r="BD31" s="17" t="s">
        <v>50</v>
      </c>
      <c r="BE31" s="17" t="s">
        <v>50</v>
      </c>
      <c r="BF31" s="17" t="s">
        <v>52</v>
      </c>
      <c r="BG31" s="17" t="s">
        <v>52</v>
      </c>
      <c r="BH31" s="17" t="s">
        <v>50</v>
      </c>
      <c r="BI31" s="17" t="s">
        <v>50</v>
      </c>
      <c r="BJ31" s="17" t="s">
        <v>50</v>
      </c>
      <c r="BK31" s="17" t="s">
        <v>52</v>
      </c>
      <c r="BL31" s="17" t="s">
        <v>52</v>
      </c>
      <c r="BM31" s="24" t="s">
        <v>52</v>
      </c>
      <c r="BN31" s="17" t="s">
        <v>50</v>
      </c>
      <c r="BO31" s="19" t="s">
        <v>51</v>
      </c>
      <c r="BP31" s="19" t="s">
        <v>51</v>
      </c>
      <c r="BQ31" s="17" t="s">
        <v>52</v>
      </c>
      <c r="BR31" s="17" t="s">
        <v>52</v>
      </c>
      <c r="BS31" s="17" t="s">
        <v>50</v>
      </c>
      <c r="BT31" s="17" t="s">
        <v>50</v>
      </c>
      <c r="BU31" s="17" t="s">
        <v>52</v>
      </c>
      <c r="BV31" s="17" t="s">
        <v>52</v>
      </c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</row>
    <row r="32" ht="16.5" customHeight="1">
      <c r="A32" s="73" t="s">
        <v>332</v>
      </c>
      <c r="B32" s="17" t="s">
        <v>336</v>
      </c>
      <c r="C32" s="16">
        <v>1.040572295E9</v>
      </c>
      <c r="D32" s="17" t="s">
        <v>124</v>
      </c>
      <c r="E32" s="19" t="s">
        <v>51</v>
      </c>
      <c r="F32" s="22"/>
      <c r="G32" s="19" t="s">
        <v>163</v>
      </c>
      <c r="H32" s="22"/>
      <c r="I32" s="22"/>
      <c r="J32" s="22"/>
      <c r="K32" s="19" t="s">
        <v>144</v>
      </c>
      <c r="L32" s="22"/>
      <c r="M32" s="22"/>
      <c r="N32" s="22"/>
      <c r="O32" s="19" t="s">
        <v>51</v>
      </c>
      <c r="P32" s="18" t="s">
        <v>50</v>
      </c>
      <c r="Q32" s="18" t="s">
        <v>50</v>
      </c>
      <c r="R32" s="18" t="s">
        <v>50</v>
      </c>
      <c r="S32" s="20" t="s">
        <v>52</v>
      </c>
      <c r="T32" s="18" t="s">
        <v>50</v>
      </c>
      <c r="U32" s="18" t="s">
        <v>50</v>
      </c>
      <c r="V32" s="18" t="s">
        <v>50</v>
      </c>
      <c r="W32" s="18" t="s">
        <v>51</v>
      </c>
      <c r="X32" s="18" t="s">
        <v>50</v>
      </c>
      <c r="Y32" s="18" t="s">
        <v>50</v>
      </c>
      <c r="Z32" s="18" t="s">
        <v>52</v>
      </c>
      <c r="AA32" s="18" t="s">
        <v>51</v>
      </c>
      <c r="AB32" s="18" t="s">
        <v>50</v>
      </c>
      <c r="AC32" s="18" t="s">
        <v>50</v>
      </c>
      <c r="AD32" s="18" t="s">
        <v>50</v>
      </c>
      <c r="AE32" s="18" t="s">
        <v>52</v>
      </c>
      <c r="AF32" s="18" t="s">
        <v>51</v>
      </c>
      <c r="AG32" s="18" t="s">
        <v>50</v>
      </c>
      <c r="AH32" s="18" t="s">
        <v>50</v>
      </c>
      <c r="AI32" s="18" t="s">
        <v>50</v>
      </c>
      <c r="AJ32" s="18" t="s">
        <v>51</v>
      </c>
      <c r="AK32" s="18" t="s">
        <v>50</v>
      </c>
      <c r="AL32" s="18" t="s">
        <v>50</v>
      </c>
      <c r="AM32" s="17" t="s">
        <v>51</v>
      </c>
      <c r="AN32" s="17" t="s">
        <v>50</v>
      </c>
      <c r="AO32" s="17" t="s">
        <v>52</v>
      </c>
      <c r="AP32" s="17" t="s">
        <v>52</v>
      </c>
      <c r="AQ32" s="17" t="s">
        <v>50</v>
      </c>
      <c r="AR32" s="17" t="s">
        <v>50</v>
      </c>
      <c r="AS32" s="17" t="s">
        <v>51</v>
      </c>
      <c r="AT32" s="19" t="s">
        <v>51</v>
      </c>
      <c r="AU32" s="17" t="s">
        <v>111</v>
      </c>
      <c r="AV32" s="17" t="s">
        <v>111</v>
      </c>
      <c r="AW32" s="17" t="s">
        <v>111</v>
      </c>
      <c r="AX32" s="17" t="s">
        <v>51</v>
      </c>
      <c r="AY32" s="17" t="s">
        <v>111</v>
      </c>
      <c r="AZ32" s="17" t="s">
        <v>111</v>
      </c>
      <c r="BA32" s="17" t="s">
        <v>111</v>
      </c>
      <c r="BB32" s="17" t="s">
        <v>51</v>
      </c>
      <c r="BC32" s="17" t="s">
        <v>111</v>
      </c>
      <c r="BD32" s="17" t="s">
        <v>50</v>
      </c>
      <c r="BE32" s="17" t="s">
        <v>50</v>
      </c>
      <c r="BF32" s="27" t="s">
        <v>100</v>
      </c>
      <c r="BG32" s="17" t="s">
        <v>52</v>
      </c>
      <c r="BH32" s="27" t="s">
        <v>100</v>
      </c>
      <c r="BI32" s="17" t="s">
        <v>50</v>
      </c>
      <c r="BJ32" s="17" t="s">
        <v>50</v>
      </c>
      <c r="BK32" s="27" t="s">
        <v>100</v>
      </c>
      <c r="BL32" s="17" t="s">
        <v>52</v>
      </c>
      <c r="BM32" s="27" t="s">
        <v>100</v>
      </c>
      <c r="BN32" s="17" t="s">
        <v>50</v>
      </c>
      <c r="BO32" s="27" t="s">
        <v>100</v>
      </c>
      <c r="BP32" s="24" t="s">
        <v>52</v>
      </c>
      <c r="BQ32" s="27" t="s">
        <v>100</v>
      </c>
      <c r="BR32" s="17" t="s">
        <v>50</v>
      </c>
      <c r="BS32" s="27" t="s">
        <v>100</v>
      </c>
      <c r="BT32" s="17" t="s">
        <v>52</v>
      </c>
      <c r="BU32" s="19" t="s">
        <v>51</v>
      </c>
      <c r="BV32" s="17" t="s">
        <v>50</v>
      </c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</row>
    <row r="33" ht="16.5" customHeight="1">
      <c r="A33" s="39" t="s">
        <v>342</v>
      </c>
      <c r="B33" s="17" t="s">
        <v>346</v>
      </c>
      <c r="C33" s="16">
        <v>1.025652667E9</v>
      </c>
      <c r="D33" s="17" t="s">
        <v>49</v>
      </c>
      <c r="E33" s="18" t="s">
        <v>114</v>
      </c>
      <c r="F33" s="22"/>
      <c r="G33" s="22"/>
      <c r="H33" s="34" t="s">
        <v>51</v>
      </c>
      <c r="I33" s="22"/>
      <c r="J33" s="19" t="s">
        <v>51</v>
      </c>
      <c r="K33" s="22"/>
      <c r="L33" s="17" t="s">
        <v>51</v>
      </c>
      <c r="M33" s="17" t="s">
        <v>51</v>
      </c>
      <c r="N33" s="18" t="s">
        <v>52</v>
      </c>
      <c r="O33" s="35" t="s">
        <v>111</v>
      </c>
      <c r="P33" s="18" t="s">
        <v>50</v>
      </c>
      <c r="Q33" s="35" t="s">
        <v>111</v>
      </c>
      <c r="R33" s="18" t="s">
        <v>50</v>
      </c>
      <c r="S33" s="35" t="s">
        <v>111</v>
      </c>
      <c r="T33" s="18" t="s">
        <v>50</v>
      </c>
      <c r="U33" s="35" t="s">
        <v>111</v>
      </c>
      <c r="V33" s="18" t="s">
        <v>50</v>
      </c>
      <c r="W33" s="18" t="s">
        <v>50</v>
      </c>
      <c r="X33" s="35" t="s">
        <v>111</v>
      </c>
      <c r="Y33" s="18" t="s">
        <v>50</v>
      </c>
      <c r="Z33" s="35" t="s">
        <v>111</v>
      </c>
      <c r="AA33" s="18" t="s">
        <v>50</v>
      </c>
      <c r="AB33" s="35" t="s">
        <v>111</v>
      </c>
      <c r="AC33" s="18" t="s">
        <v>50</v>
      </c>
      <c r="AD33" s="18" t="s">
        <v>50</v>
      </c>
      <c r="AE33" s="35" t="s">
        <v>111</v>
      </c>
      <c r="AF33" s="18" t="s">
        <v>50</v>
      </c>
      <c r="AG33" s="18" t="s">
        <v>50</v>
      </c>
      <c r="AH33" s="18" t="s">
        <v>51</v>
      </c>
      <c r="AI33" s="18" t="s">
        <v>51</v>
      </c>
      <c r="AJ33" s="18" t="s">
        <v>50</v>
      </c>
      <c r="AK33" s="18" t="s">
        <v>50</v>
      </c>
      <c r="AL33" s="18" t="s">
        <v>52</v>
      </c>
      <c r="AM33" s="17" t="s">
        <v>50</v>
      </c>
      <c r="AN33" s="17" t="s">
        <v>50</v>
      </c>
      <c r="AO33" s="17" t="s">
        <v>52</v>
      </c>
      <c r="AP33" s="17" t="s">
        <v>52</v>
      </c>
      <c r="AQ33" s="17" t="s">
        <v>50</v>
      </c>
      <c r="AR33" s="17" t="s">
        <v>50</v>
      </c>
      <c r="AS33" s="17" t="s">
        <v>52</v>
      </c>
      <c r="AT33" s="17" t="s">
        <v>111</v>
      </c>
      <c r="AU33" s="19" t="s">
        <v>51</v>
      </c>
      <c r="AV33" s="17" t="s">
        <v>111</v>
      </c>
      <c r="AW33" s="17" t="s">
        <v>111</v>
      </c>
      <c r="AX33" s="17" t="s">
        <v>111</v>
      </c>
      <c r="AY33" s="19" t="s">
        <v>51</v>
      </c>
      <c r="AZ33" s="18" t="s">
        <v>52</v>
      </c>
      <c r="BA33" s="17" t="s">
        <v>111</v>
      </c>
      <c r="BB33" s="17" t="s">
        <v>291</v>
      </c>
      <c r="BC33" s="17" t="s">
        <v>111</v>
      </c>
      <c r="BD33" s="17" t="s">
        <v>111</v>
      </c>
      <c r="BE33" s="17" t="s">
        <v>111</v>
      </c>
      <c r="BF33" s="17" t="s">
        <v>111</v>
      </c>
      <c r="BG33" s="17" t="s">
        <v>111</v>
      </c>
      <c r="BH33" s="17" t="s">
        <v>111</v>
      </c>
      <c r="BI33" s="17" t="s">
        <v>111</v>
      </c>
      <c r="BJ33" s="17" t="s">
        <v>111</v>
      </c>
      <c r="BK33" s="17" t="s">
        <v>111</v>
      </c>
      <c r="BL33" s="17" t="s">
        <v>111</v>
      </c>
      <c r="BM33" s="17" t="s">
        <v>111</v>
      </c>
      <c r="BN33" s="17" t="s">
        <v>111</v>
      </c>
      <c r="BO33" s="17" t="s">
        <v>111</v>
      </c>
      <c r="BP33" s="17" t="s">
        <v>111</v>
      </c>
      <c r="BQ33" s="17" t="s">
        <v>111</v>
      </c>
      <c r="BR33" s="17" t="s">
        <v>52</v>
      </c>
      <c r="BS33" s="17" t="s">
        <v>111</v>
      </c>
      <c r="BT33" s="17" t="s">
        <v>50</v>
      </c>
      <c r="BU33" s="17" t="s">
        <v>111</v>
      </c>
      <c r="BV33" s="17" t="s">
        <v>170</v>
      </c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</row>
    <row r="34" ht="16.5" customHeight="1">
      <c r="A34" s="14" t="s">
        <v>352</v>
      </c>
      <c r="B34" s="17" t="s">
        <v>355</v>
      </c>
      <c r="C34" s="16">
        <v>1.027880579E9</v>
      </c>
      <c r="D34" s="17" t="s">
        <v>49</v>
      </c>
      <c r="E34" s="22"/>
      <c r="F34" s="18" t="s">
        <v>50</v>
      </c>
      <c r="G34" s="22"/>
      <c r="H34" s="20"/>
      <c r="I34" s="22"/>
      <c r="J34" s="19" t="s">
        <v>51</v>
      </c>
      <c r="K34" s="22"/>
      <c r="L34" s="22"/>
      <c r="M34" s="19" t="s">
        <v>51</v>
      </c>
      <c r="N34" s="43"/>
      <c r="O34" s="18" t="s">
        <v>50</v>
      </c>
      <c r="P34" s="18" t="s">
        <v>50</v>
      </c>
      <c r="Q34" s="19" t="s">
        <v>51</v>
      </c>
      <c r="R34" s="19" t="s">
        <v>51</v>
      </c>
      <c r="S34" s="18" t="s">
        <v>50</v>
      </c>
      <c r="T34" s="18" t="s">
        <v>50</v>
      </c>
      <c r="U34" s="18" t="s">
        <v>99</v>
      </c>
      <c r="V34" s="18" t="s">
        <v>99</v>
      </c>
      <c r="W34" s="18" t="s">
        <v>51</v>
      </c>
      <c r="X34" s="18" t="s">
        <v>52</v>
      </c>
      <c r="Y34" s="18" t="s">
        <v>50</v>
      </c>
      <c r="Z34" s="18" t="s">
        <v>52</v>
      </c>
      <c r="AA34" s="18" t="s">
        <v>52</v>
      </c>
      <c r="AB34" s="18" t="s">
        <v>51</v>
      </c>
      <c r="AC34" s="18" t="s">
        <v>51</v>
      </c>
      <c r="AD34" s="18" t="s">
        <v>50</v>
      </c>
      <c r="AE34" s="18" t="s">
        <v>52</v>
      </c>
      <c r="AF34" s="18" t="s">
        <v>50</v>
      </c>
      <c r="AG34" s="18" t="s">
        <v>50</v>
      </c>
      <c r="AH34" s="18" t="s">
        <v>50</v>
      </c>
      <c r="AI34" s="18" t="s">
        <v>50</v>
      </c>
      <c r="AJ34" s="18" t="s">
        <v>51</v>
      </c>
      <c r="AK34" s="18" t="s">
        <v>51</v>
      </c>
      <c r="AL34" s="18" t="s">
        <v>50</v>
      </c>
      <c r="AM34" s="17" t="s">
        <v>51</v>
      </c>
      <c r="AN34" s="17" t="s">
        <v>51</v>
      </c>
      <c r="AO34" s="17" t="s">
        <v>51</v>
      </c>
      <c r="AP34" s="17" t="s">
        <v>51</v>
      </c>
      <c r="AQ34" s="17" t="s">
        <v>50</v>
      </c>
      <c r="AR34" s="17" t="s">
        <v>50</v>
      </c>
      <c r="AS34" s="17" t="s">
        <v>51</v>
      </c>
      <c r="AT34" s="19" t="s">
        <v>51</v>
      </c>
      <c r="AU34" s="17" t="s">
        <v>111</v>
      </c>
      <c r="AV34" s="17" t="s">
        <v>111</v>
      </c>
      <c r="AW34" s="17" t="s">
        <v>111</v>
      </c>
      <c r="AX34" s="17" t="s">
        <v>111</v>
      </c>
      <c r="AY34" s="17" t="s">
        <v>111</v>
      </c>
      <c r="AZ34" s="17" t="s">
        <v>111</v>
      </c>
      <c r="BA34" s="19" t="s">
        <v>51</v>
      </c>
      <c r="BB34" s="17" t="s">
        <v>111</v>
      </c>
      <c r="BC34" s="17" t="s">
        <v>111</v>
      </c>
      <c r="BD34" s="17" t="s">
        <v>50</v>
      </c>
      <c r="BE34" s="17" t="s">
        <v>50</v>
      </c>
      <c r="BF34" s="19" t="s">
        <v>51</v>
      </c>
      <c r="BG34" s="19" t="s">
        <v>51</v>
      </c>
      <c r="BH34" s="17" t="s">
        <v>50</v>
      </c>
      <c r="BI34" s="17" t="s">
        <v>50</v>
      </c>
      <c r="BJ34" s="17" t="s">
        <v>50</v>
      </c>
      <c r="BK34" s="19" t="s">
        <v>51</v>
      </c>
      <c r="BL34" s="19" t="s">
        <v>51</v>
      </c>
      <c r="BM34" s="17" t="s">
        <v>50</v>
      </c>
      <c r="BN34" s="17" t="s">
        <v>50</v>
      </c>
      <c r="BO34" s="19" t="s">
        <v>51</v>
      </c>
      <c r="BP34" s="19" t="s">
        <v>51</v>
      </c>
      <c r="BQ34" s="17" t="s">
        <v>52</v>
      </c>
      <c r="BR34" s="17" t="s">
        <v>52</v>
      </c>
      <c r="BS34" s="19" t="s">
        <v>51</v>
      </c>
      <c r="BT34" s="19" t="s">
        <v>51</v>
      </c>
      <c r="BU34" s="17" t="s">
        <v>52</v>
      </c>
      <c r="BV34" s="17" t="s">
        <v>52</v>
      </c>
      <c r="BW34" s="27" t="s">
        <v>100</v>
      </c>
      <c r="BX34" s="27" t="s">
        <v>100</v>
      </c>
      <c r="BY34" s="27" t="s">
        <v>100</v>
      </c>
      <c r="BZ34" s="27" t="s">
        <v>100</v>
      </c>
      <c r="CA34" s="27" t="s">
        <v>100</v>
      </c>
      <c r="CB34" s="27" t="s">
        <v>100</v>
      </c>
      <c r="CC34" s="27" t="s">
        <v>100</v>
      </c>
      <c r="CD34" s="27" t="s">
        <v>100</v>
      </c>
      <c r="CE34" s="27" t="s">
        <v>100</v>
      </c>
      <c r="CF34" s="27" t="s">
        <v>100</v>
      </c>
      <c r="CG34" s="27" t="s">
        <v>100</v>
      </c>
      <c r="CH34" s="27" t="s">
        <v>100</v>
      </c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</row>
    <row r="35" ht="16.5" customHeight="1">
      <c r="A35" s="14" t="s">
        <v>338</v>
      </c>
      <c r="B35" s="17" t="s">
        <v>363</v>
      </c>
      <c r="C35" s="16">
        <v>1.017929273E9</v>
      </c>
      <c r="D35" s="17" t="s">
        <v>49</v>
      </c>
      <c r="E35" s="18" t="s">
        <v>50</v>
      </c>
      <c r="F35" s="22"/>
      <c r="G35" s="18" t="s">
        <v>50</v>
      </c>
      <c r="H35" s="19" t="s">
        <v>52</v>
      </c>
      <c r="I35" s="18" t="s">
        <v>50</v>
      </c>
      <c r="J35" s="22"/>
      <c r="K35" s="62" t="s">
        <v>51</v>
      </c>
      <c r="L35" s="22"/>
      <c r="M35" s="19" t="s">
        <v>51</v>
      </c>
      <c r="N35" s="22"/>
      <c r="O35" s="19" t="s">
        <v>51</v>
      </c>
      <c r="P35" s="18" t="s">
        <v>50</v>
      </c>
      <c r="Q35" s="18" t="s">
        <v>50</v>
      </c>
      <c r="R35" s="18" t="s">
        <v>50</v>
      </c>
      <c r="S35" s="20" t="s">
        <v>52</v>
      </c>
      <c r="T35" s="20" t="s">
        <v>52</v>
      </c>
      <c r="U35" s="18" t="s">
        <v>50</v>
      </c>
      <c r="V35" s="18" t="s">
        <v>50</v>
      </c>
      <c r="W35" s="18" t="s">
        <v>50</v>
      </c>
      <c r="X35" s="18" t="s">
        <v>52</v>
      </c>
      <c r="Y35" s="18" t="s">
        <v>50</v>
      </c>
      <c r="Z35" s="18" t="s">
        <v>52</v>
      </c>
      <c r="AA35" s="18" t="s">
        <v>50</v>
      </c>
      <c r="AB35" s="18" t="s">
        <v>51</v>
      </c>
      <c r="AC35" s="18" t="s">
        <v>51</v>
      </c>
      <c r="AD35" s="18" t="s">
        <v>50</v>
      </c>
      <c r="AE35" s="18" t="s">
        <v>52</v>
      </c>
      <c r="AF35" s="18" t="s">
        <v>50</v>
      </c>
      <c r="AG35" s="18" t="s">
        <v>50</v>
      </c>
      <c r="AH35" s="18" t="s">
        <v>50</v>
      </c>
      <c r="AI35" s="18" t="s">
        <v>50</v>
      </c>
      <c r="AJ35" s="18" t="s">
        <v>51</v>
      </c>
      <c r="AK35" s="18" t="s">
        <v>51</v>
      </c>
      <c r="AL35" s="18" t="s">
        <v>50</v>
      </c>
      <c r="AM35" s="17" t="s">
        <v>50</v>
      </c>
      <c r="AN35" s="17" t="s">
        <v>50</v>
      </c>
      <c r="AO35" s="17" t="s">
        <v>51</v>
      </c>
      <c r="AP35" s="17" t="s">
        <v>51</v>
      </c>
      <c r="AQ35" s="17" t="s">
        <v>50</v>
      </c>
      <c r="AR35" s="17" t="s">
        <v>50</v>
      </c>
      <c r="AS35" s="17" t="s">
        <v>51</v>
      </c>
      <c r="AT35" s="18" t="s">
        <v>50</v>
      </c>
      <c r="AU35" s="17" t="s">
        <v>111</v>
      </c>
      <c r="AV35" s="18" t="s">
        <v>51</v>
      </c>
      <c r="AW35" s="17" t="s">
        <v>111</v>
      </c>
      <c r="AX35" s="62" t="s">
        <v>51</v>
      </c>
      <c r="AY35" s="17" t="s">
        <v>111</v>
      </c>
      <c r="AZ35" s="62" t="s">
        <v>51</v>
      </c>
      <c r="BA35" s="17" t="s">
        <v>111</v>
      </c>
      <c r="BB35" s="19" t="s">
        <v>343</v>
      </c>
      <c r="BC35" s="17" t="s">
        <v>111</v>
      </c>
      <c r="BD35" s="17" t="s">
        <v>50</v>
      </c>
      <c r="BE35" s="17" t="s">
        <v>50</v>
      </c>
      <c r="BF35" s="19" t="s">
        <v>51</v>
      </c>
      <c r="BG35" s="19" t="s">
        <v>51</v>
      </c>
      <c r="BH35" s="17" t="s">
        <v>50</v>
      </c>
      <c r="BI35" s="17" t="s">
        <v>50</v>
      </c>
      <c r="BJ35" s="17" t="s">
        <v>50</v>
      </c>
      <c r="BK35" s="19" t="s">
        <v>51</v>
      </c>
      <c r="BL35" s="19" t="s">
        <v>51</v>
      </c>
      <c r="BM35" s="17" t="s">
        <v>50</v>
      </c>
      <c r="BN35" s="17" t="s">
        <v>50</v>
      </c>
      <c r="BO35" s="24" t="s">
        <v>52</v>
      </c>
      <c r="BP35" s="24" t="s">
        <v>52</v>
      </c>
      <c r="BQ35" s="17" t="s">
        <v>52</v>
      </c>
      <c r="BR35" s="17" t="s">
        <v>50</v>
      </c>
      <c r="BS35" s="18" t="s">
        <v>52</v>
      </c>
      <c r="BT35" s="18" t="s">
        <v>52</v>
      </c>
      <c r="BU35" s="17" t="s">
        <v>52</v>
      </c>
      <c r="BV35" s="17" t="s">
        <v>52</v>
      </c>
      <c r="BW35" s="27" t="s">
        <v>100</v>
      </c>
      <c r="BX35" s="17" t="s">
        <v>50</v>
      </c>
      <c r="BY35" s="27" t="s">
        <v>100</v>
      </c>
      <c r="BZ35" s="17" t="s">
        <v>52</v>
      </c>
      <c r="CA35" s="17" t="s">
        <v>52</v>
      </c>
      <c r="CB35" s="27" t="s">
        <v>100</v>
      </c>
      <c r="CC35" s="17" t="s">
        <v>50</v>
      </c>
      <c r="CD35" s="27" t="s">
        <v>100</v>
      </c>
      <c r="CE35" s="17" t="s">
        <v>52</v>
      </c>
      <c r="CF35" s="27" t="s">
        <v>100</v>
      </c>
      <c r="CG35" s="17" t="s">
        <v>50</v>
      </c>
      <c r="CH35" s="17" t="s">
        <v>50</v>
      </c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</row>
    <row r="36" ht="16.5" customHeight="1">
      <c r="A36" s="31" t="s">
        <v>367</v>
      </c>
      <c r="B36" s="17" t="s">
        <v>371</v>
      </c>
      <c r="C36" s="16">
        <v>1.036254137E9</v>
      </c>
      <c r="D36" s="17" t="s">
        <v>49</v>
      </c>
      <c r="E36" s="18" t="s">
        <v>132</v>
      </c>
      <c r="F36" s="22"/>
      <c r="G36" s="19" t="s">
        <v>51</v>
      </c>
      <c r="H36" s="22"/>
      <c r="I36" s="18" t="s">
        <v>50</v>
      </c>
      <c r="J36" s="22"/>
      <c r="K36" s="20" t="s">
        <v>52</v>
      </c>
      <c r="L36" s="22"/>
      <c r="M36" s="19" t="s">
        <v>51</v>
      </c>
      <c r="N36" s="22"/>
      <c r="O36" s="27" t="s">
        <v>100</v>
      </c>
      <c r="P36" s="20" t="s">
        <v>52</v>
      </c>
      <c r="Q36" s="27" t="s">
        <v>100</v>
      </c>
      <c r="R36" s="18" t="s">
        <v>50</v>
      </c>
      <c r="S36" s="27" t="s">
        <v>100</v>
      </c>
      <c r="T36" s="18" t="s">
        <v>50</v>
      </c>
      <c r="U36" s="27" t="s">
        <v>100</v>
      </c>
      <c r="V36" s="18" t="s">
        <v>50</v>
      </c>
      <c r="W36" s="18" t="s">
        <v>50</v>
      </c>
      <c r="X36" s="18" t="s">
        <v>51</v>
      </c>
      <c r="Y36" s="18" t="s">
        <v>50</v>
      </c>
      <c r="Z36" s="27" t="s">
        <v>100</v>
      </c>
      <c r="AA36" s="18" t="s">
        <v>50</v>
      </c>
      <c r="AB36" s="27" t="s">
        <v>100</v>
      </c>
      <c r="AC36" s="18" t="s">
        <v>50</v>
      </c>
      <c r="AD36" s="27" t="s">
        <v>100</v>
      </c>
      <c r="AE36" s="18" t="s">
        <v>52</v>
      </c>
      <c r="AF36" s="18" t="s">
        <v>50</v>
      </c>
      <c r="AG36" s="18" t="s">
        <v>52</v>
      </c>
      <c r="AH36" s="27" t="s">
        <v>100</v>
      </c>
      <c r="AI36" s="18" t="s">
        <v>50</v>
      </c>
      <c r="AJ36" s="27" t="s">
        <v>100</v>
      </c>
      <c r="AK36" s="18" t="s">
        <v>50</v>
      </c>
      <c r="AL36" s="18" t="s">
        <v>50</v>
      </c>
      <c r="AM36" s="17" t="s">
        <v>52</v>
      </c>
      <c r="AN36" s="17" t="s">
        <v>52</v>
      </c>
      <c r="AO36" s="17" t="s">
        <v>50</v>
      </c>
      <c r="AP36" s="17" t="s">
        <v>50</v>
      </c>
      <c r="AQ36" s="17" t="s">
        <v>52</v>
      </c>
      <c r="AR36" s="17" t="s">
        <v>52</v>
      </c>
      <c r="AS36" s="17" t="s">
        <v>50</v>
      </c>
      <c r="AT36" s="18" t="s">
        <v>50</v>
      </c>
      <c r="AU36" s="18" t="s">
        <v>51</v>
      </c>
      <c r="AV36" s="18" t="s">
        <v>51</v>
      </c>
      <c r="AW36" s="17" t="s">
        <v>111</v>
      </c>
      <c r="AX36" s="17" t="s">
        <v>111</v>
      </c>
      <c r="AY36" s="17" t="s">
        <v>111</v>
      </c>
      <c r="AZ36" s="17" t="s">
        <v>50</v>
      </c>
      <c r="BA36" s="18" t="s">
        <v>52</v>
      </c>
      <c r="BB36" s="19" t="s">
        <v>373</v>
      </c>
      <c r="BC36" s="17" t="s">
        <v>111</v>
      </c>
      <c r="BD36" s="24" t="s">
        <v>52</v>
      </c>
      <c r="BE36" s="18" t="s">
        <v>52</v>
      </c>
      <c r="BF36" s="17" t="s">
        <v>50</v>
      </c>
      <c r="BG36" s="17" t="s">
        <v>50</v>
      </c>
      <c r="BH36" s="17" t="s">
        <v>52</v>
      </c>
      <c r="BI36" s="24" t="s">
        <v>52</v>
      </c>
      <c r="BJ36" s="17" t="s">
        <v>52</v>
      </c>
      <c r="BK36" s="17" t="s">
        <v>50</v>
      </c>
      <c r="BL36" s="17" t="s">
        <v>50</v>
      </c>
      <c r="BM36" s="24" t="s">
        <v>52</v>
      </c>
      <c r="BN36" s="17" t="s">
        <v>50</v>
      </c>
      <c r="BO36" s="17" t="s">
        <v>50</v>
      </c>
      <c r="BP36" s="17" t="s">
        <v>50</v>
      </c>
      <c r="BQ36" s="19" t="s">
        <v>51</v>
      </c>
      <c r="BR36" s="19" t="s">
        <v>51</v>
      </c>
      <c r="BS36" s="17" t="s">
        <v>50</v>
      </c>
      <c r="BT36" s="17" t="s">
        <v>50</v>
      </c>
      <c r="BU36" s="17" t="s">
        <v>52</v>
      </c>
      <c r="BV36" s="19" t="s">
        <v>51</v>
      </c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</row>
    <row r="37" ht="16.5" customHeight="1">
      <c r="A37" s="31" t="s">
        <v>375</v>
      </c>
      <c r="B37" s="17" t="s">
        <v>378</v>
      </c>
      <c r="C37" s="16">
        <v>1.036519137E9</v>
      </c>
      <c r="D37" s="17" t="s">
        <v>124</v>
      </c>
      <c r="E37" s="22"/>
      <c r="F37" s="38" t="s">
        <v>50</v>
      </c>
      <c r="G37" s="38" t="s">
        <v>51</v>
      </c>
      <c r="H37" s="38" t="s">
        <v>50</v>
      </c>
      <c r="I37" s="22"/>
      <c r="J37" s="22"/>
      <c r="K37" s="22"/>
      <c r="L37" s="19" t="s">
        <v>50</v>
      </c>
      <c r="M37" s="22"/>
      <c r="N37" s="18" t="s">
        <v>52</v>
      </c>
      <c r="O37" s="36" t="s">
        <v>125</v>
      </c>
      <c r="P37" s="36" t="s">
        <v>125</v>
      </c>
      <c r="Q37" s="36" t="s">
        <v>125</v>
      </c>
      <c r="R37" s="36" t="s">
        <v>125</v>
      </c>
      <c r="S37" s="36" t="s">
        <v>125</v>
      </c>
      <c r="T37" s="36" t="s">
        <v>125</v>
      </c>
      <c r="U37" s="36" t="s">
        <v>125</v>
      </c>
      <c r="V37" s="36" t="s">
        <v>125</v>
      </c>
      <c r="W37" s="18" t="s">
        <v>50</v>
      </c>
      <c r="X37" s="36" t="s">
        <v>125</v>
      </c>
      <c r="Y37" s="36" t="s">
        <v>125</v>
      </c>
      <c r="Z37" s="36" t="s">
        <v>125</v>
      </c>
      <c r="AA37" s="36" t="s">
        <v>125</v>
      </c>
      <c r="AB37" s="36" t="s">
        <v>125</v>
      </c>
      <c r="AC37" s="36" t="s">
        <v>125</v>
      </c>
      <c r="AD37" s="36" t="s">
        <v>125</v>
      </c>
      <c r="AE37" s="36" t="s">
        <v>125</v>
      </c>
      <c r="AF37" s="36" t="s">
        <v>125</v>
      </c>
      <c r="AG37" s="18" t="s">
        <v>50</v>
      </c>
      <c r="AH37" s="36" t="s">
        <v>125</v>
      </c>
      <c r="AI37" s="36" t="s">
        <v>125</v>
      </c>
      <c r="AJ37" s="36" t="s">
        <v>125</v>
      </c>
      <c r="AK37" s="36" t="s">
        <v>125</v>
      </c>
      <c r="AL37" s="18" t="s">
        <v>50</v>
      </c>
      <c r="AM37" s="36" t="s">
        <v>125</v>
      </c>
      <c r="AN37" s="36" t="s">
        <v>125</v>
      </c>
      <c r="AO37" s="36" t="s">
        <v>125</v>
      </c>
      <c r="AP37" s="36" t="s">
        <v>125</v>
      </c>
      <c r="AQ37" s="17" t="s">
        <v>50</v>
      </c>
      <c r="AR37" s="17" t="s">
        <v>50</v>
      </c>
      <c r="AS37" s="17" t="s">
        <v>50</v>
      </c>
      <c r="AT37" s="19" t="s">
        <v>51</v>
      </c>
      <c r="AU37" s="18" t="s">
        <v>50</v>
      </c>
      <c r="AV37" s="18" t="s">
        <v>51</v>
      </c>
      <c r="AW37" s="17" t="s">
        <v>111</v>
      </c>
      <c r="AX37" s="17" t="s">
        <v>111</v>
      </c>
      <c r="AY37" s="17" t="s">
        <v>50</v>
      </c>
      <c r="AZ37" s="17" t="s">
        <v>50</v>
      </c>
      <c r="BA37" s="17" t="s">
        <v>111</v>
      </c>
      <c r="BB37" s="17" t="s">
        <v>111</v>
      </c>
      <c r="BC37" s="19" t="s">
        <v>51</v>
      </c>
      <c r="BD37" s="17" t="s">
        <v>51</v>
      </c>
      <c r="BE37" s="17" t="s">
        <v>50</v>
      </c>
      <c r="BF37" s="36" t="s">
        <v>125</v>
      </c>
      <c r="BG37" s="17" t="s">
        <v>50</v>
      </c>
      <c r="BH37" s="36" t="s">
        <v>125</v>
      </c>
      <c r="BI37" s="17" t="s">
        <v>50</v>
      </c>
      <c r="BJ37" s="17" t="s">
        <v>50</v>
      </c>
      <c r="BK37" s="36" t="s">
        <v>125</v>
      </c>
      <c r="BL37" s="17" t="s">
        <v>50</v>
      </c>
      <c r="BM37" s="17" t="s">
        <v>50</v>
      </c>
      <c r="BN37" s="17" t="s">
        <v>50</v>
      </c>
      <c r="BO37" s="24" t="s">
        <v>52</v>
      </c>
      <c r="BP37" s="24" t="s">
        <v>52</v>
      </c>
      <c r="BQ37" s="17" t="s">
        <v>50</v>
      </c>
      <c r="BR37" s="17" t="s">
        <v>50</v>
      </c>
      <c r="BS37" s="17" t="s">
        <v>52</v>
      </c>
      <c r="BT37" s="17" t="s">
        <v>52</v>
      </c>
      <c r="BU37" s="19" t="s">
        <v>51</v>
      </c>
      <c r="BV37" s="17" t="s">
        <v>50</v>
      </c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</row>
    <row r="38" ht="16.5" customHeight="1">
      <c r="A38" s="31" t="s">
        <v>383</v>
      </c>
      <c r="B38" s="17" t="s">
        <v>386</v>
      </c>
      <c r="C38" s="16">
        <v>1.020115294E9</v>
      </c>
      <c r="D38" s="17" t="s">
        <v>49</v>
      </c>
      <c r="E38" s="17"/>
      <c r="F38" s="17"/>
      <c r="G38" s="17"/>
      <c r="H38" s="17"/>
      <c r="I38" s="17"/>
      <c r="J38" s="19"/>
      <c r="K38" s="19"/>
      <c r="L38" s="17"/>
      <c r="M38" s="17"/>
      <c r="N38" s="18"/>
      <c r="O38" s="18"/>
      <c r="P38" s="18"/>
      <c r="Q38" s="19"/>
      <c r="R38" s="19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7"/>
      <c r="AN38" s="17"/>
      <c r="AO38" s="17"/>
      <c r="AP38" s="17"/>
      <c r="AQ38" s="17"/>
      <c r="AR38" s="17"/>
      <c r="AS38" s="17"/>
      <c r="AT38" s="19" t="s">
        <v>51</v>
      </c>
      <c r="AU38" s="18" t="s">
        <v>50</v>
      </c>
      <c r="AV38" s="17" t="s">
        <v>111</v>
      </c>
      <c r="AW38" s="18" t="s">
        <v>51</v>
      </c>
      <c r="AX38" s="17" t="s">
        <v>111</v>
      </c>
      <c r="AY38" s="18" t="s">
        <v>51</v>
      </c>
      <c r="AZ38" s="17" t="s">
        <v>111</v>
      </c>
      <c r="BA38" s="18" t="s">
        <v>51</v>
      </c>
      <c r="BB38" s="17" t="s">
        <v>111</v>
      </c>
      <c r="BC38" s="18" t="s">
        <v>51</v>
      </c>
      <c r="BD38" s="17"/>
      <c r="BE38" s="17"/>
      <c r="BF38" s="19"/>
      <c r="BG38" s="19"/>
      <c r="BH38" s="17"/>
      <c r="BI38" s="17"/>
      <c r="BJ38" s="17"/>
      <c r="BK38" s="19"/>
      <c r="BL38" s="19"/>
      <c r="BM38" s="19"/>
      <c r="BN38" s="17"/>
      <c r="BO38" s="81"/>
      <c r="BP38" s="81"/>
      <c r="BQ38" s="17"/>
      <c r="BR38" s="17"/>
      <c r="BS38" s="19"/>
      <c r="BT38" s="19"/>
      <c r="BU38" s="19" t="s">
        <v>51</v>
      </c>
      <c r="BV38" s="17" t="s">
        <v>50</v>
      </c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</row>
    <row r="39" ht="16.5" customHeight="1">
      <c r="A39" s="31" t="s">
        <v>390</v>
      </c>
      <c r="B39" s="17" t="s">
        <v>393</v>
      </c>
      <c r="C39" s="17">
        <v>1.011400138E9</v>
      </c>
      <c r="D39" s="17" t="s">
        <v>124</v>
      </c>
      <c r="E39" s="17" t="s">
        <v>111</v>
      </c>
      <c r="F39" s="17" t="s">
        <v>111</v>
      </c>
      <c r="G39" s="17" t="s">
        <v>111</v>
      </c>
      <c r="H39" s="17" t="s">
        <v>111</v>
      </c>
      <c r="I39" s="17" t="s">
        <v>111</v>
      </c>
      <c r="J39" s="19" t="s">
        <v>51</v>
      </c>
      <c r="K39" s="19" t="s">
        <v>51</v>
      </c>
      <c r="L39" s="17" t="s">
        <v>111</v>
      </c>
      <c r="M39" s="17" t="s">
        <v>111</v>
      </c>
      <c r="N39" s="18" t="s">
        <v>50</v>
      </c>
      <c r="O39" s="18" t="s">
        <v>50</v>
      </c>
      <c r="P39" s="18" t="s">
        <v>50</v>
      </c>
      <c r="Q39" s="19" t="s">
        <v>51</v>
      </c>
      <c r="R39" s="19" t="s">
        <v>51</v>
      </c>
      <c r="S39" s="18" t="s">
        <v>50</v>
      </c>
      <c r="T39" s="18" t="s">
        <v>50</v>
      </c>
      <c r="U39" s="18" t="s">
        <v>50</v>
      </c>
      <c r="V39" s="18" t="s">
        <v>50</v>
      </c>
      <c r="W39" s="18" t="s">
        <v>51</v>
      </c>
      <c r="X39" s="18" t="s">
        <v>50</v>
      </c>
      <c r="Y39" s="18" t="s">
        <v>50</v>
      </c>
      <c r="Z39" s="18" t="s">
        <v>52</v>
      </c>
      <c r="AA39" s="18" t="s">
        <v>50</v>
      </c>
      <c r="AB39" s="18" t="s">
        <v>52</v>
      </c>
      <c r="AC39" s="18" t="s">
        <v>52</v>
      </c>
      <c r="AD39" s="18" t="s">
        <v>50</v>
      </c>
      <c r="AE39" s="18" t="s">
        <v>50</v>
      </c>
      <c r="AF39" s="18" t="s">
        <v>50</v>
      </c>
      <c r="AG39" s="18" t="s">
        <v>51</v>
      </c>
      <c r="AH39" s="18" t="s">
        <v>50</v>
      </c>
      <c r="AI39" s="18" t="s">
        <v>50</v>
      </c>
      <c r="AJ39" s="18" t="s">
        <v>50</v>
      </c>
      <c r="AK39" s="18" t="s">
        <v>50</v>
      </c>
      <c r="AL39" s="18" t="s">
        <v>50</v>
      </c>
      <c r="AM39" s="17" t="s">
        <v>50</v>
      </c>
      <c r="AN39" s="17" t="s">
        <v>50</v>
      </c>
      <c r="AO39" s="17" t="s">
        <v>51</v>
      </c>
      <c r="AP39" s="17" t="s">
        <v>52</v>
      </c>
      <c r="AQ39" s="17" t="s">
        <v>50</v>
      </c>
      <c r="AR39" s="17" t="s">
        <v>50</v>
      </c>
      <c r="AS39" s="17" t="s">
        <v>50</v>
      </c>
      <c r="AT39" s="17" t="s">
        <v>111</v>
      </c>
      <c r="AU39" s="17" t="s">
        <v>111</v>
      </c>
      <c r="AV39" s="17" t="s">
        <v>111</v>
      </c>
      <c r="AW39" s="17" t="s">
        <v>111</v>
      </c>
      <c r="AX39" s="17" t="s">
        <v>111</v>
      </c>
      <c r="AY39" s="19" t="s">
        <v>51</v>
      </c>
      <c r="AZ39" s="19" t="s">
        <v>51</v>
      </c>
      <c r="BA39" s="17" t="s">
        <v>111</v>
      </c>
      <c r="BB39" s="17" t="s">
        <v>111</v>
      </c>
      <c r="BC39" s="17" t="s">
        <v>111</v>
      </c>
      <c r="BD39" s="17" t="s">
        <v>50</v>
      </c>
      <c r="BE39" s="17" t="s">
        <v>50</v>
      </c>
      <c r="BF39" s="19" t="s">
        <v>51</v>
      </c>
      <c r="BG39" s="19" t="s">
        <v>51</v>
      </c>
      <c r="BH39" s="17" t="s">
        <v>50</v>
      </c>
      <c r="BI39" s="17" t="s">
        <v>50</v>
      </c>
      <c r="BJ39" s="17" t="s">
        <v>50</v>
      </c>
      <c r="BK39" s="19" t="s">
        <v>51</v>
      </c>
      <c r="BL39" s="19" t="s">
        <v>51</v>
      </c>
      <c r="BM39" s="19" t="s">
        <v>51</v>
      </c>
      <c r="BN39" s="17" t="s">
        <v>50</v>
      </c>
      <c r="BO39" s="19" t="s">
        <v>51</v>
      </c>
      <c r="BP39" s="19" t="s">
        <v>51</v>
      </c>
      <c r="BQ39" s="17" t="s">
        <v>50</v>
      </c>
      <c r="BR39" s="17" t="s">
        <v>50</v>
      </c>
      <c r="BS39" s="19" t="s">
        <v>51</v>
      </c>
      <c r="BT39" s="19" t="s">
        <v>51</v>
      </c>
      <c r="BU39" s="19" t="s">
        <v>51</v>
      </c>
      <c r="BV39" s="17" t="s">
        <v>50</v>
      </c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</row>
    <row r="40" ht="16.5" customHeight="1">
      <c r="A40" s="31" t="s">
        <v>218</v>
      </c>
      <c r="B40" s="17" t="s">
        <v>399</v>
      </c>
      <c r="C40" s="16">
        <v>1.036256602E9</v>
      </c>
      <c r="D40" s="17" t="s">
        <v>49</v>
      </c>
      <c r="E40" s="18" t="s">
        <v>50</v>
      </c>
      <c r="F40" s="19" t="s">
        <v>51</v>
      </c>
      <c r="G40" s="19" t="s">
        <v>51</v>
      </c>
      <c r="H40" s="22"/>
      <c r="I40" s="22"/>
      <c r="J40" s="20" t="s">
        <v>51</v>
      </c>
      <c r="K40" s="22"/>
      <c r="L40" s="22"/>
      <c r="M40" s="17" t="s">
        <v>51</v>
      </c>
      <c r="N40" s="22"/>
      <c r="O40" s="19" t="s">
        <v>51</v>
      </c>
      <c r="P40" s="19" t="s">
        <v>51</v>
      </c>
      <c r="Q40" s="18" t="s">
        <v>50</v>
      </c>
      <c r="R40" s="18" t="s">
        <v>50</v>
      </c>
      <c r="S40" s="18" t="s">
        <v>50</v>
      </c>
      <c r="T40" s="18" t="s">
        <v>50</v>
      </c>
      <c r="U40" s="18" t="s">
        <v>51</v>
      </c>
      <c r="V40" s="18" t="s">
        <v>51</v>
      </c>
      <c r="W40" s="18" t="s">
        <v>50</v>
      </c>
      <c r="X40" s="18" t="s">
        <v>50</v>
      </c>
      <c r="Y40" s="18" t="s">
        <v>51</v>
      </c>
      <c r="Z40" s="18" t="s">
        <v>51</v>
      </c>
      <c r="AA40" s="18" t="s">
        <v>50</v>
      </c>
      <c r="AB40" s="18" t="s">
        <v>50</v>
      </c>
      <c r="AC40" s="18" t="s">
        <v>50</v>
      </c>
      <c r="AD40" s="18" t="s">
        <v>52</v>
      </c>
      <c r="AE40" s="18" t="s">
        <v>50</v>
      </c>
      <c r="AF40" s="18" t="s">
        <v>50</v>
      </c>
      <c r="AG40" s="18" t="s">
        <v>52</v>
      </c>
      <c r="AH40" s="18" t="s">
        <v>50</v>
      </c>
      <c r="AI40" s="18" t="s">
        <v>50</v>
      </c>
      <c r="AJ40" s="18" t="s">
        <v>50</v>
      </c>
      <c r="AK40" s="18" t="s">
        <v>51</v>
      </c>
      <c r="AL40" s="18" t="s">
        <v>51</v>
      </c>
      <c r="AM40" s="17" t="s">
        <v>50</v>
      </c>
      <c r="AN40" s="17" t="s">
        <v>50</v>
      </c>
      <c r="AO40" s="17" t="s">
        <v>50</v>
      </c>
      <c r="AP40" s="17" t="s">
        <v>50</v>
      </c>
      <c r="AQ40" s="18" t="s">
        <v>51</v>
      </c>
      <c r="AR40" s="18" t="s">
        <v>51</v>
      </c>
      <c r="AS40" s="17" t="s">
        <v>50</v>
      </c>
      <c r="AT40" s="18" t="s">
        <v>50</v>
      </c>
      <c r="AU40" s="18" t="s">
        <v>111</v>
      </c>
      <c r="AV40" s="19" t="s">
        <v>51</v>
      </c>
      <c r="AW40" s="17" t="s">
        <v>111</v>
      </c>
      <c r="AX40" s="17" t="s">
        <v>111</v>
      </c>
      <c r="AY40" s="20" t="s">
        <v>51</v>
      </c>
      <c r="AZ40" s="17" t="s">
        <v>111</v>
      </c>
      <c r="BA40" s="17" t="s">
        <v>111</v>
      </c>
      <c r="BB40" s="17" t="s">
        <v>111</v>
      </c>
      <c r="BC40" s="19" t="s">
        <v>51</v>
      </c>
      <c r="BD40" s="17" t="s">
        <v>50</v>
      </c>
      <c r="BE40" s="17" t="s">
        <v>50</v>
      </c>
      <c r="BF40" s="17" t="s">
        <v>50</v>
      </c>
      <c r="BG40" s="19" t="s">
        <v>51</v>
      </c>
      <c r="BH40" s="17" t="s">
        <v>50</v>
      </c>
      <c r="BI40" s="17" t="s">
        <v>50</v>
      </c>
      <c r="BJ40" s="17" t="s">
        <v>50</v>
      </c>
      <c r="BK40" s="19" t="s">
        <v>51</v>
      </c>
      <c r="BL40" s="19" t="s">
        <v>51</v>
      </c>
      <c r="BM40" s="17" t="s">
        <v>50</v>
      </c>
      <c r="BN40" s="17" t="s">
        <v>50</v>
      </c>
      <c r="BO40" s="19" t="s">
        <v>51</v>
      </c>
      <c r="BP40" s="19" t="s">
        <v>51</v>
      </c>
      <c r="BQ40" s="17" t="s">
        <v>50</v>
      </c>
      <c r="BR40" s="17" t="s">
        <v>50</v>
      </c>
      <c r="BS40" s="19" t="s">
        <v>51</v>
      </c>
      <c r="BT40" s="19" t="s">
        <v>51</v>
      </c>
      <c r="BU40" s="17" t="s">
        <v>50</v>
      </c>
      <c r="BV40" s="17" t="s">
        <v>50</v>
      </c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</row>
    <row r="41" ht="16.5" customHeight="1">
      <c r="A41" s="31" t="s">
        <v>403</v>
      </c>
      <c r="B41" s="17" t="s">
        <v>405</v>
      </c>
      <c r="C41" s="16">
        <v>1.04057022E9</v>
      </c>
      <c r="D41" s="26" t="s">
        <v>90</v>
      </c>
      <c r="E41" s="22"/>
      <c r="F41" s="18" t="s">
        <v>50</v>
      </c>
      <c r="G41" s="22"/>
      <c r="H41" s="22"/>
      <c r="I41" s="22"/>
      <c r="J41" s="22"/>
      <c r="K41" s="22"/>
      <c r="L41" s="22"/>
      <c r="M41" s="18" t="s">
        <v>52</v>
      </c>
      <c r="N41" s="18" t="s">
        <v>50</v>
      </c>
      <c r="O41" s="27" t="s">
        <v>100</v>
      </c>
      <c r="P41" s="27" t="s">
        <v>100</v>
      </c>
      <c r="Q41" s="27" t="s">
        <v>100</v>
      </c>
      <c r="R41" s="27" t="s">
        <v>100</v>
      </c>
      <c r="S41" s="27" t="s">
        <v>100</v>
      </c>
      <c r="T41" s="27" t="s">
        <v>100</v>
      </c>
      <c r="U41" s="27" t="s">
        <v>100</v>
      </c>
      <c r="V41" s="27" t="s">
        <v>100</v>
      </c>
      <c r="W41" s="18" t="s">
        <v>50</v>
      </c>
      <c r="X41" s="27" t="s">
        <v>100</v>
      </c>
      <c r="Y41" s="27" t="s">
        <v>100</v>
      </c>
      <c r="Z41" s="27" t="s">
        <v>100</v>
      </c>
      <c r="AA41" s="27" t="s">
        <v>100</v>
      </c>
      <c r="AB41" s="27" t="s">
        <v>100</v>
      </c>
      <c r="AC41" s="27" t="s">
        <v>100</v>
      </c>
      <c r="AD41" s="27" t="s">
        <v>100</v>
      </c>
      <c r="AE41" s="27" t="s">
        <v>100</v>
      </c>
      <c r="AF41" s="27" t="s">
        <v>100</v>
      </c>
      <c r="AG41" s="18" t="s">
        <v>52</v>
      </c>
      <c r="AH41" s="27" t="s">
        <v>100</v>
      </c>
      <c r="AI41" s="27" t="s">
        <v>100</v>
      </c>
      <c r="AJ41" s="27" t="s">
        <v>100</v>
      </c>
      <c r="AK41" s="27" t="s">
        <v>100</v>
      </c>
      <c r="AL41" s="18" t="s">
        <v>52</v>
      </c>
      <c r="AM41" s="18" t="s">
        <v>50</v>
      </c>
      <c r="AN41" s="17" t="s">
        <v>50</v>
      </c>
      <c r="AO41" s="17" t="s">
        <v>52</v>
      </c>
      <c r="AP41" s="17" t="s">
        <v>52</v>
      </c>
      <c r="AQ41" s="17" t="s">
        <v>50</v>
      </c>
      <c r="AR41" s="17" t="s">
        <v>50</v>
      </c>
      <c r="AS41" s="17" t="s">
        <v>52</v>
      </c>
      <c r="AT41" s="18" t="s">
        <v>50</v>
      </c>
      <c r="AU41" s="18" t="s">
        <v>111</v>
      </c>
      <c r="AV41" s="17" t="s">
        <v>111</v>
      </c>
      <c r="AW41" s="17" t="s">
        <v>111</v>
      </c>
      <c r="AX41" s="17" t="s">
        <v>111</v>
      </c>
      <c r="AY41" s="17" t="s">
        <v>111</v>
      </c>
      <c r="AZ41" s="17" t="s">
        <v>111</v>
      </c>
      <c r="BA41" s="17" t="s">
        <v>111</v>
      </c>
      <c r="BB41" s="18" t="s">
        <v>52</v>
      </c>
      <c r="BC41" s="17" t="s">
        <v>111</v>
      </c>
      <c r="BD41" s="56" t="s">
        <v>100</v>
      </c>
      <c r="BE41" s="17" t="s">
        <v>52</v>
      </c>
      <c r="BF41" s="27" t="s">
        <v>100</v>
      </c>
      <c r="BG41" s="56" t="s">
        <v>100</v>
      </c>
      <c r="BH41" s="27" t="s">
        <v>100</v>
      </c>
      <c r="BI41" s="27" t="s">
        <v>100</v>
      </c>
      <c r="BJ41" s="17" t="s">
        <v>50</v>
      </c>
      <c r="BK41" s="27" t="s">
        <v>100</v>
      </c>
      <c r="BL41" s="27" t="s">
        <v>100</v>
      </c>
      <c r="BM41" s="27" t="s">
        <v>100</v>
      </c>
      <c r="BN41" s="27" t="s">
        <v>100</v>
      </c>
      <c r="BO41" s="27" t="s">
        <v>100</v>
      </c>
      <c r="BP41" s="27" t="s">
        <v>100</v>
      </c>
      <c r="BQ41" s="27" t="s">
        <v>100</v>
      </c>
      <c r="BR41" s="27" t="s">
        <v>100</v>
      </c>
      <c r="BS41" s="27" t="s">
        <v>100</v>
      </c>
      <c r="BT41" s="27" t="s">
        <v>100</v>
      </c>
      <c r="BU41" s="27" t="s">
        <v>100</v>
      </c>
      <c r="BV41" s="27" t="s">
        <v>100</v>
      </c>
      <c r="BW41" s="27" t="s">
        <v>100</v>
      </c>
      <c r="BX41" s="27" t="s">
        <v>100</v>
      </c>
      <c r="BY41" s="27" t="s">
        <v>100</v>
      </c>
      <c r="BZ41" s="27" t="s">
        <v>100</v>
      </c>
      <c r="CA41" s="27" t="s">
        <v>100</v>
      </c>
      <c r="CB41" s="27" t="s">
        <v>100</v>
      </c>
      <c r="CC41" s="27" t="s">
        <v>100</v>
      </c>
      <c r="CD41" s="27" t="s">
        <v>100</v>
      </c>
      <c r="CE41" s="27" t="s">
        <v>100</v>
      </c>
      <c r="CF41" s="27" t="s">
        <v>100</v>
      </c>
      <c r="CG41" s="27" t="s">
        <v>100</v>
      </c>
      <c r="CH41" s="27" t="s">
        <v>100</v>
      </c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</row>
    <row r="42" ht="16.5" customHeight="1">
      <c r="A42" s="31" t="s">
        <v>410</v>
      </c>
      <c r="B42" s="17" t="s">
        <v>411</v>
      </c>
      <c r="C42" s="16">
        <v>1.022145673E9</v>
      </c>
      <c r="D42" s="17" t="s">
        <v>124</v>
      </c>
      <c r="E42" s="18" t="s">
        <v>50</v>
      </c>
      <c r="F42" s="22"/>
      <c r="G42" s="22"/>
      <c r="H42" s="22"/>
      <c r="I42" s="19" t="s">
        <v>51</v>
      </c>
      <c r="J42" s="22"/>
      <c r="K42" s="19" t="s">
        <v>51</v>
      </c>
      <c r="L42" s="22"/>
      <c r="M42" s="18" t="s">
        <v>52</v>
      </c>
      <c r="N42" s="22"/>
      <c r="O42" s="19" t="s">
        <v>51</v>
      </c>
      <c r="P42" s="19" t="s">
        <v>51</v>
      </c>
      <c r="Q42" s="18" t="s">
        <v>50</v>
      </c>
      <c r="R42" s="18" t="s">
        <v>50</v>
      </c>
      <c r="S42" s="18" t="s">
        <v>50</v>
      </c>
      <c r="T42" s="18" t="s">
        <v>50</v>
      </c>
      <c r="U42" s="18" t="s">
        <v>50</v>
      </c>
      <c r="V42" s="18" t="s">
        <v>50</v>
      </c>
      <c r="W42" s="18" t="s">
        <v>51</v>
      </c>
      <c r="X42" s="18" t="s">
        <v>50</v>
      </c>
      <c r="Y42" s="18" t="s">
        <v>50</v>
      </c>
      <c r="Z42" s="18" t="s">
        <v>51</v>
      </c>
      <c r="AA42" s="18" t="s">
        <v>51</v>
      </c>
      <c r="AB42" s="18" t="s">
        <v>50</v>
      </c>
      <c r="AC42" s="18" t="s">
        <v>50</v>
      </c>
      <c r="AD42" s="18" t="s">
        <v>50</v>
      </c>
      <c r="AE42" s="18" t="s">
        <v>51</v>
      </c>
      <c r="AF42" s="18" t="s">
        <v>50</v>
      </c>
      <c r="AG42" s="18" t="s">
        <v>50</v>
      </c>
      <c r="AH42" s="18" t="s">
        <v>51</v>
      </c>
      <c r="AI42" s="18" t="s">
        <v>51</v>
      </c>
      <c r="AJ42" s="18" t="s">
        <v>50</v>
      </c>
      <c r="AK42" s="18" t="s">
        <v>50</v>
      </c>
      <c r="AL42" s="18" t="s">
        <v>50</v>
      </c>
      <c r="AM42" s="17" t="s">
        <v>50</v>
      </c>
      <c r="AN42" s="17" t="s">
        <v>50</v>
      </c>
      <c r="AO42" s="17" t="s">
        <v>52</v>
      </c>
      <c r="AP42" s="17" t="s">
        <v>51</v>
      </c>
      <c r="AQ42" s="17" t="s">
        <v>50</v>
      </c>
      <c r="AR42" s="17" t="s">
        <v>50</v>
      </c>
      <c r="AS42" s="17" t="s">
        <v>51</v>
      </c>
      <c r="AT42" s="18" t="s">
        <v>111</v>
      </c>
      <c r="AU42" s="18" t="s">
        <v>111</v>
      </c>
      <c r="AV42" s="18" t="s">
        <v>111</v>
      </c>
      <c r="AW42" s="18" t="s">
        <v>111</v>
      </c>
      <c r="AX42" s="18" t="s">
        <v>111</v>
      </c>
      <c r="AY42" s="18" t="s">
        <v>111</v>
      </c>
      <c r="AZ42" s="19" t="s">
        <v>51</v>
      </c>
      <c r="BA42" s="18" t="s">
        <v>111</v>
      </c>
      <c r="BB42" s="18" t="s">
        <v>111</v>
      </c>
      <c r="BC42" s="18" t="s">
        <v>111</v>
      </c>
      <c r="BD42" s="36" t="s">
        <v>125</v>
      </c>
      <c r="BE42" s="17" t="s">
        <v>50</v>
      </c>
      <c r="BF42" s="36" t="s">
        <v>125</v>
      </c>
      <c r="BG42" s="17" t="s">
        <v>50</v>
      </c>
      <c r="BH42" s="36" t="s">
        <v>125</v>
      </c>
      <c r="BI42" s="17" t="s">
        <v>51</v>
      </c>
      <c r="BJ42" s="17" t="s">
        <v>51</v>
      </c>
      <c r="BK42" s="36" t="s">
        <v>125</v>
      </c>
      <c r="BL42" s="17" t="s">
        <v>50</v>
      </c>
      <c r="BM42" s="36" t="s">
        <v>125</v>
      </c>
      <c r="BN42" s="17" t="s">
        <v>50</v>
      </c>
      <c r="BO42" s="36" t="s">
        <v>125</v>
      </c>
      <c r="BP42" s="17" t="s">
        <v>50</v>
      </c>
      <c r="BQ42" s="36" t="s">
        <v>125</v>
      </c>
      <c r="BR42" s="17" t="s">
        <v>50</v>
      </c>
      <c r="BS42" s="24" t="s">
        <v>52</v>
      </c>
      <c r="BT42" s="24" t="s">
        <v>52</v>
      </c>
      <c r="BU42" s="36" t="s">
        <v>125</v>
      </c>
      <c r="BV42" s="17" t="s">
        <v>50</v>
      </c>
      <c r="BW42" s="36" t="s">
        <v>125</v>
      </c>
      <c r="BX42" s="19" t="s">
        <v>51</v>
      </c>
      <c r="BY42" s="36" t="s">
        <v>125</v>
      </c>
      <c r="BZ42" s="17" t="s">
        <v>50</v>
      </c>
      <c r="CA42" s="17" t="s">
        <v>50</v>
      </c>
      <c r="CB42" s="36" t="s">
        <v>125</v>
      </c>
      <c r="CC42" s="19" t="s">
        <v>51</v>
      </c>
      <c r="CD42" s="36" t="s">
        <v>125</v>
      </c>
      <c r="CE42" s="17" t="s">
        <v>50</v>
      </c>
      <c r="CF42" s="36" t="s">
        <v>125</v>
      </c>
      <c r="CG42" s="19" t="s">
        <v>51</v>
      </c>
      <c r="CH42" s="19" t="s">
        <v>51</v>
      </c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</row>
    <row r="43" ht="16.5" customHeight="1">
      <c r="A43" s="31" t="s">
        <v>415</v>
      </c>
      <c r="B43" s="17" t="s">
        <v>416</v>
      </c>
      <c r="C43" s="16">
        <v>1.038869807E9</v>
      </c>
      <c r="D43" s="17" t="s">
        <v>124</v>
      </c>
      <c r="E43" s="22"/>
      <c r="F43" s="22"/>
      <c r="G43" s="22"/>
      <c r="H43" s="22"/>
      <c r="I43" s="22"/>
      <c r="J43" s="22"/>
      <c r="K43" s="17"/>
      <c r="L43" s="22"/>
      <c r="M43" s="22"/>
      <c r="N43" s="22"/>
      <c r="O43" s="36" t="s">
        <v>125</v>
      </c>
      <c r="P43" s="36" t="s">
        <v>125</v>
      </c>
      <c r="Q43" s="36" t="s">
        <v>125</v>
      </c>
      <c r="R43" s="36" t="s">
        <v>125</v>
      </c>
      <c r="S43" s="36" t="s">
        <v>125</v>
      </c>
      <c r="T43" s="36" t="s">
        <v>125</v>
      </c>
      <c r="U43" s="36" t="s">
        <v>125</v>
      </c>
      <c r="V43" s="36" t="s">
        <v>125</v>
      </c>
      <c r="W43" s="18" t="s">
        <v>50</v>
      </c>
      <c r="X43" s="36" t="s">
        <v>125</v>
      </c>
      <c r="Y43" s="36" t="s">
        <v>125</v>
      </c>
      <c r="Z43" s="36" t="s">
        <v>125</v>
      </c>
      <c r="AA43" s="36" t="s">
        <v>125</v>
      </c>
      <c r="AB43" s="36" t="s">
        <v>125</v>
      </c>
      <c r="AC43" s="36" t="s">
        <v>125</v>
      </c>
      <c r="AD43" s="36" t="s">
        <v>125</v>
      </c>
      <c r="AE43" s="36" t="s">
        <v>125</v>
      </c>
      <c r="AF43" s="36" t="s">
        <v>125</v>
      </c>
      <c r="AG43" s="18" t="s">
        <v>50</v>
      </c>
      <c r="AH43" s="36" t="s">
        <v>125</v>
      </c>
      <c r="AI43" s="36" t="s">
        <v>125</v>
      </c>
      <c r="AJ43" s="36" t="s">
        <v>125</v>
      </c>
      <c r="AK43" s="36" t="s">
        <v>125</v>
      </c>
      <c r="AL43" s="18" t="s">
        <v>50</v>
      </c>
      <c r="AM43" s="36" t="s">
        <v>125</v>
      </c>
      <c r="AN43" s="36" t="s">
        <v>125</v>
      </c>
      <c r="AO43" s="17" t="s">
        <v>50</v>
      </c>
      <c r="AP43" s="17" t="s">
        <v>50</v>
      </c>
      <c r="AQ43" s="36" t="s">
        <v>125</v>
      </c>
      <c r="AR43" s="36" t="s">
        <v>125</v>
      </c>
      <c r="AS43" s="17" t="s">
        <v>50</v>
      </c>
      <c r="AT43" s="18" t="s">
        <v>111</v>
      </c>
      <c r="AU43" s="18" t="s">
        <v>50</v>
      </c>
      <c r="AV43" s="18" t="s">
        <v>111</v>
      </c>
      <c r="AW43" s="18" t="s">
        <v>111</v>
      </c>
      <c r="AX43" s="18" t="s">
        <v>111</v>
      </c>
      <c r="AY43" s="18" t="s">
        <v>111</v>
      </c>
      <c r="AZ43" s="18" t="s">
        <v>111</v>
      </c>
      <c r="BA43" s="18" t="s">
        <v>111</v>
      </c>
      <c r="BB43" s="18" t="s">
        <v>111</v>
      </c>
      <c r="BC43" s="19" t="s">
        <v>51</v>
      </c>
      <c r="BD43" s="36" t="s">
        <v>125</v>
      </c>
      <c r="BE43" s="17" t="s">
        <v>50</v>
      </c>
      <c r="BF43" s="36" t="s">
        <v>125</v>
      </c>
      <c r="BG43" s="17" t="s">
        <v>50</v>
      </c>
      <c r="BH43" s="36" t="s">
        <v>125</v>
      </c>
      <c r="BI43" s="17" t="s">
        <v>51</v>
      </c>
      <c r="BJ43" s="17" t="s">
        <v>51</v>
      </c>
      <c r="BK43" s="36" t="s">
        <v>125</v>
      </c>
      <c r="BL43" s="17" t="s">
        <v>50</v>
      </c>
      <c r="BM43" s="36" t="s">
        <v>125</v>
      </c>
      <c r="BN43" s="17" t="s">
        <v>50</v>
      </c>
      <c r="BO43" s="36" t="s">
        <v>125</v>
      </c>
      <c r="BP43" s="17" t="s">
        <v>50</v>
      </c>
      <c r="BQ43" s="36" t="s">
        <v>125</v>
      </c>
      <c r="BR43" s="17" t="s">
        <v>50</v>
      </c>
      <c r="BS43" s="36" t="s">
        <v>125</v>
      </c>
      <c r="BT43" s="17" t="s">
        <v>50</v>
      </c>
      <c r="BU43" s="36" t="s">
        <v>125</v>
      </c>
      <c r="BV43" s="17" t="s">
        <v>50</v>
      </c>
      <c r="BW43" s="36" t="s">
        <v>125</v>
      </c>
      <c r="BX43" s="19" t="s">
        <v>51</v>
      </c>
      <c r="BY43" s="36" t="s">
        <v>125</v>
      </c>
      <c r="BZ43" s="17" t="s">
        <v>50</v>
      </c>
      <c r="CA43" s="17" t="s">
        <v>50</v>
      </c>
      <c r="CB43" s="36" t="s">
        <v>125</v>
      </c>
      <c r="CC43" s="19" t="s">
        <v>51</v>
      </c>
      <c r="CD43" s="36" t="s">
        <v>125</v>
      </c>
      <c r="CE43" s="17" t="s">
        <v>50</v>
      </c>
      <c r="CF43" s="36" t="s">
        <v>125</v>
      </c>
      <c r="CG43" s="19" t="s">
        <v>51</v>
      </c>
      <c r="CH43" s="19" t="s">
        <v>51</v>
      </c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</row>
    <row r="44" ht="16.5" customHeight="1">
      <c r="A44" s="30" t="s">
        <v>419</v>
      </c>
      <c r="B44" s="18" t="s">
        <v>421</v>
      </c>
      <c r="C44" s="32">
        <v>1.038262652E9</v>
      </c>
      <c r="D44" s="17" t="s">
        <v>127</v>
      </c>
      <c r="E44" s="19"/>
      <c r="F44" s="22"/>
      <c r="G44" s="22"/>
      <c r="H44" s="22"/>
      <c r="I44" s="19"/>
      <c r="J44" s="22"/>
      <c r="K44" s="22"/>
      <c r="L44" s="22"/>
      <c r="M44" s="22"/>
      <c r="N44" s="22"/>
      <c r="O44" s="18"/>
      <c r="P44" s="18"/>
      <c r="Q44" s="19"/>
      <c r="R44" s="19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7"/>
      <c r="AN44" s="17"/>
      <c r="AO44" s="17"/>
      <c r="AP44" s="17"/>
      <c r="AQ44" s="17"/>
      <c r="AR44" s="17"/>
      <c r="AS44" s="17"/>
      <c r="AT44" s="18" t="s">
        <v>111</v>
      </c>
      <c r="AU44" s="19" t="s">
        <v>51</v>
      </c>
      <c r="AV44" s="18" t="s">
        <v>111</v>
      </c>
      <c r="AW44" s="27" t="s">
        <v>100</v>
      </c>
      <c r="AX44" s="18" t="s">
        <v>111</v>
      </c>
      <c r="AY44" s="27" t="s">
        <v>100</v>
      </c>
      <c r="AZ44" s="17" t="s">
        <v>111</v>
      </c>
      <c r="BA44" s="17" t="s">
        <v>111</v>
      </c>
      <c r="BB44" s="18" t="s">
        <v>111</v>
      </c>
      <c r="BC44" s="27" t="s">
        <v>100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 t="s">
        <v>52</v>
      </c>
      <c r="BN44" s="17" t="s">
        <v>52</v>
      </c>
      <c r="BO44" s="19" t="s">
        <v>51</v>
      </c>
      <c r="BP44" s="19" t="s">
        <v>51</v>
      </c>
      <c r="BQ44" s="19" t="s">
        <v>51</v>
      </c>
      <c r="BR44" s="19" t="s">
        <v>51</v>
      </c>
      <c r="BS44" s="19" t="s">
        <v>51</v>
      </c>
      <c r="BT44" s="19" t="s">
        <v>51</v>
      </c>
      <c r="BU44" s="17" t="s">
        <v>111</v>
      </c>
      <c r="BV44" s="19" t="s">
        <v>425</v>
      </c>
      <c r="BW44" s="17" t="s">
        <v>111</v>
      </c>
      <c r="BX44" s="19" t="s">
        <v>51</v>
      </c>
      <c r="BY44" s="17" t="s">
        <v>111</v>
      </c>
      <c r="BZ44" s="17" t="s">
        <v>50</v>
      </c>
      <c r="CA44" s="17" t="s">
        <v>50</v>
      </c>
      <c r="CB44" s="17" t="s">
        <v>111</v>
      </c>
      <c r="CC44" s="19" t="s">
        <v>51</v>
      </c>
      <c r="CD44" s="17" t="s">
        <v>111</v>
      </c>
      <c r="CE44" s="17" t="s">
        <v>50</v>
      </c>
      <c r="CF44" s="17" t="s">
        <v>111</v>
      </c>
      <c r="CG44" s="19" t="s">
        <v>51</v>
      </c>
      <c r="CH44" s="19" t="s">
        <v>51</v>
      </c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</row>
    <row r="45" ht="16.5" customHeight="1">
      <c r="A45" s="31" t="s">
        <v>107</v>
      </c>
      <c r="B45" s="17" t="s">
        <v>427</v>
      </c>
      <c r="C45" s="16">
        <v>1.01139621E9</v>
      </c>
      <c r="D45" s="66" t="s">
        <v>49</v>
      </c>
      <c r="E45" s="19" t="s">
        <v>51</v>
      </c>
      <c r="F45" s="22"/>
      <c r="G45" s="22"/>
      <c r="H45" s="22"/>
      <c r="I45" s="19" t="s">
        <v>51</v>
      </c>
      <c r="J45" s="22"/>
      <c r="K45" s="22"/>
      <c r="L45" s="22"/>
      <c r="M45" s="22"/>
      <c r="N45" s="22"/>
      <c r="O45" s="18" t="s">
        <v>50</v>
      </c>
      <c r="P45" s="18" t="s">
        <v>50</v>
      </c>
      <c r="Q45" s="19" t="s">
        <v>51</v>
      </c>
      <c r="R45" s="19" t="s">
        <v>51</v>
      </c>
      <c r="S45" s="18" t="s">
        <v>50</v>
      </c>
      <c r="T45" s="18" t="s">
        <v>50</v>
      </c>
      <c r="U45" s="18" t="s">
        <v>50</v>
      </c>
      <c r="V45" s="18" t="s">
        <v>50</v>
      </c>
      <c r="W45" s="18" t="s">
        <v>50</v>
      </c>
      <c r="X45" s="18" t="s">
        <v>51</v>
      </c>
      <c r="Y45" s="18" t="s">
        <v>51</v>
      </c>
      <c r="Z45" s="18" t="s">
        <v>50</v>
      </c>
      <c r="AA45" s="18" t="s">
        <v>50</v>
      </c>
      <c r="AB45" s="18" t="s">
        <v>50</v>
      </c>
      <c r="AC45" s="18" t="s">
        <v>50</v>
      </c>
      <c r="AD45" s="18" t="s">
        <v>51</v>
      </c>
      <c r="AE45" s="18" t="s">
        <v>51</v>
      </c>
      <c r="AF45" s="18" t="s">
        <v>50</v>
      </c>
      <c r="AG45" s="18" t="s">
        <v>50</v>
      </c>
      <c r="AH45" s="18" t="s">
        <v>50</v>
      </c>
      <c r="AI45" s="18" t="s">
        <v>50</v>
      </c>
      <c r="AJ45" s="18" t="s">
        <v>50</v>
      </c>
      <c r="AK45" s="18" t="s">
        <v>50</v>
      </c>
      <c r="AL45" s="18" t="s">
        <v>50</v>
      </c>
      <c r="AM45" s="17" t="s">
        <v>51</v>
      </c>
      <c r="AN45" s="17" t="s">
        <v>51</v>
      </c>
      <c r="AO45" s="17" t="s">
        <v>50</v>
      </c>
      <c r="AP45" s="17" t="s">
        <v>50</v>
      </c>
      <c r="AQ45" s="17" t="s">
        <v>51</v>
      </c>
      <c r="AR45" s="17" t="s">
        <v>51</v>
      </c>
      <c r="AS45" s="17" t="s">
        <v>50</v>
      </c>
      <c r="AT45" s="17" t="s">
        <v>111</v>
      </c>
      <c r="AU45" s="17" t="s">
        <v>111</v>
      </c>
      <c r="AV45" s="17" t="s">
        <v>111</v>
      </c>
      <c r="AW45" s="17" t="s">
        <v>111</v>
      </c>
      <c r="AX45" s="19" t="s">
        <v>112</v>
      </c>
      <c r="AY45" s="17" t="s">
        <v>111</v>
      </c>
      <c r="AZ45" s="17" t="s">
        <v>51</v>
      </c>
      <c r="BA45" s="17" t="s">
        <v>111</v>
      </c>
      <c r="BB45" s="17" t="s">
        <v>111</v>
      </c>
      <c r="BC45" s="17" t="s">
        <v>111</v>
      </c>
      <c r="BD45" s="17" t="s">
        <v>51</v>
      </c>
      <c r="BE45" s="17" t="s">
        <v>50</v>
      </c>
      <c r="BF45" s="17" t="s">
        <v>50</v>
      </c>
      <c r="BG45" s="17" t="s">
        <v>50</v>
      </c>
      <c r="BH45" s="17" t="s">
        <v>50</v>
      </c>
      <c r="BI45" s="17" t="s">
        <v>50</v>
      </c>
      <c r="BJ45" s="17" t="s">
        <v>50</v>
      </c>
      <c r="BK45" s="17" t="s">
        <v>51</v>
      </c>
      <c r="BL45" s="17" t="s">
        <v>51</v>
      </c>
      <c r="BM45" s="17" t="s">
        <v>50</v>
      </c>
      <c r="BN45" s="17" t="s">
        <v>50</v>
      </c>
      <c r="BO45" s="19" t="s">
        <v>51</v>
      </c>
      <c r="BP45" s="24" t="s">
        <v>52</v>
      </c>
      <c r="BQ45" s="17" t="s">
        <v>50</v>
      </c>
      <c r="BR45" s="17" t="s">
        <v>50</v>
      </c>
      <c r="BS45" s="24" t="s">
        <v>52</v>
      </c>
      <c r="BT45" s="24" t="s">
        <v>52</v>
      </c>
      <c r="BU45" s="17" t="s">
        <v>50</v>
      </c>
      <c r="BV45" s="17" t="s">
        <v>50</v>
      </c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</row>
    <row r="46" ht="16.5" customHeight="1">
      <c r="A46" s="31" t="s">
        <v>431</v>
      </c>
      <c r="B46" s="17" t="s">
        <v>433</v>
      </c>
      <c r="C46" s="16">
        <v>1.025885589E9</v>
      </c>
      <c r="D46" s="17" t="s">
        <v>127</v>
      </c>
      <c r="E46" s="19"/>
      <c r="F46" s="18"/>
      <c r="G46" s="17"/>
      <c r="H46" s="17"/>
      <c r="I46" s="17"/>
      <c r="J46" s="17"/>
      <c r="K46" s="19"/>
      <c r="L46" s="17"/>
      <c r="M46" s="17"/>
      <c r="N46" s="18"/>
      <c r="O46" s="36"/>
      <c r="P46" s="19"/>
      <c r="Q46" s="36"/>
      <c r="R46" s="18"/>
      <c r="S46" s="36"/>
      <c r="T46" s="18"/>
      <c r="U46" s="36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7"/>
      <c r="AP46" s="17"/>
      <c r="AQ46" s="17"/>
      <c r="AR46" s="17"/>
      <c r="AS46" s="17"/>
      <c r="AT46" s="19" t="s">
        <v>51</v>
      </c>
      <c r="AU46" s="18" t="s">
        <v>111</v>
      </c>
      <c r="AV46" s="19" t="s">
        <v>51</v>
      </c>
      <c r="AW46" s="18" t="s">
        <v>111</v>
      </c>
      <c r="AX46" s="19" t="s">
        <v>51</v>
      </c>
      <c r="AY46" s="18" t="s">
        <v>111</v>
      </c>
      <c r="AZ46" s="19" t="s">
        <v>51</v>
      </c>
      <c r="BA46" s="18" t="s">
        <v>111</v>
      </c>
      <c r="BB46" s="19" t="s">
        <v>51</v>
      </c>
      <c r="BC46" s="17" t="s">
        <v>111</v>
      </c>
      <c r="BD46" s="17" t="s">
        <v>50</v>
      </c>
      <c r="BE46" s="17" t="s">
        <v>50</v>
      </c>
      <c r="BF46" s="17" t="s">
        <v>50</v>
      </c>
      <c r="BG46" s="17" t="s">
        <v>50</v>
      </c>
      <c r="BH46" s="17" t="s">
        <v>111</v>
      </c>
      <c r="BI46" s="17" t="s">
        <v>111</v>
      </c>
      <c r="BJ46" s="17" t="s">
        <v>111</v>
      </c>
      <c r="BK46" s="17" t="s">
        <v>111</v>
      </c>
      <c r="BL46" s="17" t="s">
        <v>111</v>
      </c>
      <c r="BM46" s="17" t="s">
        <v>111</v>
      </c>
      <c r="BN46" s="17" t="s">
        <v>111</v>
      </c>
      <c r="BO46" s="17" t="s">
        <v>111</v>
      </c>
      <c r="BP46" s="17" t="s">
        <v>111</v>
      </c>
      <c r="BQ46" s="17" t="s">
        <v>111</v>
      </c>
      <c r="BR46" s="17" t="s">
        <v>111</v>
      </c>
      <c r="BS46" s="17" t="s">
        <v>111</v>
      </c>
      <c r="BT46" s="17" t="s">
        <v>111</v>
      </c>
      <c r="BU46" s="17" t="s">
        <v>111</v>
      </c>
      <c r="BV46" s="17" t="s">
        <v>111</v>
      </c>
      <c r="BW46" s="17" t="s">
        <v>111</v>
      </c>
      <c r="BX46" s="17" t="s">
        <v>111</v>
      </c>
      <c r="BY46" s="17" t="s">
        <v>111</v>
      </c>
      <c r="BZ46" s="17" t="s">
        <v>111</v>
      </c>
      <c r="CA46" s="17" t="s">
        <v>111</v>
      </c>
      <c r="CB46" s="17" t="s">
        <v>111</v>
      </c>
      <c r="CC46" s="17" t="s">
        <v>111</v>
      </c>
      <c r="CD46" s="17" t="s">
        <v>111</v>
      </c>
      <c r="CE46" s="17" t="s">
        <v>111</v>
      </c>
      <c r="CF46" s="17" t="s">
        <v>111</v>
      </c>
      <c r="CG46" s="17" t="s">
        <v>111</v>
      </c>
      <c r="CH46" s="17" t="s">
        <v>111</v>
      </c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</row>
    <row r="47" ht="16.5" customHeight="1">
      <c r="A47" s="31" t="s">
        <v>436</v>
      </c>
      <c r="B47" s="17" t="s">
        <v>437</v>
      </c>
      <c r="C47" s="16">
        <v>1.036451813E9</v>
      </c>
      <c r="D47" s="17" t="s">
        <v>118</v>
      </c>
      <c r="E47" s="19" t="s">
        <v>51</v>
      </c>
      <c r="F47" s="17" t="s">
        <v>119</v>
      </c>
      <c r="G47" s="18" t="s">
        <v>50</v>
      </c>
      <c r="H47" s="17" t="s">
        <v>119</v>
      </c>
      <c r="I47" s="19" t="s">
        <v>51</v>
      </c>
      <c r="J47" s="18" t="s">
        <v>50</v>
      </c>
      <c r="K47" s="19" t="s">
        <v>51</v>
      </c>
      <c r="L47" s="18" t="s">
        <v>50</v>
      </c>
      <c r="M47" s="19" t="s">
        <v>144</v>
      </c>
      <c r="N47" s="22"/>
      <c r="O47" s="35" t="s">
        <v>111</v>
      </c>
      <c r="P47" s="19" t="s">
        <v>51</v>
      </c>
      <c r="Q47" s="35" t="s">
        <v>111</v>
      </c>
      <c r="R47" s="18" t="s">
        <v>50</v>
      </c>
      <c r="S47" s="35" t="s">
        <v>111</v>
      </c>
      <c r="T47" s="18" t="s">
        <v>50</v>
      </c>
      <c r="U47" s="35" t="s">
        <v>111</v>
      </c>
      <c r="V47" s="18" t="s">
        <v>50</v>
      </c>
      <c r="W47" s="18" t="s">
        <v>50</v>
      </c>
      <c r="X47" s="35" t="s">
        <v>111</v>
      </c>
      <c r="Y47" s="18" t="s">
        <v>50</v>
      </c>
      <c r="Z47" s="35" t="s">
        <v>111</v>
      </c>
      <c r="AA47" s="18" t="s">
        <v>50</v>
      </c>
      <c r="AB47" s="35" t="s">
        <v>111</v>
      </c>
      <c r="AC47" s="18" t="s">
        <v>50</v>
      </c>
      <c r="AD47" s="18" t="s">
        <v>50</v>
      </c>
      <c r="AE47" s="35" t="s">
        <v>111</v>
      </c>
      <c r="AF47" s="18" t="s">
        <v>50</v>
      </c>
      <c r="AG47" s="18" t="s">
        <v>50</v>
      </c>
      <c r="AH47" s="18" t="s">
        <v>51</v>
      </c>
      <c r="AI47" s="18" t="s">
        <v>51</v>
      </c>
      <c r="AJ47" s="18" t="s">
        <v>50</v>
      </c>
      <c r="AK47" s="18" t="s">
        <v>50</v>
      </c>
      <c r="AL47" s="18" t="s">
        <v>51</v>
      </c>
      <c r="AM47" s="17" t="s">
        <v>50</v>
      </c>
      <c r="AN47" s="17" t="s">
        <v>50</v>
      </c>
      <c r="AO47" s="17" t="s">
        <v>50</v>
      </c>
      <c r="AP47" s="17" t="s">
        <v>50</v>
      </c>
      <c r="AQ47" s="17" t="s">
        <v>51</v>
      </c>
      <c r="AR47" s="17" t="s">
        <v>51</v>
      </c>
      <c r="AS47" s="17" t="s">
        <v>50</v>
      </c>
      <c r="AT47" s="19" t="s">
        <v>51</v>
      </c>
      <c r="AU47" s="18" t="s">
        <v>50</v>
      </c>
      <c r="AV47" s="19" t="s">
        <v>51</v>
      </c>
      <c r="AW47" s="18" t="s">
        <v>111</v>
      </c>
      <c r="AX47" s="19" t="s">
        <v>51</v>
      </c>
      <c r="AY47" s="18" t="s">
        <v>111</v>
      </c>
      <c r="AZ47" s="19" t="s">
        <v>51</v>
      </c>
      <c r="BA47" s="18" t="s">
        <v>111</v>
      </c>
      <c r="BB47" s="17" t="s">
        <v>50</v>
      </c>
      <c r="BC47" s="19" t="s">
        <v>51</v>
      </c>
      <c r="BD47" s="24" t="s">
        <v>51</v>
      </c>
      <c r="BE47" s="17" t="s">
        <v>51</v>
      </c>
      <c r="BF47" s="17" t="s">
        <v>111</v>
      </c>
      <c r="BG47" s="17" t="s">
        <v>50</v>
      </c>
      <c r="BH47" s="17" t="s">
        <v>111</v>
      </c>
      <c r="BI47" s="17" t="s">
        <v>50</v>
      </c>
      <c r="BJ47" s="17" t="s">
        <v>50</v>
      </c>
      <c r="BK47" s="17" t="s">
        <v>111</v>
      </c>
      <c r="BL47" s="17" t="s">
        <v>51</v>
      </c>
      <c r="BM47" s="17" t="s">
        <v>111</v>
      </c>
      <c r="BN47" s="17" t="s">
        <v>50</v>
      </c>
      <c r="BO47" s="17" t="s">
        <v>111</v>
      </c>
      <c r="BP47" s="19" t="s">
        <v>51</v>
      </c>
      <c r="BQ47" s="17" t="s">
        <v>50</v>
      </c>
      <c r="BR47" s="17" t="s">
        <v>50</v>
      </c>
      <c r="BS47" s="17" t="s">
        <v>111</v>
      </c>
      <c r="BT47" s="19" t="s">
        <v>51</v>
      </c>
      <c r="BU47" s="17" t="s">
        <v>50</v>
      </c>
      <c r="BV47" s="17" t="s">
        <v>50</v>
      </c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</row>
    <row r="48" ht="16.5" customHeight="1">
      <c r="A48" s="67" t="s">
        <v>440</v>
      </c>
      <c r="B48" s="17" t="s">
        <v>441</v>
      </c>
      <c r="C48" s="16">
        <v>1.036452892E9</v>
      </c>
      <c r="D48" s="17" t="s">
        <v>118</v>
      </c>
      <c r="E48" s="18"/>
      <c r="F48" s="22"/>
      <c r="G48" s="22"/>
      <c r="H48" s="19"/>
      <c r="I48" s="22"/>
      <c r="J48" s="22"/>
      <c r="K48" s="22"/>
      <c r="L48" s="20"/>
      <c r="M48" s="22"/>
      <c r="N48" s="18"/>
      <c r="O48" s="19"/>
      <c r="P48" s="19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7"/>
      <c r="AN48" s="17"/>
      <c r="AO48" s="18"/>
      <c r="AP48" s="18"/>
      <c r="AQ48" s="17"/>
      <c r="AR48" s="17"/>
      <c r="AS48" s="18"/>
      <c r="AT48" s="18" t="s">
        <v>111</v>
      </c>
      <c r="AU48" s="17" t="s">
        <v>111</v>
      </c>
      <c r="AV48" s="17" t="s">
        <v>111</v>
      </c>
      <c r="AW48" s="19" t="s">
        <v>51</v>
      </c>
      <c r="AX48" s="17" t="s">
        <v>111</v>
      </c>
      <c r="AY48" s="19" t="s">
        <v>51</v>
      </c>
      <c r="AZ48" s="17" t="s">
        <v>111</v>
      </c>
      <c r="BA48" s="17" t="s">
        <v>111</v>
      </c>
      <c r="BB48" s="17" t="s">
        <v>111</v>
      </c>
      <c r="BC48" s="19" t="s">
        <v>51</v>
      </c>
      <c r="BD48" s="24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9" t="s">
        <v>51</v>
      </c>
      <c r="BV48" s="19" t="s">
        <v>51</v>
      </c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</row>
    <row r="49" ht="16.5" customHeight="1">
      <c r="A49" s="67" t="s">
        <v>443</v>
      </c>
      <c r="B49" s="17" t="s">
        <v>445</v>
      </c>
      <c r="C49" s="16">
        <v>1.043414149E9</v>
      </c>
      <c r="D49" s="17" t="s">
        <v>104</v>
      </c>
      <c r="E49" s="18" t="s">
        <v>50</v>
      </c>
      <c r="F49" s="22"/>
      <c r="G49" s="22"/>
      <c r="H49" s="19" t="s">
        <v>51</v>
      </c>
      <c r="I49" s="22"/>
      <c r="J49" s="22"/>
      <c r="K49" s="22"/>
      <c r="L49" s="20" t="s">
        <v>52</v>
      </c>
      <c r="M49" s="22"/>
      <c r="N49" s="18" t="s">
        <v>52</v>
      </c>
      <c r="O49" s="19" t="s">
        <v>51</v>
      </c>
      <c r="P49" s="19" t="s">
        <v>51</v>
      </c>
      <c r="Q49" s="18" t="s">
        <v>50</v>
      </c>
      <c r="R49" s="18" t="s">
        <v>50</v>
      </c>
      <c r="S49" s="18" t="s">
        <v>50</v>
      </c>
      <c r="T49" s="18" t="s">
        <v>50</v>
      </c>
      <c r="U49" s="18" t="s">
        <v>52</v>
      </c>
      <c r="V49" s="18" t="s">
        <v>51</v>
      </c>
      <c r="W49" s="18" t="s">
        <v>50</v>
      </c>
      <c r="X49" s="18" t="s">
        <v>50</v>
      </c>
      <c r="Y49" s="18" t="s">
        <v>51</v>
      </c>
      <c r="Z49" s="18" t="s">
        <v>52</v>
      </c>
      <c r="AA49" s="18" t="s">
        <v>50</v>
      </c>
      <c r="AB49" s="18" t="s">
        <v>50</v>
      </c>
      <c r="AC49" s="18" t="s">
        <v>50</v>
      </c>
      <c r="AD49" s="18" t="s">
        <v>52</v>
      </c>
      <c r="AE49" s="18" t="s">
        <v>50</v>
      </c>
      <c r="AF49" s="18" t="s">
        <v>52</v>
      </c>
      <c r="AG49" s="18" t="s">
        <v>50</v>
      </c>
      <c r="AH49" s="18" t="s">
        <v>50</v>
      </c>
      <c r="AI49" s="18" t="s">
        <v>50</v>
      </c>
      <c r="AJ49" s="18" t="s">
        <v>50</v>
      </c>
      <c r="AK49" s="18" t="s">
        <v>52</v>
      </c>
      <c r="AL49" s="18" t="s">
        <v>52</v>
      </c>
      <c r="AM49" s="17" t="s">
        <v>50</v>
      </c>
      <c r="AN49" s="17" t="s">
        <v>50</v>
      </c>
      <c r="AO49" s="18" t="s">
        <v>52</v>
      </c>
      <c r="AP49" s="18" t="s">
        <v>52</v>
      </c>
      <c r="AQ49" s="17" t="s">
        <v>50</v>
      </c>
      <c r="AR49" s="17" t="s">
        <v>50</v>
      </c>
      <c r="AS49" s="18" t="s">
        <v>51</v>
      </c>
      <c r="AT49" s="18" t="s">
        <v>50</v>
      </c>
      <c r="AU49" s="17" t="s">
        <v>111</v>
      </c>
      <c r="AV49" s="17" t="s">
        <v>111</v>
      </c>
      <c r="AW49" s="18" t="s">
        <v>52</v>
      </c>
      <c r="AX49" s="18" t="s">
        <v>111</v>
      </c>
      <c r="AY49" s="18" t="s">
        <v>111</v>
      </c>
      <c r="AZ49" s="18" t="s">
        <v>111</v>
      </c>
      <c r="BA49" s="18" t="s">
        <v>52</v>
      </c>
      <c r="BB49" s="18" t="s">
        <v>111</v>
      </c>
      <c r="BC49" s="18" t="s">
        <v>52</v>
      </c>
      <c r="BD49" s="17" t="s">
        <v>50</v>
      </c>
      <c r="BE49" s="17" t="s">
        <v>52</v>
      </c>
      <c r="BF49" s="17" t="s">
        <v>111</v>
      </c>
      <c r="BG49" s="17" t="s">
        <v>52</v>
      </c>
      <c r="BH49" s="17" t="s">
        <v>111</v>
      </c>
      <c r="BI49" s="17" t="s">
        <v>50</v>
      </c>
      <c r="BJ49" s="17" t="s">
        <v>50</v>
      </c>
      <c r="BK49" s="17" t="s">
        <v>111</v>
      </c>
      <c r="BL49" s="17" t="s">
        <v>52</v>
      </c>
      <c r="BM49" s="17" t="s">
        <v>111</v>
      </c>
      <c r="BN49" s="17" t="s">
        <v>50</v>
      </c>
      <c r="BO49" s="17" t="s">
        <v>111</v>
      </c>
      <c r="BP49" s="17" t="s">
        <v>52</v>
      </c>
      <c r="BQ49" s="17" t="s">
        <v>111</v>
      </c>
      <c r="BR49" s="17" t="s">
        <v>52</v>
      </c>
      <c r="BS49" s="17" t="s">
        <v>111</v>
      </c>
      <c r="BT49" s="17" t="s">
        <v>52</v>
      </c>
      <c r="BU49" s="17" t="s">
        <v>111</v>
      </c>
      <c r="BV49" s="27" t="s">
        <v>100</v>
      </c>
      <c r="BW49" s="17" t="s">
        <v>111</v>
      </c>
      <c r="BX49" s="27" t="s">
        <v>50</v>
      </c>
      <c r="BY49" s="17" t="s">
        <v>111</v>
      </c>
      <c r="BZ49" s="27" t="s">
        <v>184</v>
      </c>
      <c r="CA49" s="27" t="s">
        <v>100</v>
      </c>
      <c r="CB49" s="17" t="s">
        <v>111</v>
      </c>
      <c r="CC49" s="27" t="s">
        <v>100</v>
      </c>
      <c r="CD49" s="17" t="s">
        <v>111</v>
      </c>
      <c r="CE49" s="27" t="s">
        <v>100</v>
      </c>
      <c r="CF49" s="17" t="s">
        <v>111</v>
      </c>
      <c r="CG49" s="27" t="s">
        <v>50</v>
      </c>
      <c r="CH49" s="17" t="s">
        <v>50</v>
      </c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</row>
    <row r="50" ht="16.5" customHeight="1">
      <c r="A50" s="39" t="s">
        <v>447</v>
      </c>
      <c r="B50" s="17" t="s">
        <v>449</v>
      </c>
      <c r="C50" s="16">
        <v>1.038868687E9</v>
      </c>
      <c r="D50" s="66" t="s">
        <v>49</v>
      </c>
      <c r="E50" s="22"/>
      <c r="F50" s="18"/>
      <c r="G50" s="22"/>
      <c r="H50" s="22"/>
      <c r="I50" s="22"/>
      <c r="J50" s="20"/>
      <c r="K50" s="22"/>
      <c r="L50" s="22"/>
      <c r="M50" s="22"/>
      <c r="N50" s="18"/>
      <c r="O50" s="27"/>
      <c r="P50" s="27"/>
      <c r="Q50" s="27"/>
      <c r="R50" s="27"/>
      <c r="S50" s="27"/>
      <c r="T50" s="27"/>
      <c r="U50" s="27"/>
      <c r="V50" s="27"/>
      <c r="W50" s="18"/>
      <c r="X50" s="27"/>
      <c r="Y50" s="27"/>
      <c r="Z50" s="27"/>
      <c r="AA50" s="27"/>
      <c r="AB50" s="27"/>
      <c r="AC50" s="27"/>
      <c r="AD50" s="18"/>
      <c r="AE50" s="27"/>
      <c r="AF50" s="27"/>
      <c r="AG50" s="18"/>
      <c r="AH50" s="27"/>
      <c r="AI50" s="27"/>
      <c r="AJ50" s="27"/>
      <c r="AK50" s="27"/>
      <c r="AL50" s="18"/>
      <c r="AM50" s="17"/>
      <c r="AN50" s="17"/>
      <c r="AO50" s="27"/>
      <c r="AP50" s="27"/>
      <c r="AQ50" s="17"/>
      <c r="AR50" s="17"/>
      <c r="AS50" s="18"/>
      <c r="AT50" s="17" t="s">
        <v>111</v>
      </c>
      <c r="AU50" s="19" t="s">
        <v>51</v>
      </c>
      <c r="AV50" s="17" t="s">
        <v>111</v>
      </c>
      <c r="AW50" s="19" t="s">
        <v>51</v>
      </c>
      <c r="AX50" s="18" t="s">
        <v>52</v>
      </c>
      <c r="AY50" s="18" t="s">
        <v>50</v>
      </c>
      <c r="AZ50" s="17" t="s">
        <v>111</v>
      </c>
      <c r="BA50" s="19" t="s">
        <v>51</v>
      </c>
      <c r="BB50" s="17" t="s">
        <v>111</v>
      </c>
      <c r="BC50" s="19" t="s">
        <v>51</v>
      </c>
      <c r="BD50" s="17"/>
      <c r="BE50" s="17"/>
      <c r="BF50" s="17"/>
      <c r="BG50" s="17"/>
      <c r="BH50" s="17"/>
      <c r="BI50" s="17"/>
      <c r="BJ50" s="17"/>
      <c r="BK50" s="24"/>
      <c r="BL50" s="24"/>
      <c r="BM50" s="17"/>
      <c r="BN50" s="17"/>
      <c r="BO50" s="17"/>
      <c r="BP50" s="17"/>
      <c r="BQ50" s="17"/>
      <c r="BR50" s="17"/>
      <c r="BS50" s="17"/>
      <c r="BT50" s="17"/>
      <c r="BU50" s="17" t="s">
        <v>52</v>
      </c>
      <c r="BV50" s="17" t="s">
        <v>50</v>
      </c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</row>
    <row r="51" ht="16.5" customHeight="1">
      <c r="A51" s="31" t="s">
        <v>451</v>
      </c>
      <c r="B51" s="17" t="s">
        <v>453</v>
      </c>
      <c r="C51" s="16">
        <v>1.032178131E9</v>
      </c>
      <c r="D51" s="17" t="s">
        <v>49</v>
      </c>
      <c r="E51" s="22"/>
      <c r="F51" s="22"/>
      <c r="G51" s="19" t="s">
        <v>144</v>
      </c>
      <c r="H51" s="22"/>
      <c r="I51" s="19" t="s">
        <v>162</v>
      </c>
      <c r="J51" s="22"/>
      <c r="K51" s="18" t="s">
        <v>50</v>
      </c>
      <c r="L51" s="22"/>
      <c r="M51" s="19" t="s">
        <v>163</v>
      </c>
      <c r="N51" s="22"/>
      <c r="O51" s="27" t="s">
        <v>100</v>
      </c>
      <c r="P51" s="20" t="s">
        <v>52</v>
      </c>
      <c r="Q51" s="27" t="s">
        <v>100</v>
      </c>
      <c r="R51" s="18" t="s">
        <v>50</v>
      </c>
      <c r="S51" s="27" t="s">
        <v>100</v>
      </c>
      <c r="T51" s="18" t="s">
        <v>50</v>
      </c>
      <c r="U51" s="27" t="s">
        <v>100</v>
      </c>
      <c r="V51" s="18" t="s">
        <v>50</v>
      </c>
      <c r="W51" s="18" t="s">
        <v>50</v>
      </c>
      <c r="X51" s="18" t="s">
        <v>51</v>
      </c>
      <c r="Y51" s="18" t="s">
        <v>50</v>
      </c>
      <c r="Z51" s="27" t="s">
        <v>100</v>
      </c>
      <c r="AA51" s="18" t="s">
        <v>50</v>
      </c>
      <c r="AB51" s="27" t="s">
        <v>100</v>
      </c>
      <c r="AC51" s="18" t="s">
        <v>50</v>
      </c>
      <c r="AD51" s="27" t="s">
        <v>100</v>
      </c>
      <c r="AE51" s="18" t="s">
        <v>50</v>
      </c>
      <c r="AF51" s="27" t="s">
        <v>100</v>
      </c>
      <c r="AG51" s="27" t="s">
        <v>100</v>
      </c>
      <c r="AH51" s="27" t="s">
        <v>100</v>
      </c>
      <c r="AI51" s="27" t="s">
        <v>100</v>
      </c>
      <c r="AJ51" s="27" t="s">
        <v>100</v>
      </c>
      <c r="AK51" s="27" t="s">
        <v>100</v>
      </c>
      <c r="AL51" s="18" t="s">
        <v>50</v>
      </c>
      <c r="AM51" s="17" t="s">
        <v>165</v>
      </c>
      <c r="AN51" s="17" t="s">
        <v>165</v>
      </c>
      <c r="AO51" s="17" t="s">
        <v>165</v>
      </c>
      <c r="AP51" s="17" t="s">
        <v>165</v>
      </c>
      <c r="AQ51" s="17" t="s">
        <v>165</v>
      </c>
      <c r="AR51" s="17" t="s">
        <v>165</v>
      </c>
      <c r="AS51" s="17" t="s">
        <v>165</v>
      </c>
      <c r="AT51" s="17" t="s">
        <v>111</v>
      </c>
      <c r="AU51" s="17" t="s">
        <v>111</v>
      </c>
      <c r="AV51" s="17" t="s">
        <v>111</v>
      </c>
      <c r="AW51" s="17" t="s">
        <v>111</v>
      </c>
      <c r="AX51" s="17" t="s">
        <v>111</v>
      </c>
      <c r="AY51" s="17" t="s">
        <v>111</v>
      </c>
      <c r="AZ51" s="19" t="s">
        <v>51</v>
      </c>
      <c r="BA51" s="17" t="s">
        <v>111</v>
      </c>
      <c r="BB51" s="19" t="s">
        <v>51</v>
      </c>
      <c r="BC51" s="17" t="s">
        <v>111</v>
      </c>
      <c r="BD51" s="17" t="s">
        <v>165</v>
      </c>
      <c r="BE51" s="17"/>
      <c r="BF51" s="17" t="s">
        <v>165</v>
      </c>
      <c r="BG51" s="17" t="s">
        <v>165</v>
      </c>
      <c r="BH51" s="17" t="s">
        <v>50</v>
      </c>
      <c r="BI51" s="19" t="s">
        <v>51</v>
      </c>
      <c r="BJ51" s="17" t="s">
        <v>50</v>
      </c>
      <c r="BK51" s="19" t="s">
        <v>51</v>
      </c>
      <c r="BL51" s="19" t="s">
        <v>51</v>
      </c>
      <c r="BM51" s="17" t="s">
        <v>50</v>
      </c>
      <c r="BN51" s="17" t="s">
        <v>50</v>
      </c>
      <c r="BO51" s="17" t="s">
        <v>52</v>
      </c>
      <c r="BP51" s="17" t="s">
        <v>52</v>
      </c>
      <c r="BQ51" s="17" t="s">
        <v>50</v>
      </c>
      <c r="BR51" s="17" t="s">
        <v>50</v>
      </c>
      <c r="BS51" s="17" t="s">
        <v>52</v>
      </c>
      <c r="BT51" s="17" t="s">
        <v>52</v>
      </c>
      <c r="BU51" s="17" t="s">
        <v>51</v>
      </c>
      <c r="BV51" s="17" t="s">
        <v>51</v>
      </c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</row>
    <row r="52" ht="16.5" customHeight="1">
      <c r="A52" s="31" t="s">
        <v>455</v>
      </c>
      <c r="B52" s="17" t="s">
        <v>457</v>
      </c>
      <c r="C52" s="16">
        <v>1.017925946E9</v>
      </c>
      <c r="D52" s="17" t="s">
        <v>124</v>
      </c>
      <c r="E52" s="18" t="s">
        <v>50</v>
      </c>
      <c r="F52" s="22"/>
      <c r="G52" s="19" t="s">
        <v>51</v>
      </c>
      <c r="H52" s="22"/>
      <c r="I52" s="19" t="s">
        <v>51</v>
      </c>
      <c r="J52" s="22"/>
      <c r="K52" s="18" t="s">
        <v>50</v>
      </c>
      <c r="L52" s="22"/>
      <c r="M52" s="18" t="s">
        <v>50</v>
      </c>
      <c r="N52" s="19" t="s">
        <v>51</v>
      </c>
      <c r="O52" s="19" t="s">
        <v>51</v>
      </c>
      <c r="P52" s="18" t="s">
        <v>50</v>
      </c>
      <c r="Q52" s="20" t="s">
        <v>99</v>
      </c>
      <c r="R52" s="18" t="s">
        <v>50</v>
      </c>
      <c r="S52" s="18" t="s">
        <v>50</v>
      </c>
      <c r="T52" s="18" t="s">
        <v>50</v>
      </c>
      <c r="U52" s="18" t="s">
        <v>50</v>
      </c>
      <c r="V52" s="18" t="s">
        <v>50</v>
      </c>
      <c r="W52" s="18" t="s">
        <v>51</v>
      </c>
      <c r="X52" s="18" t="s">
        <v>51</v>
      </c>
      <c r="Y52" s="18" t="s">
        <v>50</v>
      </c>
      <c r="Z52" s="18" t="s">
        <v>51</v>
      </c>
      <c r="AA52" s="18" t="s">
        <v>51</v>
      </c>
      <c r="AB52" s="18" t="s">
        <v>50</v>
      </c>
      <c r="AC52" s="18" t="s">
        <v>50</v>
      </c>
      <c r="AD52" s="18" t="s">
        <v>50</v>
      </c>
      <c r="AE52" s="18" t="s">
        <v>50</v>
      </c>
      <c r="AF52" s="18" t="s">
        <v>51</v>
      </c>
      <c r="AG52" s="18" t="s">
        <v>50</v>
      </c>
      <c r="AH52" s="18" t="s">
        <v>50</v>
      </c>
      <c r="AI52" s="18" t="s">
        <v>50</v>
      </c>
      <c r="AJ52" s="18" t="s">
        <v>51</v>
      </c>
      <c r="AK52" s="18" t="s">
        <v>51</v>
      </c>
      <c r="AL52" s="18" t="s">
        <v>50</v>
      </c>
      <c r="AM52" s="17" t="s">
        <v>51</v>
      </c>
      <c r="AN52" s="17" t="s">
        <v>51</v>
      </c>
      <c r="AO52" s="17" t="s">
        <v>50</v>
      </c>
      <c r="AP52" s="17" t="s">
        <v>50</v>
      </c>
      <c r="AQ52" s="17" t="s">
        <v>51</v>
      </c>
      <c r="AR52" s="17" t="s">
        <v>51</v>
      </c>
      <c r="AS52" s="17" t="s">
        <v>50</v>
      </c>
      <c r="AT52" s="19" t="s">
        <v>51</v>
      </c>
      <c r="AU52" s="17" t="s">
        <v>111</v>
      </c>
      <c r="AV52" s="18" t="s">
        <v>52</v>
      </c>
      <c r="AW52" s="17" t="s">
        <v>111</v>
      </c>
      <c r="AX52" s="19" t="s">
        <v>51</v>
      </c>
      <c r="AY52" s="17" t="s">
        <v>111</v>
      </c>
      <c r="AZ52" s="18" t="s">
        <v>50</v>
      </c>
      <c r="BA52" s="17" t="s">
        <v>111</v>
      </c>
      <c r="BB52" s="18" t="s">
        <v>50</v>
      </c>
      <c r="BC52" s="19" t="s">
        <v>51</v>
      </c>
      <c r="BD52" s="17" t="s">
        <v>50</v>
      </c>
      <c r="BE52" s="17" t="s">
        <v>51</v>
      </c>
      <c r="BF52" s="17" t="s">
        <v>50</v>
      </c>
      <c r="BG52" s="17" t="s">
        <v>50</v>
      </c>
      <c r="BH52" s="18" t="s">
        <v>52</v>
      </c>
      <c r="BI52" s="18" t="s">
        <v>52</v>
      </c>
      <c r="BJ52" s="18" t="s">
        <v>52</v>
      </c>
      <c r="BK52" s="17" t="s">
        <v>50</v>
      </c>
      <c r="BL52" s="17" t="s">
        <v>50</v>
      </c>
      <c r="BM52" s="17" t="s">
        <v>51</v>
      </c>
      <c r="BN52" s="17" t="s">
        <v>51</v>
      </c>
      <c r="BO52" s="17" t="s">
        <v>50</v>
      </c>
      <c r="BP52" s="17" t="s">
        <v>50</v>
      </c>
      <c r="BQ52" s="17" t="s">
        <v>51</v>
      </c>
      <c r="BR52" s="17" t="s">
        <v>51</v>
      </c>
      <c r="BS52" s="17" t="s">
        <v>50</v>
      </c>
      <c r="BT52" s="17" t="s">
        <v>50</v>
      </c>
      <c r="BU52" s="17" t="s">
        <v>51</v>
      </c>
      <c r="BV52" s="17" t="s">
        <v>51</v>
      </c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</row>
    <row r="53" ht="16.5" customHeight="1">
      <c r="A53" s="31" t="s">
        <v>460</v>
      </c>
      <c r="B53" s="17" t="s">
        <v>461</v>
      </c>
      <c r="C53" s="16">
        <v>1.036449031E9</v>
      </c>
      <c r="D53" s="17" t="s">
        <v>221</v>
      </c>
      <c r="E53" s="19" t="s">
        <v>51</v>
      </c>
      <c r="F53" s="22"/>
      <c r="G53" s="22"/>
      <c r="H53" s="22"/>
      <c r="I53" s="20" t="s">
        <v>52</v>
      </c>
      <c r="J53" s="22"/>
      <c r="K53" s="22"/>
      <c r="L53" s="20" t="s">
        <v>52</v>
      </c>
      <c r="M53" s="22"/>
      <c r="N53" s="22"/>
      <c r="O53" s="27" t="s">
        <v>100</v>
      </c>
      <c r="P53" s="27" t="s">
        <v>100</v>
      </c>
      <c r="Q53" s="27" t="s">
        <v>100</v>
      </c>
      <c r="R53" s="27" t="s">
        <v>100</v>
      </c>
      <c r="S53" s="27" t="s">
        <v>100</v>
      </c>
      <c r="T53" s="27" t="s">
        <v>100</v>
      </c>
      <c r="U53" s="27" t="s">
        <v>100</v>
      </c>
      <c r="V53" s="27" t="s">
        <v>100</v>
      </c>
      <c r="W53" s="18" t="s">
        <v>50</v>
      </c>
      <c r="X53" s="27" t="s">
        <v>100</v>
      </c>
      <c r="Y53" s="27" t="s">
        <v>100</v>
      </c>
      <c r="Z53" s="27" t="s">
        <v>100</v>
      </c>
      <c r="AA53" s="27" t="s">
        <v>100</v>
      </c>
      <c r="AB53" s="27" t="s">
        <v>100</v>
      </c>
      <c r="AC53" s="27" t="s">
        <v>100</v>
      </c>
      <c r="AD53" s="18" t="s">
        <v>50</v>
      </c>
      <c r="AE53" s="27" t="s">
        <v>100</v>
      </c>
      <c r="AF53" s="27" t="s">
        <v>50</v>
      </c>
      <c r="AG53" s="18" t="s">
        <v>50</v>
      </c>
      <c r="AH53" s="27" t="s">
        <v>100</v>
      </c>
      <c r="AI53" s="27" t="s">
        <v>100</v>
      </c>
      <c r="AJ53" s="27" t="s">
        <v>100</v>
      </c>
      <c r="AK53" s="27" t="s">
        <v>100</v>
      </c>
      <c r="AL53" s="18" t="s">
        <v>50</v>
      </c>
      <c r="AM53" s="18" t="s">
        <v>50</v>
      </c>
      <c r="AN53" s="18" t="s">
        <v>50</v>
      </c>
      <c r="AO53" s="17" t="s">
        <v>52</v>
      </c>
      <c r="AP53" s="17" t="s">
        <v>52</v>
      </c>
      <c r="AQ53" s="17" t="s">
        <v>50</v>
      </c>
      <c r="AR53" s="17" t="s">
        <v>50</v>
      </c>
      <c r="AS53" s="18" t="s">
        <v>52</v>
      </c>
      <c r="AT53" s="18" t="s">
        <v>50</v>
      </c>
      <c r="AU53" s="17" t="s">
        <v>111</v>
      </c>
      <c r="AV53" s="19" t="s">
        <v>373</v>
      </c>
      <c r="AW53" s="17" t="s">
        <v>111</v>
      </c>
      <c r="AX53" s="27" t="s">
        <v>100</v>
      </c>
      <c r="AY53" s="17" t="s">
        <v>111</v>
      </c>
      <c r="AZ53" s="19" t="s">
        <v>373</v>
      </c>
      <c r="BA53" s="17" t="s">
        <v>111</v>
      </c>
      <c r="BB53" s="36" t="s">
        <v>125</v>
      </c>
      <c r="BC53" s="27" t="s">
        <v>100</v>
      </c>
      <c r="BD53" s="27" t="s">
        <v>100</v>
      </c>
      <c r="BE53" s="17" t="s">
        <v>52</v>
      </c>
      <c r="BF53" s="27" t="s">
        <v>100</v>
      </c>
      <c r="BG53" s="27" t="s">
        <v>100</v>
      </c>
      <c r="BH53" s="27" t="s">
        <v>100</v>
      </c>
      <c r="BI53" s="27" t="s">
        <v>100</v>
      </c>
      <c r="BJ53" s="27" t="s">
        <v>100</v>
      </c>
      <c r="BK53" s="27" t="s">
        <v>100</v>
      </c>
      <c r="BL53" s="27" t="s">
        <v>100</v>
      </c>
      <c r="BM53" s="27" t="s">
        <v>100</v>
      </c>
      <c r="BN53" s="27" t="s">
        <v>100</v>
      </c>
      <c r="BO53" s="27" t="s">
        <v>100</v>
      </c>
      <c r="BP53" s="27" t="s">
        <v>100</v>
      </c>
      <c r="BQ53" s="27" t="s">
        <v>100</v>
      </c>
      <c r="BR53" s="27" t="s">
        <v>100</v>
      </c>
      <c r="BS53" s="27" t="s">
        <v>100</v>
      </c>
      <c r="BT53" s="27" t="s">
        <v>100</v>
      </c>
      <c r="BU53" s="27" t="s">
        <v>100</v>
      </c>
      <c r="BV53" s="27" t="s">
        <v>100</v>
      </c>
      <c r="BW53" s="27" t="s">
        <v>100</v>
      </c>
      <c r="BX53" s="27" t="s">
        <v>100</v>
      </c>
      <c r="BY53" s="27" t="s">
        <v>100</v>
      </c>
      <c r="BZ53" s="27" t="s">
        <v>100</v>
      </c>
      <c r="CA53" s="27" t="s">
        <v>100</v>
      </c>
      <c r="CB53" s="27" t="s">
        <v>100</v>
      </c>
      <c r="CC53" s="27" t="s">
        <v>100</v>
      </c>
      <c r="CD53" s="27" t="s">
        <v>100</v>
      </c>
      <c r="CE53" s="27" t="s">
        <v>100</v>
      </c>
      <c r="CF53" s="27" t="s">
        <v>100</v>
      </c>
      <c r="CG53" s="27" t="s">
        <v>100</v>
      </c>
      <c r="CH53" s="27" t="s">
        <v>100</v>
      </c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</row>
    <row r="54" ht="16.5" customHeight="1">
      <c r="A54" s="31" t="s">
        <v>381</v>
      </c>
      <c r="B54" s="17" t="s">
        <v>462</v>
      </c>
      <c r="C54" s="16">
        <v>1.038867205E9</v>
      </c>
      <c r="D54" s="17" t="s">
        <v>127</v>
      </c>
      <c r="E54" s="19" t="s">
        <v>51</v>
      </c>
      <c r="F54" s="18" t="s">
        <v>50</v>
      </c>
      <c r="G54" s="22"/>
      <c r="H54" s="22"/>
      <c r="I54" s="19" t="s">
        <v>289</v>
      </c>
      <c r="J54" s="22"/>
      <c r="K54" s="22"/>
      <c r="L54" s="22"/>
      <c r="M54" s="22"/>
      <c r="N54" s="22"/>
      <c r="O54" s="19" t="s">
        <v>51</v>
      </c>
      <c r="P54" s="18" t="s">
        <v>50</v>
      </c>
      <c r="Q54" s="18" t="s">
        <v>50</v>
      </c>
      <c r="R54" s="18" t="s">
        <v>50</v>
      </c>
      <c r="S54" s="19" t="s">
        <v>51</v>
      </c>
      <c r="T54" s="18" t="s">
        <v>50</v>
      </c>
      <c r="U54" s="18" t="s">
        <v>50</v>
      </c>
      <c r="V54" s="18" t="s">
        <v>50</v>
      </c>
      <c r="W54" s="18" t="s">
        <v>51</v>
      </c>
      <c r="X54" s="18" t="s">
        <v>50</v>
      </c>
      <c r="Y54" s="18" t="s">
        <v>50</v>
      </c>
      <c r="Z54" s="18" t="s">
        <v>52</v>
      </c>
      <c r="AA54" s="18" t="s">
        <v>51</v>
      </c>
      <c r="AB54" s="18" t="s">
        <v>50</v>
      </c>
      <c r="AC54" s="18" t="s">
        <v>50</v>
      </c>
      <c r="AD54" s="18" t="s">
        <v>50</v>
      </c>
      <c r="AE54" s="18" t="s">
        <v>51</v>
      </c>
      <c r="AF54" s="18" t="s">
        <v>51</v>
      </c>
      <c r="AG54" s="18" t="s">
        <v>50</v>
      </c>
      <c r="AH54" s="18" t="s">
        <v>50</v>
      </c>
      <c r="AI54" s="18" t="s">
        <v>50</v>
      </c>
      <c r="AJ54" s="18" t="s">
        <v>51</v>
      </c>
      <c r="AK54" s="18" t="s">
        <v>50</v>
      </c>
      <c r="AL54" s="18" t="s">
        <v>50</v>
      </c>
      <c r="AM54" s="17" t="s">
        <v>51</v>
      </c>
      <c r="AN54" s="17" t="s">
        <v>50</v>
      </c>
      <c r="AO54" s="17" t="s">
        <v>51</v>
      </c>
      <c r="AP54" s="17" t="s">
        <v>51</v>
      </c>
      <c r="AQ54" s="17" t="s">
        <v>50</v>
      </c>
      <c r="AR54" s="17" t="s">
        <v>50</v>
      </c>
      <c r="AS54" s="17" t="s">
        <v>51</v>
      </c>
      <c r="AT54" s="17" t="s">
        <v>111</v>
      </c>
      <c r="AU54" s="17" t="s">
        <v>111</v>
      </c>
      <c r="AV54" s="17" t="s">
        <v>111</v>
      </c>
      <c r="AW54" s="17" t="s">
        <v>384</v>
      </c>
      <c r="AX54" s="17" t="s">
        <v>111</v>
      </c>
      <c r="AY54" s="17" t="s">
        <v>111</v>
      </c>
      <c r="AZ54" s="17" t="s">
        <v>111</v>
      </c>
      <c r="BA54" s="17" t="s">
        <v>384</v>
      </c>
      <c r="BB54" s="18" t="s">
        <v>50</v>
      </c>
      <c r="BC54" s="17" t="s">
        <v>111</v>
      </c>
      <c r="BD54" s="17" t="s">
        <v>50</v>
      </c>
      <c r="BE54" s="17" t="s">
        <v>51</v>
      </c>
      <c r="BF54" s="17" t="s">
        <v>50</v>
      </c>
      <c r="BG54" s="17" t="s">
        <v>50</v>
      </c>
      <c r="BH54" s="17" t="s">
        <v>50</v>
      </c>
      <c r="BI54" s="17" t="s">
        <v>50</v>
      </c>
      <c r="BJ54" s="17" t="s">
        <v>50</v>
      </c>
      <c r="BK54" s="19" t="s">
        <v>51</v>
      </c>
      <c r="BL54" s="19" t="s">
        <v>51</v>
      </c>
      <c r="BM54" s="17" t="s">
        <v>50</v>
      </c>
      <c r="BN54" s="17" t="s">
        <v>50</v>
      </c>
      <c r="BO54" s="17" t="s">
        <v>51</v>
      </c>
      <c r="BP54" s="17" t="s">
        <v>51</v>
      </c>
      <c r="BQ54" s="17" t="s">
        <v>50</v>
      </c>
      <c r="BR54" s="17" t="s">
        <v>50</v>
      </c>
      <c r="BS54" s="17" t="s">
        <v>51</v>
      </c>
      <c r="BT54" s="17" t="s">
        <v>51</v>
      </c>
      <c r="BU54" s="17" t="s">
        <v>50</v>
      </c>
      <c r="BV54" s="17" t="s">
        <v>50</v>
      </c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</row>
    <row r="55" ht="16.5" customHeight="1">
      <c r="A55" s="31" t="s">
        <v>463</v>
      </c>
      <c r="B55" s="17" t="s">
        <v>464</v>
      </c>
      <c r="C55" s="16">
        <v>1.041532409E9</v>
      </c>
      <c r="D55" s="17" t="s">
        <v>49</v>
      </c>
      <c r="E55" s="19"/>
      <c r="F55" s="18"/>
      <c r="G55" s="22"/>
      <c r="H55" s="19"/>
      <c r="I55" s="22"/>
      <c r="J55" s="15"/>
      <c r="K55" s="22"/>
      <c r="L55" s="19"/>
      <c r="M55" s="22"/>
      <c r="N55" s="22"/>
      <c r="O55" s="19"/>
      <c r="P55" s="18"/>
      <c r="Q55" s="18"/>
      <c r="R55" s="18"/>
      <c r="S55" s="19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7"/>
      <c r="AN55" s="17"/>
      <c r="AO55" s="17"/>
      <c r="AP55" s="17"/>
      <c r="AQ55" s="17"/>
      <c r="AR55" s="17"/>
      <c r="AS55" s="17"/>
      <c r="AT55" s="18" t="s">
        <v>50</v>
      </c>
      <c r="AU55" s="19" t="s">
        <v>51</v>
      </c>
      <c r="AV55" s="18" t="s">
        <v>52</v>
      </c>
      <c r="AW55" s="17" t="s">
        <v>111</v>
      </c>
      <c r="AX55" s="17" t="s">
        <v>111</v>
      </c>
      <c r="AY55" s="17" t="s">
        <v>111</v>
      </c>
      <c r="AZ55" s="18" t="s">
        <v>52</v>
      </c>
      <c r="BA55" s="17" t="s">
        <v>111</v>
      </c>
      <c r="BB55" s="17" t="s">
        <v>51</v>
      </c>
      <c r="BC55" s="17" t="s">
        <v>111</v>
      </c>
      <c r="BD55" s="17"/>
      <c r="BE55" s="17"/>
      <c r="BF55" s="17"/>
      <c r="BG55" s="17"/>
      <c r="BH55" s="17"/>
      <c r="BI55" s="17"/>
      <c r="BJ55" s="17"/>
      <c r="BK55" s="19"/>
      <c r="BL55" s="19"/>
      <c r="BM55" s="17"/>
      <c r="BN55" s="17"/>
      <c r="BO55" s="17"/>
      <c r="BP55" s="17"/>
      <c r="BQ55" s="17"/>
      <c r="BR55" s="17"/>
      <c r="BS55" s="17"/>
      <c r="BT55" s="17"/>
      <c r="BU55" s="17" t="s">
        <v>51</v>
      </c>
      <c r="BV55" s="17" t="s">
        <v>50</v>
      </c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</row>
    <row r="56" ht="16.5" customHeight="1">
      <c r="A56" s="31" t="s">
        <v>465</v>
      </c>
      <c r="B56" s="17" t="s">
        <v>466</v>
      </c>
      <c r="C56" s="16">
        <v>1.039454834E9</v>
      </c>
      <c r="D56" s="17" t="s">
        <v>49</v>
      </c>
      <c r="E56" s="19"/>
      <c r="F56" s="18"/>
      <c r="G56" s="22"/>
      <c r="H56" s="19"/>
      <c r="I56" s="22"/>
      <c r="J56" s="15"/>
      <c r="K56" s="22"/>
      <c r="L56" s="19"/>
      <c r="M56" s="22"/>
      <c r="N56" s="22"/>
      <c r="O56" s="19"/>
      <c r="P56" s="18"/>
      <c r="Q56" s="18"/>
      <c r="R56" s="18"/>
      <c r="S56" s="19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7"/>
      <c r="AN56" s="17"/>
      <c r="AO56" s="17"/>
      <c r="AP56" s="17"/>
      <c r="AQ56" s="17"/>
      <c r="AR56" s="17"/>
      <c r="AS56" s="17"/>
      <c r="AT56" s="18" t="s">
        <v>50</v>
      </c>
      <c r="AU56" s="17" t="s">
        <v>111</v>
      </c>
      <c r="AV56" s="17" t="s">
        <v>111</v>
      </c>
      <c r="AW56" s="17" t="s">
        <v>111</v>
      </c>
      <c r="AX56" s="17" t="s">
        <v>111</v>
      </c>
      <c r="AY56" s="17" t="s">
        <v>111</v>
      </c>
      <c r="AZ56" s="18" t="s">
        <v>52</v>
      </c>
      <c r="BA56" s="18" t="s">
        <v>50</v>
      </c>
      <c r="BB56" s="17" t="s">
        <v>111</v>
      </c>
      <c r="BC56" s="17" t="s">
        <v>111</v>
      </c>
      <c r="BD56" s="17"/>
      <c r="BE56" s="17"/>
      <c r="BF56" s="17"/>
      <c r="BG56" s="17"/>
      <c r="BH56" s="17"/>
      <c r="BI56" s="17"/>
      <c r="BJ56" s="17"/>
      <c r="BK56" s="19"/>
      <c r="BL56" s="19"/>
      <c r="BM56" s="17"/>
      <c r="BN56" s="17"/>
      <c r="BO56" s="17"/>
      <c r="BP56" s="17"/>
      <c r="BQ56" s="17"/>
      <c r="BR56" s="17"/>
      <c r="BS56" s="17"/>
      <c r="BT56" s="17"/>
      <c r="BU56" s="17" t="s">
        <v>51</v>
      </c>
      <c r="BV56" s="17" t="s">
        <v>50</v>
      </c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</row>
    <row r="57" ht="16.5" customHeight="1">
      <c r="A57" s="31" t="s">
        <v>467</v>
      </c>
      <c r="B57" s="17" t="s">
        <v>468</v>
      </c>
      <c r="C57" s="16">
        <v>1.125276976E9</v>
      </c>
      <c r="D57" s="17" t="s">
        <v>127</v>
      </c>
      <c r="E57" s="19" t="s">
        <v>51</v>
      </c>
      <c r="F57" s="18" t="s">
        <v>50</v>
      </c>
      <c r="G57" s="22"/>
      <c r="H57" s="19" t="s">
        <v>51</v>
      </c>
      <c r="I57" s="22"/>
      <c r="J57" s="15"/>
      <c r="K57" s="22"/>
      <c r="L57" s="19" t="s">
        <v>51</v>
      </c>
      <c r="M57" s="22"/>
      <c r="N57" s="22"/>
      <c r="O57" s="19" t="s">
        <v>51</v>
      </c>
      <c r="P57" s="18" t="s">
        <v>50</v>
      </c>
      <c r="Q57" s="18" t="s">
        <v>50</v>
      </c>
      <c r="R57" s="18" t="s">
        <v>50</v>
      </c>
      <c r="S57" s="19" t="s">
        <v>51</v>
      </c>
      <c r="T57" s="18" t="s">
        <v>50</v>
      </c>
      <c r="U57" s="18" t="s">
        <v>50</v>
      </c>
      <c r="V57" s="18" t="s">
        <v>50</v>
      </c>
      <c r="W57" s="18" t="s">
        <v>51</v>
      </c>
      <c r="X57" s="18" t="s">
        <v>50</v>
      </c>
      <c r="Y57" s="18" t="s">
        <v>50</v>
      </c>
      <c r="Z57" s="18" t="s">
        <v>51</v>
      </c>
      <c r="AA57" s="18" t="s">
        <v>51</v>
      </c>
      <c r="AB57" s="18" t="s">
        <v>50</v>
      </c>
      <c r="AC57" s="18" t="s">
        <v>50</v>
      </c>
      <c r="AD57" s="18" t="s">
        <v>50</v>
      </c>
      <c r="AE57" s="18" t="s">
        <v>51</v>
      </c>
      <c r="AF57" s="18" t="s">
        <v>51</v>
      </c>
      <c r="AG57" s="18" t="s">
        <v>50</v>
      </c>
      <c r="AH57" s="18" t="s">
        <v>50</v>
      </c>
      <c r="AI57" s="18" t="s">
        <v>50</v>
      </c>
      <c r="AJ57" s="18" t="s">
        <v>51</v>
      </c>
      <c r="AK57" s="18" t="s">
        <v>50</v>
      </c>
      <c r="AL57" s="18" t="s">
        <v>50</v>
      </c>
      <c r="AM57" s="17" t="s">
        <v>51</v>
      </c>
      <c r="AN57" s="17" t="s">
        <v>50</v>
      </c>
      <c r="AO57" s="17" t="s">
        <v>51</v>
      </c>
      <c r="AP57" s="17" t="s">
        <v>51</v>
      </c>
      <c r="AQ57" s="17" t="s">
        <v>50</v>
      </c>
      <c r="AR57" s="17" t="s">
        <v>50</v>
      </c>
      <c r="AS57" s="17" t="s">
        <v>51</v>
      </c>
      <c r="AT57" s="19" t="s">
        <v>51</v>
      </c>
      <c r="AU57" s="17" t="s">
        <v>111</v>
      </c>
      <c r="AV57" s="17" t="s">
        <v>111</v>
      </c>
      <c r="AW57" s="17" t="s">
        <v>111</v>
      </c>
      <c r="AX57" s="19" t="s">
        <v>51</v>
      </c>
      <c r="AY57" s="17" t="s">
        <v>111</v>
      </c>
      <c r="AZ57" s="17" t="s">
        <v>111</v>
      </c>
      <c r="BA57" s="17" t="s">
        <v>111</v>
      </c>
      <c r="BB57" s="18" t="s">
        <v>50</v>
      </c>
      <c r="BC57" s="17" t="s">
        <v>111</v>
      </c>
      <c r="BD57" s="17" t="s">
        <v>50</v>
      </c>
      <c r="BE57" s="17" t="s">
        <v>50</v>
      </c>
      <c r="BF57" s="17" t="s">
        <v>50</v>
      </c>
      <c r="BG57" s="17" t="s">
        <v>50</v>
      </c>
      <c r="BH57" s="17" t="s">
        <v>50</v>
      </c>
      <c r="BI57" s="17" t="s">
        <v>50</v>
      </c>
      <c r="BJ57" s="17" t="s">
        <v>50</v>
      </c>
      <c r="BK57" s="19" t="s">
        <v>51</v>
      </c>
      <c r="BL57" s="19" t="s">
        <v>51</v>
      </c>
      <c r="BM57" s="17" t="s">
        <v>50</v>
      </c>
      <c r="BN57" s="17" t="s">
        <v>50</v>
      </c>
      <c r="BO57" s="17" t="s">
        <v>51</v>
      </c>
      <c r="BP57" s="17" t="s">
        <v>51</v>
      </c>
      <c r="BQ57" s="17" t="s">
        <v>50</v>
      </c>
      <c r="BR57" s="17" t="s">
        <v>50</v>
      </c>
      <c r="BS57" s="17" t="s">
        <v>51</v>
      </c>
      <c r="BT57" s="17" t="s">
        <v>51</v>
      </c>
      <c r="BU57" s="17" t="s">
        <v>50</v>
      </c>
      <c r="BV57" s="17" t="s">
        <v>50</v>
      </c>
      <c r="BW57" s="36" t="s">
        <v>125</v>
      </c>
      <c r="BX57" s="24"/>
      <c r="BY57" s="36" t="s">
        <v>125</v>
      </c>
      <c r="BZ57" s="24"/>
      <c r="CA57" s="24"/>
      <c r="CB57" s="36" t="s">
        <v>125</v>
      </c>
      <c r="CC57" s="24"/>
      <c r="CD57" s="36" t="s">
        <v>125</v>
      </c>
      <c r="CE57" s="24"/>
      <c r="CF57" s="36" t="s">
        <v>125</v>
      </c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</row>
    <row r="58" ht="16.5" customHeight="1">
      <c r="A58" s="31" t="s">
        <v>469</v>
      </c>
      <c r="B58" s="17" t="s">
        <v>470</v>
      </c>
      <c r="C58" s="16">
        <v>1.025650134E9</v>
      </c>
      <c r="D58" s="17" t="s">
        <v>49</v>
      </c>
      <c r="E58" s="18"/>
      <c r="F58" s="22"/>
      <c r="G58" s="19"/>
      <c r="H58" s="22"/>
      <c r="I58" s="20"/>
      <c r="J58" s="22"/>
      <c r="K58" s="20"/>
      <c r="L58" s="22"/>
      <c r="M58" s="22"/>
      <c r="N58" s="22"/>
      <c r="O58" s="19"/>
      <c r="P58" s="18"/>
      <c r="Q58" s="20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7"/>
      <c r="AN58" s="17"/>
      <c r="AO58" s="17"/>
      <c r="AP58" s="17"/>
      <c r="AQ58" s="17"/>
      <c r="AR58" s="17"/>
      <c r="AS58" s="17"/>
      <c r="AT58" s="17" t="s">
        <v>111</v>
      </c>
      <c r="AU58" s="18" t="s">
        <v>50</v>
      </c>
      <c r="AV58" s="18" t="s">
        <v>52</v>
      </c>
      <c r="AW58" s="18" t="s">
        <v>50</v>
      </c>
      <c r="AX58" s="17" t="s">
        <v>111</v>
      </c>
      <c r="AY58" s="18" t="s">
        <v>52</v>
      </c>
      <c r="AZ58" s="17" t="s">
        <v>111</v>
      </c>
      <c r="BA58" s="18" t="s">
        <v>52</v>
      </c>
      <c r="BB58" s="17" t="s">
        <v>111</v>
      </c>
      <c r="BC58" s="18" t="s">
        <v>50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 t="s">
        <v>51</v>
      </c>
      <c r="BV58" s="17" t="s">
        <v>50</v>
      </c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</row>
    <row r="59" ht="16.5" customHeight="1">
      <c r="A59" s="31" t="s">
        <v>471</v>
      </c>
      <c r="B59" s="17" t="s">
        <v>472</v>
      </c>
      <c r="C59" s="16">
        <v>1.015070695E9</v>
      </c>
      <c r="D59" s="17" t="s">
        <v>104</v>
      </c>
      <c r="E59" s="18" t="s">
        <v>50</v>
      </c>
      <c r="F59" s="22"/>
      <c r="G59" s="19" t="s">
        <v>51</v>
      </c>
      <c r="H59" s="22"/>
      <c r="I59" s="20" t="s">
        <v>52</v>
      </c>
      <c r="J59" s="22"/>
      <c r="K59" s="20" t="s">
        <v>52</v>
      </c>
      <c r="L59" s="22"/>
      <c r="M59" s="22"/>
      <c r="N59" s="22"/>
      <c r="O59" s="19" t="s">
        <v>51</v>
      </c>
      <c r="P59" s="18" t="s">
        <v>50</v>
      </c>
      <c r="Q59" s="20" t="s">
        <v>99</v>
      </c>
      <c r="R59" s="18" t="s">
        <v>50</v>
      </c>
      <c r="S59" s="18" t="s">
        <v>50</v>
      </c>
      <c r="T59" s="18" t="s">
        <v>50</v>
      </c>
      <c r="U59" s="18" t="s">
        <v>99</v>
      </c>
      <c r="V59" s="18" t="s">
        <v>99</v>
      </c>
      <c r="W59" s="18" t="s">
        <v>52</v>
      </c>
      <c r="X59" s="18" t="s">
        <v>52</v>
      </c>
      <c r="Y59" s="18" t="s">
        <v>52</v>
      </c>
      <c r="Z59" s="18" t="s">
        <v>52</v>
      </c>
      <c r="AA59" s="18" t="s">
        <v>52</v>
      </c>
      <c r="AB59" s="18" t="s">
        <v>50</v>
      </c>
      <c r="AC59" s="18" t="s">
        <v>99</v>
      </c>
      <c r="AD59" s="18" t="s">
        <v>51</v>
      </c>
      <c r="AE59" s="18" t="s">
        <v>50</v>
      </c>
      <c r="AF59" s="18" t="s">
        <v>50</v>
      </c>
      <c r="AG59" s="18" t="s">
        <v>50</v>
      </c>
      <c r="AH59" s="18" t="s">
        <v>52</v>
      </c>
      <c r="AI59" s="18" t="s">
        <v>52</v>
      </c>
      <c r="AJ59" s="18" t="s">
        <v>50</v>
      </c>
      <c r="AK59" s="18" t="s">
        <v>50</v>
      </c>
      <c r="AL59" s="18" t="s">
        <v>50</v>
      </c>
      <c r="AM59" s="17" t="s">
        <v>52</v>
      </c>
      <c r="AN59" s="17" t="s">
        <v>52</v>
      </c>
      <c r="AO59" s="17" t="s">
        <v>50</v>
      </c>
      <c r="AP59" s="17" t="s">
        <v>50</v>
      </c>
      <c r="AQ59" s="17" t="s">
        <v>52</v>
      </c>
      <c r="AR59" s="17" t="s">
        <v>52</v>
      </c>
      <c r="AS59" s="17" t="s">
        <v>50</v>
      </c>
      <c r="AT59" s="18" t="s">
        <v>50</v>
      </c>
      <c r="AU59" s="17" t="s">
        <v>111</v>
      </c>
      <c r="AV59" s="19" t="s">
        <v>52</v>
      </c>
      <c r="AW59" s="17" t="s">
        <v>111</v>
      </c>
      <c r="AX59" s="18" t="s">
        <v>52</v>
      </c>
      <c r="AY59" s="17" t="s">
        <v>111</v>
      </c>
      <c r="AZ59" s="18" t="s">
        <v>52</v>
      </c>
      <c r="BA59" s="17" t="s">
        <v>111</v>
      </c>
      <c r="BB59" s="18" t="s">
        <v>52</v>
      </c>
      <c r="BC59" s="17" t="s">
        <v>111</v>
      </c>
      <c r="BD59" s="17" t="s">
        <v>52</v>
      </c>
      <c r="BE59" s="17" t="s">
        <v>52</v>
      </c>
      <c r="BF59" s="17" t="s">
        <v>50</v>
      </c>
      <c r="BG59" s="17" t="s">
        <v>50</v>
      </c>
      <c r="BH59" s="17" t="s">
        <v>52</v>
      </c>
      <c r="BI59" s="17" t="s">
        <v>52</v>
      </c>
      <c r="BJ59" s="17" t="s">
        <v>52</v>
      </c>
      <c r="BK59" s="17" t="s">
        <v>50</v>
      </c>
      <c r="BL59" s="17" t="s">
        <v>50</v>
      </c>
      <c r="BM59" s="17" t="s">
        <v>52</v>
      </c>
      <c r="BN59" s="17" t="s">
        <v>52</v>
      </c>
      <c r="BO59" s="17" t="s">
        <v>50</v>
      </c>
      <c r="BP59" s="17" t="s">
        <v>50</v>
      </c>
      <c r="BQ59" s="17" t="s">
        <v>52</v>
      </c>
      <c r="BR59" s="17" t="s">
        <v>52</v>
      </c>
      <c r="BS59" s="17" t="s">
        <v>50</v>
      </c>
      <c r="BT59" s="17" t="s">
        <v>50</v>
      </c>
      <c r="BU59" s="27" t="s">
        <v>100</v>
      </c>
      <c r="BV59" s="27" t="s">
        <v>100</v>
      </c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</row>
    <row r="60" ht="16.5" customHeight="1">
      <c r="A60" s="31" t="s">
        <v>473</v>
      </c>
      <c r="B60" s="17" t="s">
        <v>474</v>
      </c>
      <c r="C60" s="16">
        <v>1.034918934E9</v>
      </c>
      <c r="D60" s="26" t="s">
        <v>250</v>
      </c>
      <c r="E60" s="18" t="s">
        <v>50</v>
      </c>
      <c r="F60" s="22"/>
      <c r="G60" s="18" t="s">
        <v>50</v>
      </c>
      <c r="H60" s="22"/>
      <c r="I60" s="18" t="s">
        <v>50</v>
      </c>
      <c r="J60" s="22"/>
      <c r="K60" s="18" t="s">
        <v>52</v>
      </c>
      <c r="L60" s="22"/>
      <c r="M60" s="18" t="s">
        <v>52</v>
      </c>
      <c r="N60" s="22"/>
      <c r="O60" s="27" t="s">
        <v>100</v>
      </c>
      <c r="P60" s="18" t="s">
        <v>50</v>
      </c>
      <c r="Q60" s="27" t="s">
        <v>100</v>
      </c>
      <c r="R60" s="20" t="s">
        <v>52</v>
      </c>
      <c r="S60" s="27" t="s">
        <v>100</v>
      </c>
      <c r="T60" s="18" t="s">
        <v>50</v>
      </c>
      <c r="U60" s="27" t="s">
        <v>100</v>
      </c>
      <c r="V60" s="18" t="s">
        <v>50</v>
      </c>
      <c r="W60" s="18" t="s">
        <v>50</v>
      </c>
      <c r="X60" s="18" t="s">
        <v>50</v>
      </c>
      <c r="Y60" s="18" t="s">
        <v>50</v>
      </c>
      <c r="Z60" s="27" t="s">
        <v>100</v>
      </c>
      <c r="AA60" s="18" t="s">
        <v>50</v>
      </c>
      <c r="AB60" s="27" t="s">
        <v>100</v>
      </c>
      <c r="AC60" s="18" t="s">
        <v>50</v>
      </c>
      <c r="AD60" s="27" t="s">
        <v>100</v>
      </c>
      <c r="AE60" s="18" t="s">
        <v>50</v>
      </c>
      <c r="AF60" s="18" t="s">
        <v>50</v>
      </c>
      <c r="AG60" s="27" t="s">
        <v>100</v>
      </c>
      <c r="AH60" s="27" t="s">
        <v>100</v>
      </c>
      <c r="AI60" s="18" t="s">
        <v>50</v>
      </c>
      <c r="AJ60" s="27" t="s">
        <v>100</v>
      </c>
      <c r="AK60" s="18" t="s">
        <v>50</v>
      </c>
      <c r="AL60" s="18" t="s">
        <v>50</v>
      </c>
      <c r="AM60" s="27" t="s">
        <v>100</v>
      </c>
      <c r="AN60" s="27" t="s">
        <v>100</v>
      </c>
      <c r="AO60" s="17" t="s">
        <v>50</v>
      </c>
      <c r="AP60" s="17" t="s">
        <v>50</v>
      </c>
      <c r="AQ60" s="17" t="s">
        <v>52</v>
      </c>
      <c r="AR60" s="17" t="s">
        <v>50</v>
      </c>
      <c r="AS60" s="17" t="s">
        <v>51</v>
      </c>
      <c r="AT60" s="18" t="s">
        <v>50</v>
      </c>
      <c r="AU60" s="17" t="s">
        <v>111</v>
      </c>
      <c r="AV60" s="18" t="s">
        <v>50</v>
      </c>
      <c r="AW60" s="17" t="s">
        <v>111</v>
      </c>
      <c r="AX60" s="18" t="s">
        <v>52</v>
      </c>
      <c r="AY60" s="17" t="s">
        <v>111</v>
      </c>
      <c r="AZ60" s="18" t="s">
        <v>52</v>
      </c>
      <c r="BA60" s="17" t="s">
        <v>111</v>
      </c>
      <c r="BB60" s="18" t="s">
        <v>52</v>
      </c>
      <c r="BC60" s="17" t="s">
        <v>111</v>
      </c>
      <c r="BD60" s="17" t="s">
        <v>50</v>
      </c>
      <c r="BE60" s="17" t="s">
        <v>50</v>
      </c>
      <c r="BF60" s="27" t="s">
        <v>100</v>
      </c>
      <c r="BG60" s="17" t="s">
        <v>50</v>
      </c>
      <c r="BH60" s="27" t="s">
        <v>100</v>
      </c>
      <c r="BI60" s="17" t="s">
        <v>50</v>
      </c>
      <c r="BJ60" s="17" t="s">
        <v>50</v>
      </c>
      <c r="BK60" s="27" t="s">
        <v>100</v>
      </c>
      <c r="BL60" s="17" t="s">
        <v>50</v>
      </c>
      <c r="BM60" s="27" t="s">
        <v>100</v>
      </c>
      <c r="BN60" s="17" t="s">
        <v>50</v>
      </c>
      <c r="BO60" s="27" t="s">
        <v>100</v>
      </c>
      <c r="BP60" s="17" t="s">
        <v>50</v>
      </c>
      <c r="BQ60" s="27" t="s">
        <v>100</v>
      </c>
      <c r="BR60" s="17" t="s">
        <v>50</v>
      </c>
      <c r="BS60" s="27" t="s">
        <v>100</v>
      </c>
      <c r="BT60" s="17" t="s">
        <v>50</v>
      </c>
      <c r="BU60" s="17" t="s">
        <v>50</v>
      </c>
      <c r="BV60" s="17" t="s">
        <v>50</v>
      </c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</row>
    <row r="61" ht="16.5" customHeight="1">
      <c r="A61" s="14" t="s">
        <v>475</v>
      </c>
      <c r="B61" s="17" t="s">
        <v>476</v>
      </c>
      <c r="C61" s="16">
        <v>1.025645687E9</v>
      </c>
      <c r="D61" s="17" t="s">
        <v>127</v>
      </c>
      <c r="E61" s="22"/>
      <c r="F61" s="19" t="s">
        <v>51</v>
      </c>
      <c r="G61" s="22"/>
      <c r="H61" s="22"/>
      <c r="I61" s="22"/>
      <c r="J61" s="19" t="s">
        <v>51</v>
      </c>
      <c r="K61" s="22"/>
      <c r="L61" s="19" t="s">
        <v>329</v>
      </c>
      <c r="M61" s="22"/>
      <c r="N61" s="22"/>
      <c r="O61" s="35" t="s">
        <v>111</v>
      </c>
      <c r="P61" s="19" t="s">
        <v>51</v>
      </c>
      <c r="Q61" s="35" t="s">
        <v>111</v>
      </c>
      <c r="R61" s="18" t="s">
        <v>50</v>
      </c>
      <c r="S61" s="35" t="s">
        <v>111</v>
      </c>
      <c r="T61" s="19" t="s">
        <v>51</v>
      </c>
      <c r="U61" s="35" t="s">
        <v>111</v>
      </c>
      <c r="V61" s="18" t="s">
        <v>50</v>
      </c>
      <c r="W61" s="18" t="s">
        <v>50</v>
      </c>
      <c r="X61" s="35" t="s">
        <v>111</v>
      </c>
      <c r="Y61" s="18" t="s">
        <v>50</v>
      </c>
      <c r="Z61" s="35" t="s">
        <v>111</v>
      </c>
      <c r="AA61" s="18" t="s">
        <v>50</v>
      </c>
      <c r="AB61" s="35" t="s">
        <v>111</v>
      </c>
      <c r="AC61" s="18" t="s">
        <v>50</v>
      </c>
      <c r="AD61" s="18" t="s">
        <v>50</v>
      </c>
      <c r="AE61" s="35" t="s">
        <v>111</v>
      </c>
      <c r="AF61" s="18" t="s">
        <v>50</v>
      </c>
      <c r="AG61" s="18" t="s">
        <v>50</v>
      </c>
      <c r="AH61" s="18" t="s">
        <v>50</v>
      </c>
      <c r="AI61" s="18" t="s">
        <v>50</v>
      </c>
      <c r="AJ61" s="18" t="s">
        <v>51</v>
      </c>
      <c r="AK61" s="18" t="s">
        <v>329</v>
      </c>
      <c r="AL61" s="36" t="s">
        <v>324</v>
      </c>
      <c r="AM61" s="17" t="s">
        <v>50</v>
      </c>
      <c r="AN61" s="17" t="s">
        <v>50</v>
      </c>
      <c r="AO61" s="17" t="s">
        <v>329</v>
      </c>
      <c r="AP61" s="17" t="s">
        <v>329</v>
      </c>
      <c r="AQ61" s="17" t="s">
        <v>50</v>
      </c>
      <c r="AR61" s="17" t="s">
        <v>50</v>
      </c>
      <c r="AS61" s="17" t="s">
        <v>50</v>
      </c>
      <c r="AT61" s="19" t="s">
        <v>51</v>
      </c>
      <c r="AU61" s="17" t="s">
        <v>111</v>
      </c>
      <c r="AV61" s="17" t="s">
        <v>111</v>
      </c>
      <c r="AW61" s="17" t="s">
        <v>111</v>
      </c>
      <c r="AX61" s="19" t="s">
        <v>329</v>
      </c>
      <c r="AY61" s="17" t="s">
        <v>111</v>
      </c>
      <c r="AZ61" s="17" t="s">
        <v>111</v>
      </c>
      <c r="BA61" s="17" t="s">
        <v>111</v>
      </c>
      <c r="BB61" s="17" t="s">
        <v>111</v>
      </c>
      <c r="BC61" s="19" t="s">
        <v>329</v>
      </c>
      <c r="BD61" s="17" t="s">
        <v>50</v>
      </c>
      <c r="BE61" s="17" t="s">
        <v>50</v>
      </c>
      <c r="BF61" s="17" t="s">
        <v>50</v>
      </c>
      <c r="BG61" s="17" t="s">
        <v>50</v>
      </c>
      <c r="BH61" s="17" t="s">
        <v>111</v>
      </c>
      <c r="BI61" s="19" t="s">
        <v>329</v>
      </c>
      <c r="BJ61" s="19" t="s">
        <v>329</v>
      </c>
      <c r="BK61" s="17" t="s">
        <v>111</v>
      </c>
      <c r="BL61" s="17" t="s">
        <v>50</v>
      </c>
      <c r="BM61" s="17" t="s">
        <v>111</v>
      </c>
      <c r="BN61" s="17" t="s">
        <v>50</v>
      </c>
      <c r="BO61" s="17" t="s">
        <v>111</v>
      </c>
      <c r="BP61" s="19" t="s">
        <v>51</v>
      </c>
      <c r="BQ61" s="17" t="s">
        <v>111</v>
      </c>
      <c r="BR61" s="17" t="s">
        <v>50</v>
      </c>
      <c r="BS61" s="17" t="s">
        <v>111</v>
      </c>
      <c r="BT61" s="19" t="s">
        <v>51</v>
      </c>
      <c r="BU61" s="17" t="s">
        <v>111</v>
      </c>
      <c r="BV61" s="17" t="s">
        <v>50</v>
      </c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</row>
    <row r="62" ht="16.5" customHeight="1">
      <c r="A62" s="31" t="s">
        <v>477</v>
      </c>
      <c r="B62" s="17" t="s">
        <v>478</v>
      </c>
      <c r="C62" s="16">
        <v>1.001175315E9</v>
      </c>
      <c r="D62" s="42" t="s">
        <v>127</v>
      </c>
      <c r="E62" s="19"/>
      <c r="F62" s="17"/>
      <c r="G62" s="17"/>
      <c r="H62" s="17"/>
      <c r="I62" s="19"/>
      <c r="J62" s="17"/>
      <c r="K62" s="17"/>
      <c r="L62" s="17"/>
      <c r="M62" s="17"/>
      <c r="N62" s="17"/>
      <c r="O62" s="19"/>
      <c r="P62" s="19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7"/>
      <c r="AN62" s="17"/>
      <c r="AO62" s="17"/>
      <c r="AP62" s="17"/>
      <c r="AQ62" s="17"/>
      <c r="AR62" s="17"/>
      <c r="AS62" s="17"/>
      <c r="AT62" s="17" t="s">
        <v>111</v>
      </c>
      <c r="AU62" s="17" t="s">
        <v>111</v>
      </c>
      <c r="AV62" s="17" t="s">
        <v>111</v>
      </c>
      <c r="AW62" s="17" t="s">
        <v>111</v>
      </c>
      <c r="AX62" s="17" t="s">
        <v>111</v>
      </c>
      <c r="AY62" s="17" t="s">
        <v>111</v>
      </c>
      <c r="AZ62" s="17" t="s">
        <v>111</v>
      </c>
      <c r="BA62" s="17" t="s">
        <v>111</v>
      </c>
      <c r="BB62" s="17" t="s">
        <v>111</v>
      </c>
      <c r="BC62" s="17" t="s">
        <v>111</v>
      </c>
      <c r="BD62" s="18"/>
      <c r="BE62" s="17"/>
      <c r="BF62" s="17"/>
      <c r="BG62" s="17"/>
      <c r="BH62" s="17"/>
      <c r="BI62" s="17"/>
      <c r="BJ62" s="17"/>
      <c r="BK62" s="17"/>
      <c r="BL62" s="17"/>
      <c r="BM62" s="18" t="s">
        <v>51</v>
      </c>
      <c r="BN62" s="18" t="s">
        <v>51</v>
      </c>
      <c r="BO62" s="17" t="s">
        <v>50</v>
      </c>
      <c r="BP62" s="17" t="s">
        <v>50</v>
      </c>
      <c r="BQ62" s="18" t="s">
        <v>51</v>
      </c>
      <c r="BR62" s="18" t="s">
        <v>51</v>
      </c>
      <c r="BS62" s="17" t="s">
        <v>50</v>
      </c>
      <c r="BT62" s="17" t="s">
        <v>50</v>
      </c>
      <c r="BU62" s="18" t="s">
        <v>51</v>
      </c>
      <c r="BV62" s="18" t="s">
        <v>51</v>
      </c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</row>
    <row r="63" ht="16.5" customHeight="1">
      <c r="A63" s="31" t="s">
        <v>479</v>
      </c>
      <c r="B63" s="17" t="s">
        <v>480</v>
      </c>
      <c r="C63" s="16">
        <v>1.038263363E9</v>
      </c>
      <c r="D63" s="17" t="s">
        <v>49</v>
      </c>
      <c r="E63" s="19" t="s">
        <v>329</v>
      </c>
      <c r="F63" s="22"/>
      <c r="G63" s="17" t="s">
        <v>51</v>
      </c>
      <c r="H63" s="22"/>
      <c r="I63" s="22"/>
      <c r="J63" s="22"/>
      <c r="K63" s="22"/>
      <c r="L63" s="19" t="s">
        <v>51</v>
      </c>
      <c r="M63" s="17" t="s">
        <v>51</v>
      </c>
      <c r="N63" s="22"/>
      <c r="O63" s="19" t="s">
        <v>51</v>
      </c>
      <c r="P63" s="18" t="s">
        <v>50</v>
      </c>
      <c r="Q63" s="18" t="s">
        <v>50</v>
      </c>
      <c r="R63" s="18" t="s">
        <v>50</v>
      </c>
      <c r="S63" s="19" t="s">
        <v>51</v>
      </c>
      <c r="T63" s="19" t="s">
        <v>51</v>
      </c>
      <c r="U63" s="18" t="s">
        <v>50</v>
      </c>
      <c r="V63" s="18" t="s">
        <v>50</v>
      </c>
      <c r="W63" s="18" t="s">
        <v>52</v>
      </c>
      <c r="X63" s="18" t="s">
        <v>50</v>
      </c>
      <c r="Y63" s="18" t="s">
        <v>50</v>
      </c>
      <c r="Z63" s="18" t="s">
        <v>52</v>
      </c>
      <c r="AA63" s="18" t="s">
        <v>50</v>
      </c>
      <c r="AB63" s="18" t="s">
        <v>51</v>
      </c>
      <c r="AC63" s="18" t="s">
        <v>51</v>
      </c>
      <c r="AD63" s="18" t="s">
        <v>50</v>
      </c>
      <c r="AE63" s="18" t="s">
        <v>50</v>
      </c>
      <c r="AF63" s="18" t="s">
        <v>50</v>
      </c>
      <c r="AG63" s="18" t="s">
        <v>51</v>
      </c>
      <c r="AH63" s="18" t="s">
        <v>51</v>
      </c>
      <c r="AI63" s="18" t="s">
        <v>51</v>
      </c>
      <c r="AJ63" s="18" t="s">
        <v>50</v>
      </c>
      <c r="AK63" s="18" t="s">
        <v>329</v>
      </c>
      <c r="AL63" s="18" t="s">
        <v>50</v>
      </c>
      <c r="AM63" s="17" t="s">
        <v>329</v>
      </c>
      <c r="AN63" s="17" t="s">
        <v>329</v>
      </c>
      <c r="AO63" s="17" t="s">
        <v>50</v>
      </c>
      <c r="AP63" s="17" t="s">
        <v>50</v>
      </c>
      <c r="AQ63" s="18" t="s">
        <v>52</v>
      </c>
      <c r="AR63" s="18" t="s">
        <v>52</v>
      </c>
      <c r="AS63" s="17" t="s">
        <v>50</v>
      </c>
      <c r="AT63" s="17" t="s">
        <v>111</v>
      </c>
      <c r="AU63" s="17" t="s">
        <v>111</v>
      </c>
      <c r="AV63" s="19" t="s">
        <v>481</v>
      </c>
      <c r="AW63" s="17" t="s">
        <v>111</v>
      </c>
      <c r="AX63" s="19" t="s">
        <v>51</v>
      </c>
      <c r="AY63" s="17" t="s">
        <v>111</v>
      </c>
      <c r="AZ63" s="19" t="s">
        <v>329</v>
      </c>
      <c r="BA63" s="17" t="s">
        <v>111</v>
      </c>
      <c r="BB63" s="17" t="s">
        <v>50</v>
      </c>
      <c r="BC63" s="17" t="s">
        <v>50</v>
      </c>
      <c r="BD63" s="19" t="s">
        <v>329</v>
      </c>
      <c r="BE63" s="17" t="s">
        <v>50</v>
      </c>
      <c r="BF63" s="17" t="s">
        <v>50</v>
      </c>
      <c r="BG63" s="17" t="s">
        <v>50</v>
      </c>
      <c r="BH63" s="19" t="s">
        <v>329</v>
      </c>
      <c r="BI63" s="19" t="s">
        <v>329</v>
      </c>
      <c r="BJ63" s="19" t="s">
        <v>329</v>
      </c>
      <c r="BK63" s="17" t="s">
        <v>50</v>
      </c>
      <c r="BL63" s="17" t="s">
        <v>50</v>
      </c>
      <c r="BM63" s="17" t="s">
        <v>50</v>
      </c>
      <c r="BN63" s="17" t="s">
        <v>50</v>
      </c>
      <c r="BO63" s="19" t="s">
        <v>51</v>
      </c>
      <c r="BP63" s="19" t="s">
        <v>51</v>
      </c>
      <c r="BQ63" s="17" t="s">
        <v>51</v>
      </c>
      <c r="BR63" s="17" t="s">
        <v>51</v>
      </c>
      <c r="BS63" s="19" t="s">
        <v>51</v>
      </c>
      <c r="BT63" s="19" t="s">
        <v>51</v>
      </c>
      <c r="BU63" s="17" t="s">
        <v>50</v>
      </c>
      <c r="BV63" s="17" t="s">
        <v>50</v>
      </c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</row>
    <row r="64" ht="16.5" customHeight="1">
      <c r="A64" s="31" t="s">
        <v>482</v>
      </c>
      <c r="B64" s="17" t="s">
        <v>483</v>
      </c>
      <c r="C64" s="16">
        <v>1.000868495E9</v>
      </c>
      <c r="D64" s="17" t="s">
        <v>127</v>
      </c>
      <c r="E64" s="22"/>
      <c r="F64" s="22"/>
      <c r="G64" s="19" t="s">
        <v>329</v>
      </c>
      <c r="H64" s="22"/>
      <c r="I64" s="17" t="s">
        <v>51</v>
      </c>
      <c r="J64" s="22"/>
      <c r="K64" s="19" t="s">
        <v>343</v>
      </c>
      <c r="L64" s="22"/>
      <c r="M64" s="19" t="s">
        <v>343</v>
      </c>
      <c r="N64" s="22"/>
      <c r="O64" s="18" t="s">
        <v>50</v>
      </c>
      <c r="P64" s="18" t="s">
        <v>50</v>
      </c>
      <c r="Q64" s="19" t="s">
        <v>51</v>
      </c>
      <c r="R64" s="19" t="s">
        <v>51</v>
      </c>
      <c r="S64" s="18" t="s">
        <v>50</v>
      </c>
      <c r="T64" s="18" t="s">
        <v>50</v>
      </c>
      <c r="U64" s="18" t="s">
        <v>50</v>
      </c>
      <c r="V64" s="18" t="s">
        <v>50</v>
      </c>
      <c r="W64" s="18" t="s">
        <v>51</v>
      </c>
      <c r="X64" s="18" t="s">
        <v>50</v>
      </c>
      <c r="Y64" s="18" t="s">
        <v>50</v>
      </c>
      <c r="Z64" s="18" t="s">
        <v>51</v>
      </c>
      <c r="AA64" s="18" t="s">
        <v>51</v>
      </c>
      <c r="AB64" s="18" t="s">
        <v>50</v>
      </c>
      <c r="AC64" s="18" t="s">
        <v>50</v>
      </c>
      <c r="AD64" s="18" t="s">
        <v>50</v>
      </c>
      <c r="AE64" s="18" t="s">
        <v>51</v>
      </c>
      <c r="AF64" s="18" t="s">
        <v>50</v>
      </c>
      <c r="AG64" s="18" t="s">
        <v>50</v>
      </c>
      <c r="AH64" s="18" t="s">
        <v>50</v>
      </c>
      <c r="AI64" s="18" t="s">
        <v>50</v>
      </c>
      <c r="AJ64" s="18" t="s">
        <v>50</v>
      </c>
      <c r="AK64" s="18" t="s">
        <v>51</v>
      </c>
      <c r="AL64" s="18" t="s">
        <v>51</v>
      </c>
      <c r="AM64" s="17" t="s">
        <v>50</v>
      </c>
      <c r="AN64" s="17" t="s">
        <v>50</v>
      </c>
      <c r="AO64" s="17" t="s">
        <v>51</v>
      </c>
      <c r="AP64" s="17" t="s">
        <v>51</v>
      </c>
      <c r="AQ64" s="17" t="s">
        <v>50</v>
      </c>
      <c r="AR64" s="17" t="s">
        <v>50</v>
      </c>
      <c r="AS64" s="17" t="s">
        <v>329</v>
      </c>
      <c r="AT64" s="17" t="s">
        <v>111</v>
      </c>
      <c r="AU64" s="17" t="s">
        <v>111</v>
      </c>
      <c r="AV64" s="17" t="s">
        <v>111</v>
      </c>
      <c r="AW64" s="19" t="s">
        <v>329</v>
      </c>
      <c r="AX64" s="17" t="s">
        <v>111</v>
      </c>
      <c r="AY64" s="17" t="s">
        <v>111</v>
      </c>
      <c r="AZ64" s="17" t="s">
        <v>111</v>
      </c>
      <c r="BA64" s="17" t="s">
        <v>111</v>
      </c>
      <c r="BB64" s="17" t="s">
        <v>111</v>
      </c>
      <c r="BC64" s="17" t="s">
        <v>111</v>
      </c>
      <c r="BD64" s="17" t="s">
        <v>50</v>
      </c>
      <c r="BE64" s="17"/>
      <c r="BF64" s="17" t="s">
        <v>50</v>
      </c>
      <c r="BG64" s="17" t="s">
        <v>111</v>
      </c>
      <c r="BH64" s="18" t="s">
        <v>329</v>
      </c>
      <c r="BI64" s="17" t="s">
        <v>111</v>
      </c>
      <c r="BJ64" s="17" t="s">
        <v>50</v>
      </c>
      <c r="BK64" s="18" t="s">
        <v>329</v>
      </c>
      <c r="BL64" s="17" t="s">
        <v>111</v>
      </c>
      <c r="BM64" s="18" t="s">
        <v>329</v>
      </c>
      <c r="BN64" s="17" t="s">
        <v>111</v>
      </c>
      <c r="BO64" s="19" t="s">
        <v>329</v>
      </c>
      <c r="BP64" s="17" t="s">
        <v>111</v>
      </c>
      <c r="BQ64" s="19" t="s">
        <v>329</v>
      </c>
      <c r="BR64" s="17" t="s">
        <v>111</v>
      </c>
      <c r="BS64" s="19" t="s">
        <v>329</v>
      </c>
      <c r="BT64" s="17" t="s">
        <v>111</v>
      </c>
      <c r="BU64" s="19" t="s">
        <v>329</v>
      </c>
      <c r="BV64" s="17" t="s">
        <v>111</v>
      </c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</row>
    <row r="65" ht="16.5" customHeight="1">
      <c r="A65" s="14" t="s">
        <v>484</v>
      </c>
      <c r="B65" s="17" t="s">
        <v>485</v>
      </c>
      <c r="C65" s="16">
        <v>1.002127074E9</v>
      </c>
      <c r="D65" s="17" t="s">
        <v>127</v>
      </c>
      <c r="E65" s="19" t="s">
        <v>51</v>
      </c>
      <c r="F65" s="18" t="s">
        <v>50</v>
      </c>
      <c r="G65" s="19" t="s">
        <v>329</v>
      </c>
      <c r="H65" s="22"/>
      <c r="I65" s="19" t="s">
        <v>329</v>
      </c>
      <c r="J65" s="22"/>
      <c r="K65" s="17" t="s">
        <v>51</v>
      </c>
      <c r="L65" s="22"/>
      <c r="M65" s="22"/>
      <c r="N65" s="19" t="s">
        <v>329</v>
      </c>
      <c r="O65" s="18" t="s">
        <v>50</v>
      </c>
      <c r="P65" s="18" t="s">
        <v>50</v>
      </c>
      <c r="Q65" s="19" t="s">
        <v>51</v>
      </c>
      <c r="R65" s="19" t="s">
        <v>51</v>
      </c>
      <c r="S65" s="18" t="s">
        <v>50</v>
      </c>
      <c r="T65" s="18" t="s">
        <v>50</v>
      </c>
      <c r="U65" s="18" t="s">
        <v>50</v>
      </c>
      <c r="V65" s="18" t="s">
        <v>50</v>
      </c>
      <c r="W65" s="18" t="s">
        <v>51</v>
      </c>
      <c r="X65" s="18" t="s">
        <v>50</v>
      </c>
      <c r="Y65" s="18" t="s">
        <v>50</v>
      </c>
      <c r="Z65" s="18" t="s">
        <v>51</v>
      </c>
      <c r="AA65" s="18" t="s">
        <v>51</v>
      </c>
      <c r="AB65" s="18" t="s">
        <v>50</v>
      </c>
      <c r="AC65" s="18" t="s">
        <v>50</v>
      </c>
      <c r="AD65" s="18" t="s">
        <v>50</v>
      </c>
      <c r="AE65" s="18" t="s">
        <v>50</v>
      </c>
      <c r="AF65" s="18" t="s">
        <v>50</v>
      </c>
      <c r="AG65" s="18" t="s">
        <v>51</v>
      </c>
      <c r="AH65" s="18" t="s">
        <v>51</v>
      </c>
      <c r="AI65" s="18" t="s">
        <v>51</v>
      </c>
      <c r="AJ65" s="18" t="s">
        <v>50</v>
      </c>
      <c r="AK65" s="18" t="s">
        <v>50</v>
      </c>
      <c r="AL65" s="18" t="s">
        <v>50</v>
      </c>
      <c r="AM65" s="17" t="s">
        <v>329</v>
      </c>
      <c r="AN65" s="17" t="s">
        <v>50</v>
      </c>
      <c r="AO65" s="17" t="s">
        <v>51</v>
      </c>
      <c r="AP65" s="17"/>
      <c r="AQ65" s="17" t="s">
        <v>50</v>
      </c>
      <c r="AR65" s="17" t="s">
        <v>50</v>
      </c>
      <c r="AS65" s="17" t="s">
        <v>50</v>
      </c>
      <c r="AT65" s="19" t="s">
        <v>329</v>
      </c>
      <c r="AU65" s="17" t="s">
        <v>50</v>
      </c>
      <c r="AV65" s="17" t="s">
        <v>111</v>
      </c>
      <c r="AW65" s="17" t="s">
        <v>111</v>
      </c>
      <c r="AX65" s="17" t="s">
        <v>111</v>
      </c>
      <c r="AY65" s="17" t="s">
        <v>111</v>
      </c>
      <c r="AZ65" s="17" t="s">
        <v>111</v>
      </c>
      <c r="BA65" s="17" t="s">
        <v>111</v>
      </c>
      <c r="BB65" s="19" t="s">
        <v>51</v>
      </c>
      <c r="BC65" s="17" t="s">
        <v>111</v>
      </c>
      <c r="BD65" s="17" t="s">
        <v>165</v>
      </c>
      <c r="BE65" s="17"/>
      <c r="BF65" s="17" t="s">
        <v>165</v>
      </c>
      <c r="BG65" s="17" t="s">
        <v>165</v>
      </c>
      <c r="BH65" s="17" t="s">
        <v>50</v>
      </c>
      <c r="BI65" s="17" t="s">
        <v>50</v>
      </c>
      <c r="BJ65" s="17" t="s">
        <v>50</v>
      </c>
      <c r="BK65" s="18" t="s">
        <v>329</v>
      </c>
      <c r="BL65" s="18" t="s">
        <v>329</v>
      </c>
      <c r="BM65" s="17" t="s">
        <v>50</v>
      </c>
      <c r="BN65" s="17" t="s">
        <v>50</v>
      </c>
      <c r="BO65" s="19" t="s">
        <v>329</v>
      </c>
      <c r="BP65" s="19" t="s">
        <v>329</v>
      </c>
      <c r="BQ65" s="19" t="s">
        <v>329</v>
      </c>
      <c r="BR65" s="17" t="s">
        <v>50</v>
      </c>
      <c r="BS65" s="19" t="s">
        <v>329</v>
      </c>
      <c r="BT65" s="19" t="s">
        <v>329</v>
      </c>
      <c r="BU65" s="19" t="s">
        <v>329</v>
      </c>
      <c r="BV65" s="17" t="s">
        <v>50</v>
      </c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</row>
    <row r="66" ht="16.5" customHeight="1">
      <c r="A66" s="14" t="s">
        <v>486</v>
      </c>
      <c r="B66" s="17" t="s">
        <v>487</v>
      </c>
      <c r="C66" s="16">
        <v>1.039448695E9</v>
      </c>
      <c r="D66" s="17" t="s">
        <v>127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36" t="s">
        <v>324</v>
      </c>
      <c r="P66" s="36" t="s">
        <v>324</v>
      </c>
      <c r="Q66" s="36" t="s">
        <v>324</v>
      </c>
      <c r="R66" s="36" t="s">
        <v>324</v>
      </c>
      <c r="S66" s="36" t="s">
        <v>324</v>
      </c>
      <c r="T66" s="36" t="s">
        <v>324</v>
      </c>
      <c r="U66" s="36" t="s">
        <v>324</v>
      </c>
      <c r="V66" s="36" t="s">
        <v>324</v>
      </c>
      <c r="W66" s="36" t="s">
        <v>324</v>
      </c>
      <c r="X66" s="36" t="s">
        <v>324</v>
      </c>
      <c r="Y66" s="36" t="s">
        <v>324</v>
      </c>
      <c r="Z66" s="36" t="s">
        <v>324</v>
      </c>
      <c r="AA66" s="36" t="s">
        <v>324</v>
      </c>
      <c r="AB66" s="36" t="s">
        <v>324</v>
      </c>
      <c r="AC66" s="36" t="s">
        <v>324</v>
      </c>
      <c r="AD66" s="36" t="s">
        <v>324</v>
      </c>
      <c r="AE66" s="36" t="s">
        <v>324</v>
      </c>
      <c r="AF66" s="36" t="s">
        <v>324</v>
      </c>
      <c r="AG66" s="36" t="s">
        <v>324</v>
      </c>
      <c r="AH66" s="36" t="s">
        <v>324</v>
      </c>
      <c r="AI66" s="36" t="s">
        <v>324</v>
      </c>
      <c r="AJ66" s="36" t="s">
        <v>324</v>
      </c>
      <c r="AK66" s="18" t="s">
        <v>50</v>
      </c>
      <c r="AL66" s="18" t="s">
        <v>50</v>
      </c>
      <c r="AM66" s="19" t="s">
        <v>329</v>
      </c>
      <c r="AN66" s="19" t="s">
        <v>329</v>
      </c>
      <c r="AO66" s="19" t="s">
        <v>329</v>
      </c>
      <c r="AP66" s="19" t="s">
        <v>329</v>
      </c>
      <c r="AQ66" s="17" t="s">
        <v>329</v>
      </c>
      <c r="AR66" s="17" t="s">
        <v>329</v>
      </c>
      <c r="AS66" s="19" t="s">
        <v>329</v>
      </c>
      <c r="AT66" s="17" t="s">
        <v>111</v>
      </c>
      <c r="AU66" s="17" t="s">
        <v>111</v>
      </c>
      <c r="AV66" s="17" t="s">
        <v>111</v>
      </c>
      <c r="AW66" s="17" t="s">
        <v>111</v>
      </c>
      <c r="AX66" s="17" t="s">
        <v>111</v>
      </c>
      <c r="AY66" s="17" t="s">
        <v>111</v>
      </c>
      <c r="AZ66" s="17" t="s">
        <v>111</v>
      </c>
      <c r="BA66" s="17" t="s">
        <v>111</v>
      </c>
      <c r="BB66" s="17" t="s">
        <v>111</v>
      </c>
      <c r="BC66" s="17" t="s">
        <v>111</v>
      </c>
      <c r="BD66" s="19" t="s">
        <v>329</v>
      </c>
      <c r="BE66" s="17" t="s">
        <v>50</v>
      </c>
      <c r="BF66" s="19" t="s">
        <v>329</v>
      </c>
      <c r="BG66" s="19" t="s">
        <v>329</v>
      </c>
      <c r="BH66" s="19" t="s">
        <v>329</v>
      </c>
      <c r="BI66" s="19" t="s">
        <v>329</v>
      </c>
      <c r="BJ66" s="19" t="s">
        <v>329</v>
      </c>
      <c r="BK66" s="19" t="s">
        <v>329</v>
      </c>
      <c r="BL66" s="19" t="s">
        <v>329</v>
      </c>
      <c r="BM66" s="19" t="s">
        <v>329</v>
      </c>
      <c r="BN66" s="19" t="s">
        <v>329</v>
      </c>
      <c r="BO66" s="19" t="s">
        <v>329</v>
      </c>
      <c r="BP66" s="19" t="s">
        <v>329</v>
      </c>
      <c r="BQ66" s="19" t="s">
        <v>329</v>
      </c>
      <c r="BR66" s="19" t="s">
        <v>329</v>
      </c>
      <c r="BS66" s="19" t="s">
        <v>329</v>
      </c>
      <c r="BT66" s="19" t="s">
        <v>329</v>
      </c>
      <c r="BU66" s="19" t="s">
        <v>329</v>
      </c>
      <c r="BV66" s="19" t="s">
        <v>329</v>
      </c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</row>
    <row r="67" ht="16.5" customHeight="1">
      <c r="A67" s="31" t="s">
        <v>488</v>
      </c>
      <c r="B67" s="17" t="s">
        <v>489</v>
      </c>
      <c r="C67" s="16">
        <v>1.000869829E9</v>
      </c>
      <c r="D67" s="17" t="s">
        <v>127</v>
      </c>
      <c r="E67" s="22"/>
      <c r="F67" s="19" t="s">
        <v>329</v>
      </c>
      <c r="G67" s="22"/>
      <c r="H67" s="19" t="s">
        <v>329</v>
      </c>
      <c r="I67" s="22"/>
      <c r="J67" s="19" t="s">
        <v>329</v>
      </c>
      <c r="K67" s="22"/>
      <c r="L67" s="19" t="s">
        <v>329</v>
      </c>
      <c r="M67" s="22"/>
      <c r="N67" s="22"/>
      <c r="O67" s="19" t="s">
        <v>51</v>
      </c>
      <c r="P67" s="18" t="s">
        <v>50</v>
      </c>
      <c r="Q67" s="18" t="s">
        <v>50</v>
      </c>
      <c r="R67" s="18" t="s">
        <v>50</v>
      </c>
      <c r="S67" s="19" t="s">
        <v>51</v>
      </c>
      <c r="T67" s="19" t="s">
        <v>51</v>
      </c>
      <c r="U67" s="18" t="s">
        <v>50</v>
      </c>
      <c r="V67" s="18" t="s">
        <v>50</v>
      </c>
      <c r="W67" s="18" t="s">
        <v>50</v>
      </c>
      <c r="X67" s="18" t="s">
        <v>50</v>
      </c>
      <c r="Y67" s="18" t="s">
        <v>50</v>
      </c>
      <c r="Z67" s="18" t="s">
        <v>52</v>
      </c>
      <c r="AA67" s="18" t="s">
        <v>51</v>
      </c>
      <c r="AB67" s="18" t="s">
        <v>50</v>
      </c>
      <c r="AC67" s="18" t="s">
        <v>50</v>
      </c>
      <c r="AD67" s="18" t="s">
        <v>50</v>
      </c>
      <c r="AE67" s="18" t="s">
        <v>51</v>
      </c>
      <c r="AF67" s="18" t="s">
        <v>50</v>
      </c>
      <c r="AG67" s="18" t="s">
        <v>50</v>
      </c>
      <c r="AH67" s="18" t="s">
        <v>50</v>
      </c>
      <c r="AI67" s="18" t="s">
        <v>50</v>
      </c>
      <c r="AJ67" s="18" t="s">
        <v>50</v>
      </c>
      <c r="AK67" s="17" t="s">
        <v>50</v>
      </c>
      <c r="AL67" s="17" t="s">
        <v>50</v>
      </c>
      <c r="AM67" s="17" t="s">
        <v>50</v>
      </c>
      <c r="AN67" s="17" t="s">
        <v>50</v>
      </c>
      <c r="AO67" s="17" t="s">
        <v>50</v>
      </c>
      <c r="AP67" s="17" t="s">
        <v>50</v>
      </c>
      <c r="AQ67" s="17" t="s">
        <v>50</v>
      </c>
      <c r="AR67" s="17" t="s">
        <v>50</v>
      </c>
      <c r="AS67" s="17" t="s">
        <v>50</v>
      </c>
      <c r="AT67" s="17" t="s">
        <v>50</v>
      </c>
      <c r="AU67" s="19" t="s">
        <v>329</v>
      </c>
      <c r="AV67" s="17" t="s">
        <v>111</v>
      </c>
      <c r="AW67" s="19" t="s">
        <v>329</v>
      </c>
      <c r="AX67" s="17" t="s">
        <v>50</v>
      </c>
      <c r="AY67" s="17" t="s">
        <v>111</v>
      </c>
      <c r="AZ67" s="19" t="s">
        <v>329</v>
      </c>
      <c r="BA67" s="19" t="s">
        <v>329</v>
      </c>
      <c r="BB67" s="17" t="s">
        <v>111</v>
      </c>
      <c r="BC67" s="17" t="s">
        <v>111</v>
      </c>
      <c r="BD67" s="19" t="s">
        <v>329</v>
      </c>
      <c r="BE67" s="17" t="s">
        <v>50</v>
      </c>
      <c r="BF67" s="17" t="s">
        <v>50</v>
      </c>
      <c r="BG67" s="17" t="s">
        <v>50</v>
      </c>
      <c r="BH67" s="17" t="s">
        <v>50</v>
      </c>
      <c r="BI67" s="17" t="s">
        <v>50</v>
      </c>
      <c r="BJ67" s="17" t="s">
        <v>50</v>
      </c>
      <c r="BK67" s="17" t="s">
        <v>50</v>
      </c>
      <c r="BL67" s="17" t="s">
        <v>50</v>
      </c>
      <c r="BM67" s="17" t="s">
        <v>50</v>
      </c>
      <c r="BN67" s="17" t="s">
        <v>50</v>
      </c>
      <c r="BO67" s="17" t="s">
        <v>50</v>
      </c>
      <c r="BP67" s="17" t="s">
        <v>50</v>
      </c>
      <c r="BQ67" s="17" t="s">
        <v>50</v>
      </c>
      <c r="BR67" s="17" t="s">
        <v>50</v>
      </c>
      <c r="BS67" s="19" t="s">
        <v>50</v>
      </c>
      <c r="BT67" s="19" t="s">
        <v>51</v>
      </c>
      <c r="BU67" s="17" t="s">
        <v>50</v>
      </c>
      <c r="BV67" s="17" t="s">
        <v>50</v>
      </c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</row>
    <row r="68" ht="16.5" customHeight="1">
      <c r="A68" s="39" t="s">
        <v>490</v>
      </c>
      <c r="B68" s="17" t="s">
        <v>491</v>
      </c>
      <c r="C68" s="16">
        <v>1.001227996E9</v>
      </c>
      <c r="D68" s="17" t="s">
        <v>127</v>
      </c>
      <c r="E68" s="22"/>
      <c r="F68" s="19" t="s">
        <v>329</v>
      </c>
      <c r="G68" s="19" t="s">
        <v>328</v>
      </c>
      <c r="H68" s="22"/>
      <c r="I68" s="22"/>
      <c r="J68" s="18" t="s">
        <v>50</v>
      </c>
      <c r="K68" s="19" t="s">
        <v>334</v>
      </c>
      <c r="L68" s="22"/>
      <c r="M68" s="19" t="s">
        <v>329</v>
      </c>
      <c r="N68" s="18" t="s">
        <v>50</v>
      </c>
      <c r="O68" s="36" t="s">
        <v>424</v>
      </c>
      <c r="P68" s="18" t="s">
        <v>50</v>
      </c>
      <c r="Q68" s="36" t="s">
        <v>324</v>
      </c>
      <c r="R68" s="18" t="s">
        <v>50</v>
      </c>
      <c r="S68" s="36" t="s">
        <v>324</v>
      </c>
      <c r="T68" s="19" t="s">
        <v>51</v>
      </c>
      <c r="U68" s="36" t="s">
        <v>324</v>
      </c>
      <c r="V68" s="18" t="s">
        <v>50</v>
      </c>
      <c r="W68" s="36" t="s">
        <v>324</v>
      </c>
      <c r="X68" s="18" t="s">
        <v>50</v>
      </c>
      <c r="Y68" s="18" t="s">
        <v>50</v>
      </c>
      <c r="Z68" s="18" t="s">
        <v>50</v>
      </c>
      <c r="AA68" s="18" t="s">
        <v>50</v>
      </c>
      <c r="AB68" s="18" t="s">
        <v>51</v>
      </c>
      <c r="AC68" s="18" t="s">
        <v>51</v>
      </c>
      <c r="AD68" s="18" t="s">
        <v>50</v>
      </c>
      <c r="AE68" s="18" t="s">
        <v>50</v>
      </c>
      <c r="AF68" s="18" t="s">
        <v>50</v>
      </c>
      <c r="AG68" s="18" t="s">
        <v>329</v>
      </c>
      <c r="AH68" s="36" t="s">
        <v>324</v>
      </c>
      <c r="AI68" s="18" t="s">
        <v>50</v>
      </c>
      <c r="AJ68" s="36" t="s">
        <v>324</v>
      </c>
      <c r="AK68" s="18" t="s">
        <v>50</v>
      </c>
      <c r="AL68" s="18" t="s">
        <v>50</v>
      </c>
      <c r="AM68" s="17" t="s">
        <v>329</v>
      </c>
      <c r="AN68" s="17" t="s">
        <v>329</v>
      </c>
      <c r="AO68" s="17" t="s">
        <v>329</v>
      </c>
      <c r="AP68" s="17" t="s">
        <v>329</v>
      </c>
      <c r="AQ68" s="17" t="s">
        <v>50</v>
      </c>
      <c r="AR68" s="17" t="s">
        <v>50</v>
      </c>
      <c r="AS68" s="17" t="s">
        <v>50</v>
      </c>
      <c r="AT68" s="19" t="s">
        <v>329</v>
      </c>
      <c r="AU68" s="19" t="s">
        <v>329</v>
      </c>
      <c r="AV68" s="19" t="s">
        <v>328</v>
      </c>
      <c r="AW68" s="19" t="s">
        <v>334</v>
      </c>
      <c r="AX68" s="18" t="s">
        <v>111</v>
      </c>
      <c r="AY68" s="19" t="s">
        <v>334</v>
      </c>
      <c r="AZ68" s="19" t="s">
        <v>334</v>
      </c>
      <c r="BA68" s="19" t="s">
        <v>329</v>
      </c>
      <c r="BB68" s="19" t="s">
        <v>329</v>
      </c>
      <c r="BC68" s="17" t="s">
        <v>50</v>
      </c>
      <c r="BD68" s="19" t="s">
        <v>329</v>
      </c>
      <c r="BE68" s="17" t="s">
        <v>50</v>
      </c>
      <c r="BF68" s="17" t="s">
        <v>50</v>
      </c>
      <c r="BG68" s="17" t="s">
        <v>50</v>
      </c>
      <c r="BH68" s="18" t="s">
        <v>111</v>
      </c>
      <c r="BI68" s="17" t="s">
        <v>50</v>
      </c>
      <c r="BJ68" s="17" t="s">
        <v>50</v>
      </c>
      <c r="BK68" s="18" t="s">
        <v>111</v>
      </c>
      <c r="BL68" s="17" t="s">
        <v>50</v>
      </c>
      <c r="BM68" s="18" t="s">
        <v>111</v>
      </c>
      <c r="BN68" s="17" t="s">
        <v>50</v>
      </c>
      <c r="BO68" s="17" t="s">
        <v>111</v>
      </c>
      <c r="BP68" s="17" t="s">
        <v>50</v>
      </c>
      <c r="BQ68" s="17" t="s">
        <v>111</v>
      </c>
      <c r="BR68" s="17" t="s">
        <v>50</v>
      </c>
      <c r="BS68" s="17" t="s">
        <v>111</v>
      </c>
      <c r="BT68" s="17" t="s">
        <v>50</v>
      </c>
      <c r="BU68" s="17" t="s">
        <v>111</v>
      </c>
      <c r="BV68" s="17" t="s">
        <v>50</v>
      </c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</row>
    <row r="69" ht="16.5" customHeight="1">
      <c r="A69" s="31" t="s">
        <v>492</v>
      </c>
      <c r="B69" s="17" t="s">
        <v>493</v>
      </c>
      <c r="C69" s="16">
        <v>1.03886706E9</v>
      </c>
      <c r="D69" s="17" t="s">
        <v>221</v>
      </c>
      <c r="E69" s="19" t="s">
        <v>329</v>
      </c>
      <c r="F69" s="22"/>
      <c r="G69" s="22"/>
      <c r="H69" s="19" t="s">
        <v>51</v>
      </c>
      <c r="I69" s="18" t="s">
        <v>50</v>
      </c>
      <c r="J69" s="22"/>
      <c r="K69" s="22"/>
      <c r="L69" s="18" t="s">
        <v>52</v>
      </c>
      <c r="M69" s="18" t="s">
        <v>52</v>
      </c>
      <c r="N69" s="22"/>
      <c r="O69" s="19" t="s">
        <v>51</v>
      </c>
      <c r="P69" s="19" t="s">
        <v>329</v>
      </c>
      <c r="Q69" s="18" t="s">
        <v>50</v>
      </c>
      <c r="R69" s="18" t="s">
        <v>50</v>
      </c>
      <c r="S69" s="18" t="s">
        <v>50</v>
      </c>
      <c r="T69" s="18" t="s">
        <v>50</v>
      </c>
      <c r="U69" s="18" t="s">
        <v>50</v>
      </c>
      <c r="V69" s="18" t="s">
        <v>50</v>
      </c>
      <c r="W69" s="18" t="s">
        <v>52</v>
      </c>
      <c r="X69" s="18" t="s">
        <v>50</v>
      </c>
      <c r="Y69" s="18" t="s">
        <v>50</v>
      </c>
      <c r="Z69" s="18" t="s">
        <v>52</v>
      </c>
      <c r="AA69" s="18" t="s">
        <v>51</v>
      </c>
      <c r="AB69" s="18" t="s">
        <v>50</v>
      </c>
      <c r="AC69" s="18" t="s">
        <v>50</v>
      </c>
      <c r="AD69" s="18" t="s">
        <v>50</v>
      </c>
      <c r="AE69" s="18" t="s">
        <v>52</v>
      </c>
      <c r="AF69" s="18" t="s">
        <v>50</v>
      </c>
      <c r="AG69" s="18" t="s">
        <v>50</v>
      </c>
      <c r="AH69" s="18" t="s">
        <v>50</v>
      </c>
      <c r="AI69" s="18" t="s">
        <v>50</v>
      </c>
      <c r="AJ69" s="18" t="s">
        <v>50</v>
      </c>
      <c r="AK69" s="18" t="s">
        <v>52</v>
      </c>
      <c r="AL69" s="18" t="s">
        <v>52</v>
      </c>
      <c r="AM69" s="17" t="s">
        <v>50</v>
      </c>
      <c r="AN69" s="17" t="s">
        <v>50</v>
      </c>
      <c r="AO69" s="18" t="s">
        <v>52</v>
      </c>
      <c r="AP69" s="18" t="s">
        <v>50</v>
      </c>
      <c r="AQ69" s="17" t="s">
        <v>50</v>
      </c>
      <c r="AR69" s="17" t="s">
        <v>50</v>
      </c>
      <c r="AS69" s="17" t="s">
        <v>329</v>
      </c>
      <c r="AT69" s="18" t="s">
        <v>111</v>
      </c>
      <c r="AU69" s="19" t="s">
        <v>329</v>
      </c>
      <c r="AV69" s="19" t="s">
        <v>51</v>
      </c>
      <c r="AW69" s="18" t="s">
        <v>111</v>
      </c>
      <c r="AX69" s="18" t="s">
        <v>111</v>
      </c>
      <c r="AY69" s="19" t="s">
        <v>51</v>
      </c>
      <c r="AZ69" s="18" t="s">
        <v>52</v>
      </c>
      <c r="BA69" s="18" t="s">
        <v>111</v>
      </c>
      <c r="BB69" s="18" t="s">
        <v>52</v>
      </c>
      <c r="BC69" s="17" t="s">
        <v>111</v>
      </c>
      <c r="BD69" s="17" t="s">
        <v>50</v>
      </c>
      <c r="BE69" s="18" t="s">
        <v>52</v>
      </c>
      <c r="BF69" s="27" t="s">
        <v>100</v>
      </c>
      <c r="BG69" s="18" t="s">
        <v>52</v>
      </c>
      <c r="BH69" s="27" t="s">
        <v>100</v>
      </c>
      <c r="BI69" s="17" t="s">
        <v>50</v>
      </c>
      <c r="BJ69" s="17" t="s">
        <v>50</v>
      </c>
      <c r="BK69" s="27" t="s">
        <v>100</v>
      </c>
      <c r="BL69" s="18" t="s">
        <v>52</v>
      </c>
      <c r="BM69" s="27" t="s">
        <v>100</v>
      </c>
      <c r="BN69" s="18" t="s">
        <v>52</v>
      </c>
      <c r="BO69" s="27" t="s">
        <v>100</v>
      </c>
      <c r="BP69" s="17" t="s">
        <v>50</v>
      </c>
      <c r="BQ69" s="27" t="s">
        <v>100</v>
      </c>
      <c r="BR69" s="18" t="s">
        <v>52</v>
      </c>
      <c r="BS69" s="27" t="s">
        <v>100</v>
      </c>
      <c r="BT69" s="17" t="s">
        <v>50</v>
      </c>
      <c r="BU69" s="27" t="s">
        <v>100</v>
      </c>
      <c r="BV69" s="27" t="s">
        <v>100</v>
      </c>
      <c r="BW69" s="24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</row>
    <row r="70" ht="16.5" customHeight="1">
      <c r="A70" s="31" t="s">
        <v>494</v>
      </c>
      <c r="B70" s="17" t="s">
        <v>495</v>
      </c>
      <c r="C70" s="16">
        <v>1.07650306E9</v>
      </c>
      <c r="D70" s="17" t="s">
        <v>124</v>
      </c>
      <c r="E70" s="19" t="s">
        <v>329</v>
      </c>
      <c r="F70" s="22"/>
      <c r="G70" s="22"/>
      <c r="H70" s="22"/>
      <c r="I70" s="22"/>
      <c r="J70" s="22"/>
      <c r="K70" s="22"/>
      <c r="L70" s="22"/>
      <c r="M70" s="19" t="s">
        <v>51</v>
      </c>
      <c r="N70" s="22"/>
      <c r="O70" s="22"/>
      <c r="P70" s="36" t="s">
        <v>324</v>
      </c>
      <c r="Q70" s="22"/>
      <c r="R70" s="36" t="s">
        <v>324</v>
      </c>
      <c r="S70" s="22"/>
      <c r="T70" s="36" t="s">
        <v>324</v>
      </c>
      <c r="U70" s="22"/>
      <c r="V70" s="36" t="s">
        <v>324</v>
      </c>
      <c r="W70" s="17" t="s">
        <v>51</v>
      </c>
      <c r="X70" s="22"/>
      <c r="Y70" s="36" t="s">
        <v>324</v>
      </c>
      <c r="Z70" s="22"/>
      <c r="AA70" s="36" t="s">
        <v>324</v>
      </c>
      <c r="AB70" s="22"/>
      <c r="AC70" s="36" t="s">
        <v>324</v>
      </c>
      <c r="AD70" s="22"/>
      <c r="AE70" s="22"/>
      <c r="AF70" s="22"/>
      <c r="AG70" s="18" t="s">
        <v>51</v>
      </c>
      <c r="AH70" s="22"/>
      <c r="AI70" s="22"/>
      <c r="AJ70" s="22"/>
      <c r="AK70" s="22"/>
      <c r="AL70" s="18" t="s">
        <v>50</v>
      </c>
      <c r="AM70" s="17" t="s">
        <v>50</v>
      </c>
      <c r="AN70" s="17" t="s">
        <v>50</v>
      </c>
      <c r="AO70" s="17"/>
      <c r="AP70" s="17" t="s">
        <v>51</v>
      </c>
      <c r="AQ70" s="17" t="s">
        <v>50</v>
      </c>
      <c r="AR70" s="17" t="s">
        <v>50</v>
      </c>
      <c r="AS70" s="17" t="s">
        <v>50</v>
      </c>
      <c r="AT70" s="18" t="s">
        <v>50</v>
      </c>
      <c r="AU70" s="18" t="s">
        <v>50</v>
      </c>
      <c r="AV70" s="18" t="s">
        <v>111</v>
      </c>
      <c r="AW70" s="19" t="s">
        <v>51</v>
      </c>
      <c r="AX70" s="19" t="s">
        <v>329</v>
      </c>
      <c r="AY70" s="18" t="s">
        <v>111</v>
      </c>
      <c r="AZ70" s="19" t="s">
        <v>51</v>
      </c>
      <c r="BA70" s="18" t="s">
        <v>111</v>
      </c>
      <c r="BB70" s="19" t="s">
        <v>329</v>
      </c>
      <c r="BC70" s="17" t="s">
        <v>111</v>
      </c>
      <c r="BD70" s="17" t="s">
        <v>50</v>
      </c>
      <c r="BE70" s="17" t="s">
        <v>50</v>
      </c>
      <c r="BF70" s="17" t="s">
        <v>165</v>
      </c>
      <c r="BG70" s="17" t="s">
        <v>329</v>
      </c>
      <c r="BH70" s="17" t="s">
        <v>165</v>
      </c>
      <c r="BI70" s="17" t="s">
        <v>50</v>
      </c>
      <c r="BJ70" s="17" t="s">
        <v>50</v>
      </c>
      <c r="BK70" s="17" t="s">
        <v>111</v>
      </c>
      <c r="BL70" s="17" t="s">
        <v>329</v>
      </c>
      <c r="BM70" s="17" t="s">
        <v>111</v>
      </c>
      <c r="BN70" s="17" t="s">
        <v>329</v>
      </c>
      <c r="BO70" s="17" t="s">
        <v>111</v>
      </c>
      <c r="BP70" s="17" t="s">
        <v>50</v>
      </c>
      <c r="BQ70" s="17" t="s">
        <v>111</v>
      </c>
      <c r="BR70" s="19" t="s">
        <v>329</v>
      </c>
      <c r="BS70" s="17" t="s">
        <v>111</v>
      </c>
      <c r="BT70" s="17" t="s">
        <v>50</v>
      </c>
      <c r="BU70" s="17" t="s">
        <v>111</v>
      </c>
      <c r="BV70" s="19" t="s">
        <v>329</v>
      </c>
      <c r="BW70" s="24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</row>
    <row r="71" ht="16.5" customHeight="1">
      <c r="A71" s="31" t="s">
        <v>496</v>
      </c>
      <c r="B71" s="17" t="s">
        <v>497</v>
      </c>
      <c r="C71" s="16">
        <v>1.028140164E9</v>
      </c>
      <c r="D71" s="17" t="s">
        <v>127</v>
      </c>
      <c r="E71" s="19" t="s">
        <v>329</v>
      </c>
      <c r="F71" s="18" t="s">
        <v>50</v>
      </c>
      <c r="G71" s="19" t="s">
        <v>341</v>
      </c>
      <c r="H71" s="22"/>
      <c r="I71" s="22"/>
      <c r="J71" s="19" t="s">
        <v>329</v>
      </c>
      <c r="K71" s="19" t="s">
        <v>329</v>
      </c>
      <c r="L71" s="22"/>
      <c r="M71" s="19" t="s">
        <v>329</v>
      </c>
      <c r="N71" s="22"/>
      <c r="O71" s="35" t="s">
        <v>111</v>
      </c>
      <c r="P71" s="18" t="s">
        <v>50</v>
      </c>
      <c r="Q71" s="35" t="s">
        <v>111</v>
      </c>
      <c r="R71" s="18" t="s">
        <v>50</v>
      </c>
      <c r="S71" s="35" t="s">
        <v>111</v>
      </c>
      <c r="T71" s="19" t="s">
        <v>51</v>
      </c>
      <c r="U71" s="35" t="s">
        <v>111</v>
      </c>
      <c r="V71" s="18" t="s">
        <v>50</v>
      </c>
      <c r="W71" s="18" t="s">
        <v>50</v>
      </c>
      <c r="X71" s="35" t="s">
        <v>111</v>
      </c>
      <c r="Y71" s="18" t="s">
        <v>50</v>
      </c>
      <c r="Z71" s="35" t="s">
        <v>111</v>
      </c>
      <c r="AA71" s="18" t="s">
        <v>50</v>
      </c>
      <c r="AB71" s="35" t="s">
        <v>111</v>
      </c>
      <c r="AC71" s="18" t="s">
        <v>50</v>
      </c>
      <c r="AD71" s="18" t="s">
        <v>50</v>
      </c>
      <c r="AE71" s="35" t="s">
        <v>111</v>
      </c>
      <c r="AF71" s="18" t="s">
        <v>50</v>
      </c>
      <c r="AG71" s="18" t="s">
        <v>50</v>
      </c>
      <c r="AH71" s="18" t="s">
        <v>50</v>
      </c>
      <c r="AI71" s="18" t="s">
        <v>50</v>
      </c>
      <c r="AJ71" s="18" t="s">
        <v>51</v>
      </c>
      <c r="AK71" s="18" t="s">
        <v>329</v>
      </c>
      <c r="AL71" s="18" t="s">
        <v>50</v>
      </c>
      <c r="AM71" s="18" t="s">
        <v>329</v>
      </c>
      <c r="AN71" s="18" t="s">
        <v>329</v>
      </c>
      <c r="AO71" s="17" t="s">
        <v>50</v>
      </c>
      <c r="AP71" s="17" t="s">
        <v>50</v>
      </c>
      <c r="AQ71" s="17" t="s">
        <v>50</v>
      </c>
      <c r="AR71" s="17" t="s">
        <v>50</v>
      </c>
      <c r="AS71" s="17" t="s">
        <v>50</v>
      </c>
      <c r="AT71" s="18" t="s">
        <v>111</v>
      </c>
      <c r="AU71" s="18" t="s">
        <v>111</v>
      </c>
      <c r="AV71" s="19" t="s">
        <v>329</v>
      </c>
      <c r="AW71" s="17" t="s">
        <v>111</v>
      </c>
      <c r="AX71" s="19" t="s">
        <v>51</v>
      </c>
      <c r="AY71" s="18" t="s">
        <v>111</v>
      </c>
      <c r="AZ71" s="19" t="s">
        <v>329</v>
      </c>
      <c r="BA71" s="17" t="s">
        <v>111</v>
      </c>
      <c r="BB71" s="19" t="s">
        <v>429</v>
      </c>
      <c r="BC71" s="17" t="s">
        <v>111</v>
      </c>
      <c r="BD71" s="17" t="s">
        <v>50</v>
      </c>
      <c r="BE71" s="19" t="s">
        <v>329</v>
      </c>
      <c r="BF71" s="17" t="s">
        <v>111</v>
      </c>
      <c r="BG71" s="17" t="s">
        <v>50</v>
      </c>
      <c r="BH71" s="17" t="s">
        <v>111</v>
      </c>
      <c r="BI71" s="17" t="s">
        <v>50</v>
      </c>
      <c r="BJ71" s="17" t="s">
        <v>50</v>
      </c>
      <c r="BK71" s="17" t="s">
        <v>111</v>
      </c>
      <c r="BL71" s="17" t="s">
        <v>329</v>
      </c>
      <c r="BM71" s="17" t="s">
        <v>111</v>
      </c>
      <c r="BN71" s="17" t="s">
        <v>50</v>
      </c>
      <c r="BO71" s="17" t="s">
        <v>111</v>
      </c>
      <c r="BP71" s="19" t="s">
        <v>329</v>
      </c>
      <c r="BQ71" s="17" t="s">
        <v>111</v>
      </c>
      <c r="BR71" s="17" t="s">
        <v>50</v>
      </c>
      <c r="BS71" s="17" t="s">
        <v>111</v>
      </c>
      <c r="BT71" s="19" t="s">
        <v>329</v>
      </c>
      <c r="BU71" s="17" t="s">
        <v>111</v>
      </c>
      <c r="BV71" s="17" t="s">
        <v>50</v>
      </c>
      <c r="BW71" s="17" t="s">
        <v>111</v>
      </c>
      <c r="BX71" s="17" t="s">
        <v>50</v>
      </c>
      <c r="BY71" s="17" t="s">
        <v>111</v>
      </c>
      <c r="BZ71" s="19" t="s">
        <v>329</v>
      </c>
      <c r="CA71" s="17"/>
      <c r="CB71" s="17" t="s">
        <v>111</v>
      </c>
      <c r="CC71" s="19" t="s">
        <v>329</v>
      </c>
      <c r="CD71" s="17" t="s">
        <v>111</v>
      </c>
      <c r="CE71" s="19" t="s">
        <v>329</v>
      </c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</row>
    <row r="72" ht="16.5" customHeight="1">
      <c r="A72" s="67" t="s">
        <v>498</v>
      </c>
      <c r="B72" s="17" t="s">
        <v>499</v>
      </c>
      <c r="C72" s="16">
        <v>1.007111473E9</v>
      </c>
      <c r="D72" s="17" t="s">
        <v>127</v>
      </c>
      <c r="E72" s="19" t="s">
        <v>51</v>
      </c>
      <c r="F72" s="18" t="s">
        <v>50</v>
      </c>
      <c r="G72" s="17" t="s">
        <v>51</v>
      </c>
      <c r="H72" s="22"/>
      <c r="I72" s="22"/>
      <c r="J72" s="22"/>
      <c r="K72" s="22"/>
      <c r="L72" s="22"/>
      <c r="M72" s="19" t="s">
        <v>329</v>
      </c>
      <c r="N72" s="22"/>
      <c r="O72" s="36" t="s">
        <v>125</v>
      </c>
      <c r="P72" s="19" t="s">
        <v>51</v>
      </c>
      <c r="Q72" s="36" t="s">
        <v>125</v>
      </c>
      <c r="R72" s="18" t="s">
        <v>50</v>
      </c>
      <c r="S72" s="36" t="s">
        <v>125</v>
      </c>
      <c r="T72" s="19" t="s">
        <v>51</v>
      </c>
      <c r="U72" s="36" t="s">
        <v>125</v>
      </c>
      <c r="V72" s="18" t="s">
        <v>50</v>
      </c>
      <c r="W72" s="18" t="s">
        <v>50</v>
      </c>
      <c r="X72" s="36" t="s">
        <v>125</v>
      </c>
      <c r="Y72" s="18" t="s">
        <v>50</v>
      </c>
      <c r="Z72" s="18" t="s">
        <v>52</v>
      </c>
      <c r="AA72" s="18" t="s">
        <v>50</v>
      </c>
      <c r="AB72" s="36" t="s">
        <v>125</v>
      </c>
      <c r="AC72" s="18" t="s">
        <v>50</v>
      </c>
      <c r="AD72" s="18" t="s">
        <v>50</v>
      </c>
      <c r="AE72" s="36" t="s">
        <v>125</v>
      </c>
      <c r="AF72" s="18" t="s">
        <v>50</v>
      </c>
      <c r="AG72" s="18" t="s">
        <v>50</v>
      </c>
      <c r="AH72" s="36" t="s">
        <v>125</v>
      </c>
      <c r="AI72" s="18" t="s">
        <v>50</v>
      </c>
      <c r="AJ72" s="36" t="s">
        <v>125</v>
      </c>
      <c r="AK72" s="18" t="s">
        <v>50</v>
      </c>
      <c r="AL72" s="18" t="s">
        <v>50</v>
      </c>
      <c r="AM72" s="17" t="s">
        <v>50</v>
      </c>
      <c r="AN72" s="17" t="s">
        <v>50</v>
      </c>
      <c r="AO72" s="17" t="s">
        <v>329</v>
      </c>
      <c r="AP72" s="17" t="s">
        <v>329</v>
      </c>
      <c r="AQ72" s="17" t="s">
        <v>50</v>
      </c>
      <c r="AR72" s="17" t="s">
        <v>50</v>
      </c>
      <c r="AS72" s="17" t="s">
        <v>50</v>
      </c>
      <c r="AT72" s="19" t="s">
        <v>329</v>
      </c>
      <c r="AU72" s="19" t="s">
        <v>51</v>
      </c>
      <c r="AV72" s="17" t="s">
        <v>111</v>
      </c>
      <c r="AW72" s="17" t="s">
        <v>111</v>
      </c>
      <c r="AX72" s="17" t="s">
        <v>111</v>
      </c>
      <c r="AY72" s="17" t="s">
        <v>111</v>
      </c>
      <c r="AZ72" s="17" t="s">
        <v>111</v>
      </c>
      <c r="BA72" s="17" t="s">
        <v>111</v>
      </c>
      <c r="BB72" s="19" t="s">
        <v>51</v>
      </c>
      <c r="BC72" s="19" t="s">
        <v>429</v>
      </c>
      <c r="BD72" s="17" t="s">
        <v>50</v>
      </c>
      <c r="BE72" s="17" t="s">
        <v>50</v>
      </c>
      <c r="BF72" s="17" t="s">
        <v>50</v>
      </c>
      <c r="BG72" s="17" t="s">
        <v>50</v>
      </c>
      <c r="BH72" s="17" t="s">
        <v>50</v>
      </c>
      <c r="BI72" s="17" t="s">
        <v>50</v>
      </c>
      <c r="BJ72" s="17" t="s">
        <v>50</v>
      </c>
      <c r="BK72" s="17" t="s">
        <v>50</v>
      </c>
      <c r="BL72" s="17" t="s">
        <v>50</v>
      </c>
      <c r="BM72" s="92" t="s">
        <v>329</v>
      </c>
      <c r="BN72" s="92" t="s">
        <v>329</v>
      </c>
      <c r="BO72" s="17" t="s">
        <v>50</v>
      </c>
      <c r="BP72" s="17" t="s">
        <v>50</v>
      </c>
      <c r="BQ72" s="19" t="s">
        <v>51</v>
      </c>
      <c r="BR72" s="17" t="s">
        <v>50</v>
      </c>
      <c r="BS72" s="17" t="s">
        <v>50</v>
      </c>
      <c r="BT72" s="17" t="s">
        <v>50</v>
      </c>
      <c r="BU72" s="19" t="s">
        <v>51</v>
      </c>
      <c r="BV72" s="19" t="s">
        <v>51</v>
      </c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</row>
    <row r="73" ht="16.5" customHeight="1">
      <c r="A73" s="31" t="s">
        <v>500</v>
      </c>
      <c r="B73" s="17" t="s">
        <v>501</v>
      </c>
      <c r="C73" s="16">
        <v>1.017925527E9</v>
      </c>
      <c r="D73" s="17" t="s">
        <v>127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36" t="s">
        <v>324</v>
      </c>
      <c r="P73" s="36" t="s">
        <v>324</v>
      </c>
      <c r="Q73" s="36" t="s">
        <v>324</v>
      </c>
      <c r="R73" s="36" t="s">
        <v>324</v>
      </c>
      <c r="S73" s="36" t="s">
        <v>324</v>
      </c>
      <c r="T73" s="36" t="s">
        <v>324</v>
      </c>
      <c r="U73" s="36" t="s">
        <v>324</v>
      </c>
      <c r="V73" s="36" t="s">
        <v>324</v>
      </c>
      <c r="W73" s="36" t="s">
        <v>324</v>
      </c>
      <c r="X73" s="36" t="s">
        <v>324</v>
      </c>
      <c r="Y73" s="36" t="s">
        <v>324</v>
      </c>
      <c r="Z73" s="36" t="s">
        <v>52</v>
      </c>
      <c r="AA73" s="36" t="s">
        <v>324</v>
      </c>
      <c r="AB73" s="36" t="s">
        <v>324</v>
      </c>
      <c r="AC73" s="36" t="s">
        <v>324</v>
      </c>
      <c r="AD73" s="36" t="s">
        <v>324</v>
      </c>
      <c r="AE73" s="36" t="s">
        <v>324</v>
      </c>
      <c r="AF73" s="36" t="s">
        <v>324</v>
      </c>
      <c r="AG73" s="18" t="s">
        <v>50</v>
      </c>
      <c r="AH73" s="36" t="s">
        <v>324</v>
      </c>
      <c r="AI73" s="36" t="s">
        <v>324</v>
      </c>
      <c r="AJ73" s="36" t="s">
        <v>324</v>
      </c>
      <c r="AK73" s="18" t="s">
        <v>50</v>
      </c>
      <c r="AL73" s="18" t="s">
        <v>50</v>
      </c>
      <c r="AM73" s="17" t="s">
        <v>325</v>
      </c>
      <c r="AN73" s="17" t="s">
        <v>325</v>
      </c>
      <c r="AO73" s="17" t="s">
        <v>325</v>
      </c>
      <c r="AP73" s="17" t="s">
        <v>325</v>
      </c>
      <c r="AQ73" s="17" t="s">
        <v>325</v>
      </c>
      <c r="AR73" s="17" t="s">
        <v>325</v>
      </c>
      <c r="AS73" s="17" t="s">
        <v>325</v>
      </c>
      <c r="AT73" s="17" t="s">
        <v>111</v>
      </c>
      <c r="AU73" s="17" t="s">
        <v>111</v>
      </c>
      <c r="AV73" s="17" t="s">
        <v>111</v>
      </c>
      <c r="AW73" s="17" t="s">
        <v>111</v>
      </c>
      <c r="AX73" s="17" t="s">
        <v>111</v>
      </c>
      <c r="AY73" s="17" t="s">
        <v>111</v>
      </c>
      <c r="AZ73" s="17" t="s">
        <v>111</v>
      </c>
      <c r="BA73" s="17" t="s">
        <v>111</v>
      </c>
      <c r="BB73" s="17" t="s">
        <v>111</v>
      </c>
      <c r="BC73" s="17" t="s">
        <v>111</v>
      </c>
      <c r="BD73" s="17" t="s">
        <v>111</v>
      </c>
      <c r="BE73" s="17" t="s">
        <v>111</v>
      </c>
      <c r="BF73" s="17" t="s">
        <v>111</v>
      </c>
      <c r="BG73" s="17" t="s">
        <v>111</v>
      </c>
      <c r="BH73" s="17" t="s">
        <v>111</v>
      </c>
      <c r="BI73" s="17" t="s">
        <v>111</v>
      </c>
      <c r="BJ73" s="17" t="s">
        <v>111</v>
      </c>
      <c r="BK73" s="17" t="s">
        <v>111</v>
      </c>
      <c r="BL73" s="17" t="s">
        <v>111</v>
      </c>
      <c r="BM73" s="17" t="s">
        <v>111</v>
      </c>
      <c r="BN73" s="17" t="s">
        <v>111</v>
      </c>
      <c r="BO73" s="17" t="s">
        <v>111</v>
      </c>
      <c r="BP73" s="17" t="s">
        <v>111</v>
      </c>
      <c r="BQ73" s="19" t="s">
        <v>51</v>
      </c>
      <c r="BR73" s="19" t="s">
        <v>329</v>
      </c>
      <c r="BS73" s="19" t="s">
        <v>51</v>
      </c>
      <c r="BT73" s="19" t="s">
        <v>51</v>
      </c>
      <c r="BU73" s="19" t="s">
        <v>51</v>
      </c>
      <c r="BV73" s="19" t="s">
        <v>329</v>
      </c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</row>
    <row r="74" ht="16.5" customHeight="1">
      <c r="A74" s="31" t="s">
        <v>502</v>
      </c>
      <c r="B74" s="17" t="s">
        <v>503</v>
      </c>
      <c r="C74" s="16">
        <v>1.027740864E9</v>
      </c>
      <c r="D74" s="17" t="s">
        <v>127</v>
      </c>
      <c r="E74" s="22"/>
      <c r="F74" s="19" t="s">
        <v>359</v>
      </c>
      <c r="G74" s="22"/>
      <c r="H74" s="22"/>
      <c r="I74" s="19" t="s">
        <v>360</v>
      </c>
      <c r="J74" s="22"/>
      <c r="K74" s="17" t="s">
        <v>51</v>
      </c>
      <c r="L74" s="22"/>
      <c r="M74" s="22"/>
      <c r="N74" s="19" t="s">
        <v>329</v>
      </c>
      <c r="O74" s="19" t="s">
        <v>329</v>
      </c>
      <c r="P74" s="18" t="s">
        <v>50</v>
      </c>
      <c r="Q74" s="18" t="s">
        <v>50</v>
      </c>
      <c r="R74" s="18" t="s">
        <v>50</v>
      </c>
      <c r="S74" s="19" t="s">
        <v>51</v>
      </c>
      <c r="T74" s="19" t="s">
        <v>51</v>
      </c>
      <c r="U74" s="18" t="s">
        <v>50</v>
      </c>
      <c r="V74" s="18" t="s">
        <v>50</v>
      </c>
      <c r="W74" s="18" t="s">
        <v>50</v>
      </c>
      <c r="X74" s="18" t="s">
        <v>51</v>
      </c>
      <c r="Y74" s="18" t="s">
        <v>50</v>
      </c>
      <c r="Z74" s="18" t="s">
        <v>51</v>
      </c>
      <c r="AA74" s="18" t="s">
        <v>50</v>
      </c>
      <c r="AB74" s="18" t="s">
        <v>50</v>
      </c>
      <c r="AC74" s="18" t="s">
        <v>50</v>
      </c>
      <c r="AD74" s="18" t="s">
        <v>50</v>
      </c>
      <c r="AE74" s="18" t="s">
        <v>51</v>
      </c>
      <c r="AF74" s="18" t="s">
        <v>50</v>
      </c>
      <c r="AG74" s="18" t="s">
        <v>50</v>
      </c>
      <c r="AH74" s="18" t="s">
        <v>50</v>
      </c>
      <c r="AI74" s="18" t="s">
        <v>50</v>
      </c>
      <c r="AJ74" s="18" t="s">
        <v>50</v>
      </c>
      <c r="AK74" s="18" t="s">
        <v>51</v>
      </c>
      <c r="AL74" s="18" t="s">
        <v>329</v>
      </c>
      <c r="AM74" s="17" t="s">
        <v>50</v>
      </c>
      <c r="AN74" s="17" t="s">
        <v>50</v>
      </c>
      <c r="AO74" s="17" t="s">
        <v>50</v>
      </c>
      <c r="AP74" s="17" t="s">
        <v>50</v>
      </c>
      <c r="AQ74" s="17" t="s">
        <v>329</v>
      </c>
      <c r="AR74" s="17" t="s">
        <v>329</v>
      </c>
      <c r="AS74" s="17" t="s">
        <v>50</v>
      </c>
      <c r="AT74" s="19" t="s">
        <v>329</v>
      </c>
      <c r="AU74" s="17" t="s">
        <v>111</v>
      </c>
      <c r="AV74" s="17" t="s">
        <v>111</v>
      </c>
      <c r="AW74" s="17" t="s">
        <v>111</v>
      </c>
      <c r="AX74" s="19" t="s">
        <v>360</v>
      </c>
      <c r="AY74" s="17" t="s">
        <v>111</v>
      </c>
      <c r="AZ74" s="17" t="s">
        <v>111</v>
      </c>
      <c r="BA74" s="17" t="s">
        <v>111</v>
      </c>
      <c r="BB74" s="17" t="s">
        <v>111</v>
      </c>
      <c r="BC74" s="19" t="s">
        <v>51</v>
      </c>
      <c r="BD74" s="17" t="s">
        <v>50</v>
      </c>
      <c r="BE74" s="17" t="s">
        <v>50</v>
      </c>
      <c r="BF74" s="18" t="s">
        <v>329</v>
      </c>
      <c r="BG74" s="18" t="s">
        <v>329</v>
      </c>
      <c r="BH74" s="18" t="s">
        <v>329</v>
      </c>
      <c r="BI74" s="17" t="s">
        <v>50</v>
      </c>
      <c r="BJ74" s="17" t="s">
        <v>50</v>
      </c>
      <c r="BK74" s="18" t="s">
        <v>329</v>
      </c>
      <c r="BL74" s="17" t="s">
        <v>50</v>
      </c>
      <c r="BM74" s="17" t="s">
        <v>50</v>
      </c>
      <c r="BN74" s="17" t="s">
        <v>50</v>
      </c>
      <c r="BO74" s="19" t="s">
        <v>329</v>
      </c>
      <c r="BP74" s="19" t="s">
        <v>329</v>
      </c>
      <c r="BQ74" s="19" t="s">
        <v>329</v>
      </c>
      <c r="BR74" s="17" t="s">
        <v>50</v>
      </c>
      <c r="BS74" s="19" t="s">
        <v>329</v>
      </c>
      <c r="BT74" s="19" t="s">
        <v>329</v>
      </c>
      <c r="BU74" s="19" t="s">
        <v>329</v>
      </c>
      <c r="BV74" s="17" t="s">
        <v>50</v>
      </c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</row>
    <row r="75" ht="16.5" customHeight="1">
      <c r="A75" s="31" t="s">
        <v>504</v>
      </c>
      <c r="B75" s="17" t="s">
        <v>505</v>
      </c>
      <c r="C75" s="16">
        <v>1.000444914E9</v>
      </c>
      <c r="D75" s="17" t="s">
        <v>127</v>
      </c>
      <c r="E75" s="22"/>
      <c r="F75" s="19" t="s">
        <v>402</v>
      </c>
      <c r="G75" s="19" t="s">
        <v>50</v>
      </c>
      <c r="H75" s="19" t="s">
        <v>329</v>
      </c>
      <c r="I75" s="22"/>
      <c r="J75" s="19" t="s">
        <v>329</v>
      </c>
      <c r="K75" s="22"/>
      <c r="L75" s="19" t="s">
        <v>329</v>
      </c>
      <c r="M75" s="22"/>
      <c r="N75" s="19" t="s">
        <v>329</v>
      </c>
      <c r="O75" s="18" t="s">
        <v>50</v>
      </c>
      <c r="P75" s="18" t="s">
        <v>50</v>
      </c>
      <c r="Q75" s="19" t="s">
        <v>51</v>
      </c>
      <c r="R75" s="19" t="s">
        <v>51</v>
      </c>
      <c r="S75" s="18" t="s">
        <v>50</v>
      </c>
      <c r="T75" s="18" t="s">
        <v>50</v>
      </c>
      <c r="U75" s="18" t="s">
        <v>50</v>
      </c>
      <c r="V75" s="18" t="s">
        <v>50</v>
      </c>
      <c r="W75" s="18" t="s">
        <v>51</v>
      </c>
      <c r="X75" s="18" t="s">
        <v>50</v>
      </c>
      <c r="Y75" s="18" t="s">
        <v>50</v>
      </c>
      <c r="Z75" s="18" t="s">
        <v>52</v>
      </c>
      <c r="AA75" s="18" t="s">
        <v>50</v>
      </c>
      <c r="AB75" s="18" t="s">
        <v>50</v>
      </c>
      <c r="AC75" s="18" t="s">
        <v>50</v>
      </c>
      <c r="AD75" s="18" t="s">
        <v>50</v>
      </c>
      <c r="AE75" s="18" t="s">
        <v>329</v>
      </c>
      <c r="AF75" s="18" t="s">
        <v>50</v>
      </c>
      <c r="AG75" s="18" t="s">
        <v>329</v>
      </c>
      <c r="AH75" s="18" t="s">
        <v>50</v>
      </c>
      <c r="AI75" s="18" t="s">
        <v>50</v>
      </c>
      <c r="AJ75" s="18" t="s">
        <v>50</v>
      </c>
      <c r="AK75" s="18" t="s">
        <v>50</v>
      </c>
      <c r="AL75" s="18" t="s">
        <v>50</v>
      </c>
      <c r="AM75" s="17" t="s">
        <v>329</v>
      </c>
      <c r="AN75" s="17" t="s">
        <v>329</v>
      </c>
      <c r="AO75" s="17" t="s">
        <v>50</v>
      </c>
      <c r="AP75" s="17" t="s">
        <v>50</v>
      </c>
      <c r="AQ75" s="17" t="s">
        <v>50</v>
      </c>
      <c r="AR75" s="17" t="s">
        <v>50</v>
      </c>
      <c r="AS75" s="17" t="s">
        <v>50</v>
      </c>
      <c r="AT75" s="17" t="s">
        <v>111</v>
      </c>
      <c r="AU75" s="19" t="s">
        <v>402</v>
      </c>
      <c r="AV75" s="19" t="s">
        <v>329</v>
      </c>
      <c r="AW75" s="19" t="s">
        <v>329</v>
      </c>
      <c r="AX75" s="17" t="s">
        <v>111</v>
      </c>
      <c r="AY75" s="19" t="s">
        <v>329</v>
      </c>
      <c r="AZ75" s="17" t="s">
        <v>50</v>
      </c>
      <c r="BA75" s="19" t="s">
        <v>329</v>
      </c>
      <c r="BB75" s="17" t="s">
        <v>111</v>
      </c>
      <c r="BC75" s="19" t="s">
        <v>329</v>
      </c>
      <c r="BD75" s="17" t="s">
        <v>50</v>
      </c>
      <c r="BE75" s="17" t="s">
        <v>50</v>
      </c>
      <c r="BF75" s="17" t="s">
        <v>50</v>
      </c>
      <c r="BG75" s="17" t="s">
        <v>50</v>
      </c>
      <c r="BH75" s="17" t="s">
        <v>50</v>
      </c>
      <c r="BI75" s="17" t="s">
        <v>50</v>
      </c>
      <c r="BJ75" s="17" t="s">
        <v>50</v>
      </c>
      <c r="BK75" s="19" t="s">
        <v>329</v>
      </c>
      <c r="BL75" s="19" t="s">
        <v>329</v>
      </c>
      <c r="BM75" s="17" t="s">
        <v>50</v>
      </c>
      <c r="BN75" s="17" t="s">
        <v>50</v>
      </c>
      <c r="BO75" s="17" t="s">
        <v>50</v>
      </c>
      <c r="BP75" s="17" t="s">
        <v>50</v>
      </c>
      <c r="BQ75" s="17" t="s">
        <v>50</v>
      </c>
      <c r="BR75" s="17" t="s">
        <v>50</v>
      </c>
      <c r="BS75" s="17" t="s">
        <v>50</v>
      </c>
      <c r="BT75" s="17" t="s">
        <v>50</v>
      </c>
      <c r="BU75" s="17" t="s">
        <v>50</v>
      </c>
      <c r="BV75" s="17" t="s">
        <v>50</v>
      </c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</row>
    <row r="76" ht="16.5" customHeight="1">
      <c r="A76" s="14" t="s">
        <v>506</v>
      </c>
      <c r="B76" s="17" t="s">
        <v>507</v>
      </c>
      <c r="C76" s="16">
        <v>1.022003649E9</v>
      </c>
      <c r="D76" s="17" t="s">
        <v>124</v>
      </c>
      <c r="E76" s="22"/>
      <c r="F76" s="22"/>
      <c r="G76" s="22"/>
      <c r="H76" s="22"/>
      <c r="I76" s="19" t="s">
        <v>329</v>
      </c>
      <c r="J76" s="22"/>
      <c r="K76" s="19" t="s">
        <v>334</v>
      </c>
      <c r="L76" s="22"/>
      <c r="M76" s="19" t="s">
        <v>391</v>
      </c>
      <c r="N76" s="22"/>
      <c r="O76" s="19" t="s">
        <v>51</v>
      </c>
      <c r="P76" s="18" t="s">
        <v>50</v>
      </c>
      <c r="Q76" s="18" t="s">
        <v>50</v>
      </c>
      <c r="R76" s="18" t="s">
        <v>50</v>
      </c>
      <c r="S76" s="19" t="s">
        <v>51</v>
      </c>
      <c r="T76" s="19" t="s">
        <v>51</v>
      </c>
      <c r="U76" s="18" t="s">
        <v>50</v>
      </c>
      <c r="V76" s="18" t="s">
        <v>50</v>
      </c>
      <c r="W76" s="18" t="s">
        <v>50</v>
      </c>
      <c r="X76" s="18" t="s">
        <v>51</v>
      </c>
      <c r="Y76" s="18" t="s">
        <v>51</v>
      </c>
      <c r="Z76" s="18" t="s">
        <v>50</v>
      </c>
      <c r="AA76" s="18" t="s">
        <v>50</v>
      </c>
      <c r="AB76" s="18" t="s">
        <v>50</v>
      </c>
      <c r="AC76" s="18" t="s">
        <v>50</v>
      </c>
      <c r="AD76" s="18" t="s">
        <v>50</v>
      </c>
      <c r="AE76" s="18" t="s">
        <v>50</v>
      </c>
      <c r="AF76" s="18" t="s">
        <v>50</v>
      </c>
      <c r="AG76" s="18" t="s">
        <v>50</v>
      </c>
      <c r="AH76" s="18" t="s">
        <v>50</v>
      </c>
      <c r="AI76" s="18" t="s">
        <v>50</v>
      </c>
      <c r="AJ76" s="18" t="s">
        <v>50</v>
      </c>
      <c r="AK76" s="18" t="s">
        <v>50</v>
      </c>
      <c r="AL76" s="18" t="s">
        <v>50</v>
      </c>
      <c r="AM76" s="17" t="s">
        <v>50</v>
      </c>
      <c r="AN76" s="17" t="s">
        <v>50</v>
      </c>
      <c r="AO76" s="17" t="s">
        <v>50</v>
      </c>
      <c r="AP76" s="17" t="s">
        <v>50</v>
      </c>
      <c r="AQ76" s="17" t="s">
        <v>50</v>
      </c>
      <c r="AR76" s="17" t="s">
        <v>50</v>
      </c>
      <c r="AS76" s="17" t="s">
        <v>50</v>
      </c>
      <c r="AT76" s="17" t="s">
        <v>111</v>
      </c>
      <c r="AU76" s="17" t="s">
        <v>111</v>
      </c>
      <c r="AV76" s="17" t="s">
        <v>111</v>
      </c>
      <c r="AW76" s="17" t="s">
        <v>111</v>
      </c>
      <c r="AX76" s="19" t="s">
        <v>329</v>
      </c>
      <c r="AY76" s="17" t="s">
        <v>111</v>
      </c>
      <c r="AZ76" s="17" t="s">
        <v>111</v>
      </c>
      <c r="BA76" s="17" t="s">
        <v>111</v>
      </c>
      <c r="BB76" s="19" t="s">
        <v>329</v>
      </c>
      <c r="BC76" s="17" t="s">
        <v>50</v>
      </c>
      <c r="BD76" s="17" t="s">
        <v>50</v>
      </c>
      <c r="BE76" s="17" t="s">
        <v>50</v>
      </c>
      <c r="BF76" s="17" t="s">
        <v>50</v>
      </c>
      <c r="BG76" s="17" t="s">
        <v>50</v>
      </c>
      <c r="BH76" s="18" t="s">
        <v>329</v>
      </c>
      <c r="BI76" s="18" t="s">
        <v>329</v>
      </c>
      <c r="BJ76" s="17" t="s">
        <v>50</v>
      </c>
      <c r="BK76" s="17" t="s">
        <v>50</v>
      </c>
      <c r="BL76" s="17" t="s">
        <v>50</v>
      </c>
      <c r="BM76" s="19" t="s">
        <v>329</v>
      </c>
      <c r="BN76" s="19" t="s">
        <v>329</v>
      </c>
      <c r="BO76" s="17" t="s">
        <v>50</v>
      </c>
      <c r="BP76" s="17" t="s">
        <v>50</v>
      </c>
      <c r="BQ76" s="17" t="s">
        <v>50</v>
      </c>
      <c r="BR76" s="19" t="s">
        <v>329</v>
      </c>
      <c r="BS76" s="17" t="s">
        <v>50</v>
      </c>
      <c r="BT76" s="17" t="s">
        <v>50</v>
      </c>
      <c r="BU76" s="19" t="s">
        <v>329</v>
      </c>
      <c r="BV76" s="19" t="s">
        <v>329</v>
      </c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</row>
    <row r="77" ht="16.5" customHeight="1">
      <c r="A77" s="83"/>
      <c r="B77" s="81" t="s">
        <v>408</v>
      </c>
      <c r="C77" s="84"/>
      <c r="D77" s="84"/>
      <c r="E77" s="18">
        <f t="shared" ref="E77:BC77" si="1">COUNTIF(E3:E76,"*TENIS*")</f>
        <v>16</v>
      </c>
      <c r="F77" s="18">
        <f t="shared" si="1"/>
        <v>6</v>
      </c>
      <c r="G77" s="18">
        <f t="shared" si="1"/>
        <v>13</v>
      </c>
      <c r="H77" s="93">
        <f t="shared" si="1"/>
        <v>10</v>
      </c>
      <c r="I77" s="18">
        <f t="shared" si="1"/>
        <v>15</v>
      </c>
      <c r="J77" s="18">
        <f t="shared" si="1"/>
        <v>11</v>
      </c>
      <c r="K77" s="18">
        <f t="shared" si="1"/>
        <v>16</v>
      </c>
      <c r="L77" s="18">
        <f t="shared" si="1"/>
        <v>9</v>
      </c>
      <c r="M77" s="18">
        <f t="shared" si="1"/>
        <v>13</v>
      </c>
      <c r="N77" s="93">
        <f t="shared" si="1"/>
        <v>5</v>
      </c>
      <c r="O77" s="18">
        <f t="shared" si="1"/>
        <v>23</v>
      </c>
      <c r="P77" s="18">
        <f t="shared" si="1"/>
        <v>9</v>
      </c>
      <c r="Q77" s="18">
        <f t="shared" si="1"/>
        <v>9</v>
      </c>
      <c r="R77" s="18">
        <f t="shared" si="1"/>
        <v>10</v>
      </c>
      <c r="S77" s="18">
        <f t="shared" si="1"/>
        <v>9</v>
      </c>
      <c r="T77" s="18">
        <f t="shared" si="1"/>
        <v>12</v>
      </c>
      <c r="U77" s="18">
        <f t="shared" si="1"/>
        <v>7</v>
      </c>
      <c r="V77" s="18">
        <f t="shared" si="1"/>
        <v>9</v>
      </c>
      <c r="W77" s="18">
        <f t="shared" si="1"/>
        <v>12</v>
      </c>
      <c r="X77" s="18">
        <f t="shared" si="1"/>
        <v>11</v>
      </c>
      <c r="Y77" s="18">
        <f t="shared" si="1"/>
        <v>9</v>
      </c>
      <c r="Z77" s="18">
        <f t="shared" si="1"/>
        <v>14</v>
      </c>
      <c r="AA77" s="18">
        <f t="shared" si="1"/>
        <v>12</v>
      </c>
      <c r="AB77" s="42">
        <f t="shared" si="1"/>
        <v>9</v>
      </c>
      <c r="AC77" s="42">
        <f t="shared" si="1"/>
        <v>9</v>
      </c>
      <c r="AD77" s="42">
        <f t="shared" si="1"/>
        <v>7</v>
      </c>
      <c r="AE77" s="42">
        <f t="shared" si="1"/>
        <v>10</v>
      </c>
      <c r="AF77" s="42">
        <f t="shared" si="1"/>
        <v>9</v>
      </c>
      <c r="AG77" s="42">
        <f t="shared" si="1"/>
        <v>12</v>
      </c>
      <c r="AH77" s="58">
        <f t="shared" si="1"/>
        <v>10</v>
      </c>
      <c r="AI77" s="58">
        <f t="shared" si="1"/>
        <v>10</v>
      </c>
      <c r="AJ77" s="58">
        <f t="shared" si="1"/>
        <v>9</v>
      </c>
      <c r="AK77" s="58">
        <f t="shared" si="1"/>
        <v>8</v>
      </c>
      <c r="AL77" s="18">
        <f t="shared" si="1"/>
        <v>11</v>
      </c>
      <c r="AM77" s="42">
        <f t="shared" si="1"/>
        <v>14</v>
      </c>
      <c r="AN77" s="42">
        <f t="shared" si="1"/>
        <v>11</v>
      </c>
      <c r="AO77" s="58">
        <f t="shared" si="1"/>
        <v>11</v>
      </c>
      <c r="AP77" s="58">
        <f t="shared" si="1"/>
        <v>11</v>
      </c>
      <c r="AQ77" s="58">
        <f t="shared" si="1"/>
        <v>13</v>
      </c>
      <c r="AR77" s="58">
        <f t="shared" si="1"/>
        <v>11</v>
      </c>
      <c r="AS77" s="58">
        <f t="shared" si="1"/>
        <v>12</v>
      </c>
      <c r="AT77" s="94">
        <f t="shared" si="1"/>
        <v>17</v>
      </c>
      <c r="AU77" s="94">
        <f t="shared" si="1"/>
        <v>10</v>
      </c>
      <c r="AV77" s="94">
        <f t="shared" si="1"/>
        <v>15</v>
      </c>
      <c r="AW77" s="94">
        <f t="shared" si="1"/>
        <v>11</v>
      </c>
      <c r="AX77" s="94">
        <f t="shared" si="1"/>
        <v>19</v>
      </c>
      <c r="AY77" s="94">
        <f t="shared" si="1"/>
        <v>11</v>
      </c>
      <c r="AZ77" s="94">
        <f t="shared" si="1"/>
        <v>16</v>
      </c>
      <c r="BA77" s="93">
        <f t="shared" si="1"/>
        <v>8</v>
      </c>
      <c r="BB77" s="94">
        <f t="shared" si="1"/>
        <v>15</v>
      </c>
      <c r="BC77" s="94">
        <f t="shared" si="1"/>
        <v>13</v>
      </c>
      <c r="BD77" s="42">
        <f t="shared" ref="BD77:CH77" si="2">COUNTIF(BD3:BD76,"*ASISTE TENIS*")</f>
        <v>8</v>
      </c>
      <c r="BE77" s="42">
        <f t="shared" si="2"/>
        <v>8</v>
      </c>
      <c r="BF77" s="42">
        <f t="shared" si="2"/>
        <v>6</v>
      </c>
      <c r="BG77" s="42">
        <f t="shared" si="2"/>
        <v>8</v>
      </c>
      <c r="BH77" s="42">
        <f t="shared" si="2"/>
        <v>7</v>
      </c>
      <c r="BI77" s="42">
        <f t="shared" si="2"/>
        <v>12</v>
      </c>
      <c r="BJ77" s="42">
        <f t="shared" si="2"/>
        <v>11</v>
      </c>
      <c r="BK77" s="94">
        <f t="shared" si="2"/>
        <v>11</v>
      </c>
      <c r="BL77" s="94">
        <f t="shared" si="2"/>
        <v>13</v>
      </c>
      <c r="BM77" s="94">
        <f t="shared" si="2"/>
        <v>11</v>
      </c>
      <c r="BN77" s="42">
        <f t="shared" si="2"/>
        <v>12</v>
      </c>
      <c r="BO77" s="94">
        <f t="shared" si="2"/>
        <v>12</v>
      </c>
      <c r="BP77" s="94">
        <f t="shared" si="2"/>
        <v>14</v>
      </c>
      <c r="BQ77" s="94">
        <f t="shared" si="2"/>
        <v>12</v>
      </c>
      <c r="BR77" s="94">
        <f t="shared" si="2"/>
        <v>14</v>
      </c>
      <c r="BS77" s="94">
        <f t="shared" si="2"/>
        <v>12</v>
      </c>
      <c r="BT77" s="94">
        <f t="shared" si="2"/>
        <v>16</v>
      </c>
      <c r="BU77" s="94">
        <f t="shared" si="2"/>
        <v>20</v>
      </c>
      <c r="BV77" s="94">
        <f t="shared" si="2"/>
        <v>14</v>
      </c>
      <c r="BW77" s="42">
        <f t="shared" si="2"/>
        <v>2</v>
      </c>
      <c r="BX77" s="42">
        <f t="shared" si="2"/>
        <v>5</v>
      </c>
      <c r="BY77" s="42">
        <f t="shared" si="2"/>
        <v>4</v>
      </c>
      <c r="BZ77" s="42">
        <f t="shared" si="2"/>
        <v>6</v>
      </c>
      <c r="CA77" s="42">
        <f t="shared" si="2"/>
        <v>6</v>
      </c>
      <c r="CB77" s="42">
        <f t="shared" si="2"/>
        <v>2</v>
      </c>
      <c r="CC77" s="42">
        <f t="shared" si="2"/>
        <v>5</v>
      </c>
      <c r="CD77" s="42">
        <f t="shared" si="2"/>
        <v>4</v>
      </c>
      <c r="CE77" s="42">
        <f t="shared" si="2"/>
        <v>6</v>
      </c>
      <c r="CF77" s="42">
        <f t="shared" si="2"/>
        <v>2</v>
      </c>
      <c r="CG77" s="42">
        <f t="shared" si="2"/>
        <v>5</v>
      </c>
      <c r="CH77" s="42">
        <f t="shared" si="2"/>
        <v>5</v>
      </c>
      <c r="CI77" s="42"/>
      <c r="CJ77" s="42"/>
      <c r="CK77" s="42"/>
      <c r="CL77" s="42"/>
      <c r="CM77" s="42"/>
      <c r="CN77" s="42">
        <f t="shared" ref="CN77:CW77" si="3">COUNTIF(CN3:CN76,"*ASISTE TENIS*")</f>
        <v>0</v>
      </c>
      <c r="CO77" s="42">
        <f t="shared" si="3"/>
        <v>0</v>
      </c>
      <c r="CP77" s="42">
        <f t="shared" si="3"/>
        <v>0</v>
      </c>
      <c r="CQ77" s="42">
        <f t="shared" si="3"/>
        <v>0</v>
      </c>
      <c r="CR77" s="42">
        <f t="shared" si="3"/>
        <v>0</v>
      </c>
      <c r="CS77" s="42">
        <f t="shared" si="3"/>
        <v>0</v>
      </c>
      <c r="CT77" s="42">
        <f t="shared" si="3"/>
        <v>0</v>
      </c>
      <c r="CU77" s="42">
        <f t="shared" si="3"/>
        <v>0</v>
      </c>
      <c r="CV77" s="42">
        <f t="shared" si="3"/>
        <v>0</v>
      </c>
      <c r="CW77" s="42">
        <f t="shared" si="3"/>
        <v>0</v>
      </c>
    </row>
    <row r="78" ht="16.5" customHeight="1">
      <c r="A78" s="83"/>
      <c r="B78" s="81" t="s">
        <v>413</v>
      </c>
      <c r="C78" s="84"/>
      <c r="D78" s="84"/>
      <c r="E78" s="18">
        <f t="shared" ref="E78:CH78" si="4">COUNTIF(E3:E76,"*jugador*")</f>
        <v>4</v>
      </c>
      <c r="F78" s="18">
        <f t="shared" si="4"/>
        <v>4</v>
      </c>
      <c r="G78" s="18">
        <f t="shared" si="4"/>
        <v>4</v>
      </c>
      <c r="H78" s="18">
        <f t="shared" si="4"/>
        <v>2</v>
      </c>
      <c r="I78" s="18">
        <f t="shared" si="4"/>
        <v>3</v>
      </c>
      <c r="J78" s="18">
        <f t="shared" si="4"/>
        <v>3</v>
      </c>
      <c r="K78" s="18">
        <f t="shared" si="4"/>
        <v>3</v>
      </c>
      <c r="L78" s="18">
        <f t="shared" si="4"/>
        <v>3</v>
      </c>
      <c r="M78" s="18">
        <f t="shared" si="4"/>
        <v>4</v>
      </c>
      <c r="N78" s="18">
        <f t="shared" si="4"/>
        <v>3</v>
      </c>
      <c r="O78" s="18">
        <f t="shared" si="4"/>
        <v>4</v>
      </c>
      <c r="P78" s="18">
        <f t="shared" si="4"/>
        <v>4</v>
      </c>
      <c r="Q78" s="18">
        <f t="shared" si="4"/>
        <v>3</v>
      </c>
      <c r="R78" s="18">
        <f t="shared" si="4"/>
        <v>3</v>
      </c>
      <c r="S78" s="18">
        <f t="shared" si="4"/>
        <v>3</v>
      </c>
      <c r="T78" s="18">
        <f t="shared" si="4"/>
        <v>3</v>
      </c>
      <c r="U78" s="18">
        <f t="shared" si="4"/>
        <v>3</v>
      </c>
      <c r="V78" s="18">
        <f t="shared" si="4"/>
        <v>3</v>
      </c>
      <c r="W78" s="18">
        <f t="shared" si="4"/>
        <v>3</v>
      </c>
      <c r="X78" s="18">
        <f t="shared" si="4"/>
        <v>2</v>
      </c>
      <c r="Y78" s="18">
        <f t="shared" si="4"/>
        <v>3</v>
      </c>
      <c r="Z78" s="18">
        <f t="shared" si="4"/>
        <v>1</v>
      </c>
      <c r="AA78" s="18">
        <f t="shared" si="4"/>
        <v>3</v>
      </c>
      <c r="AB78" s="42">
        <f t="shared" si="4"/>
        <v>2</v>
      </c>
      <c r="AC78" s="42">
        <f t="shared" si="4"/>
        <v>3</v>
      </c>
      <c r="AD78" s="42">
        <f t="shared" si="4"/>
        <v>2</v>
      </c>
      <c r="AE78" s="42">
        <f t="shared" si="4"/>
        <v>3</v>
      </c>
      <c r="AF78" s="42">
        <f t="shared" si="4"/>
        <v>2</v>
      </c>
      <c r="AG78" s="42">
        <f t="shared" si="4"/>
        <v>3</v>
      </c>
      <c r="AH78" s="58">
        <f t="shared" si="4"/>
        <v>3</v>
      </c>
      <c r="AI78" s="58">
        <f t="shared" si="4"/>
        <v>2</v>
      </c>
      <c r="AJ78" s="58">
        <f t="shared" si="4"/>
        <v>3</v>
      </c>
      <c r="AK78" s="58">
        <f t="shared" si="4"/>
        <v>3</v>
      </c>
      <c r="AL78" s="18">
        <f t="shared" si="4"/>
        <v>2</v>
      </c>
      <c r="AM78" s="42">
        <f t="shared" si="4"/>
        <v>6</v>
      </c>
      <c r="AN78" s="42">
        <f t="shared" si="4"/>
        <v>5</v>
      </c>
      <c r="AO78" s="58">
        <f t="shared" si="4"/>
        <v>4</v>
      </c>
      <c r="AP78" s="58">
        <f t="shared" si="4"/>
        <v>4</v>
      </c>
      <c r="AQ78" s="58">
        <f t="shared" si="4"/>
        <v>2</v>
      </c>
      <c r="AR78" s="58">
        <f t="shared" si="4"/>
        <v>2</v>
      </c>
      <c r="AS78" s="58">
        <f t="shared" si="4"/>
        <v>3</v>
      </c>
      <c r="AT78" s="18">
        <f t="shared" si="4"/>
        <v>4</v>
      </c>
      <c r="AU78" s="42">
        <f t="shared" si="4"/>
        <v>4</v>
      </c>
      <c r="AV78" s="42">
        <f t="shared" si="4"/>
        <v>4</v>
      </c>
      <c r="AW78" s="42">
        <f t="shared" si="4"/>
        <v>4</v>
      </c>
      <c r="AX78" s="42">
        <f t="shared" si="4"/>
        <v>4</v>
      </c>
      <c r="AY78" s="42">
        <f t="shared" si="4"/>
        <v>2</v>
      </c>
      <c r="AZ78" s="42">
        <f t="shared" si="4"/>
        <v>4</v>
      </c>
      <c r="BA78" s="42">
        <f t="shared" si="4"/>
        <v>3</v>
      </c>
      <c r="BB78" s="42">
        <f t="shared" si="4"/>
        <v>4</v>
      </c>
      <c r="BC78" s="94">
        <f t="shared" si="4"/>
        <v>3</v>
      </c>
      <c r="BD78" s="42">
        <f t="shared" si="4"/>
        <v>4</v>
      </c>
      <c r="BE78" s="42">
        <f t="shared" si="4"/>
        <v>1</v>
      </c>
      <c r="BF78" s="42">
        <f t="shared" si="4"/>
        <v>2</v>
      </c>
      <c r="BG78" s="42">
        <f t="shared" si="4"/>
        <v>3</v>
      </c>
      <c r="BH78" s="42">
        <f t="shared" si="4"/>
        <v>5</v>
      </c>
      <c r="BI78" s="42">
        <f t="shared" si="4"/>
        <v>4</v>
      </c>
      <c r="BJ78" s="42">
        <f t="shared" si="4"/>
        <v>3</v>
      </c>
      <c r="BK78" s="94">
        <f t="shared" si="4"/>
        <v>5</v>
      </c>
      <c r="BL78" s="94">
        <f t="shared" si="4"/>
        <v>5</v>
      </c>
      <c r="BM78" s="94">
        <f t="shared" si="4"/>
        <v>4</v>
      </c>
      <c r="BN78" s="94">
        <f t="shared" si="4"/>
        <v>4</v>
      </c>
      <c r="BO78" s="94">
        <f t="shared" si="4"/>
        <v>4</v>
      </c>
      <c r="BP78" s="94">
        <f t="shared" si="4"/>
        <v>4</v>
      </c>
      <c r="BQ78" s="94">
        <f t="shared" si="4"/>
        <v>4</v>
      </c>
      <c r="BR78" s="94">
        <f t="shared" si="4"/>
        <v>4</v>
      </c>
      <c r="BS78" s="94">
        <f t="shared" si="4"/>
        <v>4</v>
      </c>
      <c r="BT78" s="94">
        <f t="shared" si="4"/>
        <v>4</v>
      </c>
      <c r="BU78" s="94">
        <f t="shared" si="4"/>
        <v>5</v>
      </c>
      <c r="BV78" s="94">
        <f t="shared" si="4"/>
        <v>4</v>
      </c>
      <c r="BW78" s="42">
        <f t="shared" si="4"/>
        <v>0</v>
      </c>
      <c r="BX78" s="42">
        <f t="shared" si="4"/>
        <v>0</v>
      </c>
      <c r="BY78" s="42">
        <f t="shared" si="4"/>
        <v>0</v>
      </c>
      <c r="BZ78" s="42">
        <f t="shared" si="4"/>
        <v>1</v>
      </c>
      <c r="CA78" s="42">
        <f t="shared" si="4"/>
        <v>0</v>
      </c>
      <c r="CB78" s="42">
        <f t="shared" si="4"/>
        <v>0</v>
      </c>
      <c r="CC78" s="42">
        <f t="shared" si="4"/>
        <v>1</v>
      </c>
      <c r="CD78" s="42">
        <f t="shared" si="4"/>
        <v>0</v>
      </c>
      <c r="CE78" s="42">
        <f t="shared" si="4"/>
        <v>1</v>
      </c>
      <c r="CF78" s="42">
        <f t="shared" si="4"/>
        <v>0</v>
      </c>
      <c r="CG78" s="42">
        <f t="shared" si="4"/>
        <v>0</v>
      </c>
      <c r="CH78" s="42">
        <f t="shared" si="4"/>
        <v>0</v>
      </c>
      <c r="CI78" s="42"/>
      <c r="CJ78" s="42"/>
      <c r="CK78" s="42"/>
      <c r="CL78" s="42"/>
      <c r="CM78" s="42"/>
      <c r="CN78" s="42">
        <f t="shared" ref="CN78:CW78" si="5">COUNTIF(CN3:CN76,"*jugador*")</f>
        <v>0</v>
      </c>
      <c r="CO78" s="42">
        <f t="shared" si="5"/>
        <v>0</v>
      </c>
      <c r="CP78" s="42">
        <f t="shared" si="5"/>
        <v>0</v>
      </c>
      <c r="CQ78" s="42">
        <f t="shared" si="5"/>
        <v>0</v>
      </c>
      <c r="CR78" s="42">
        <f t="shared" si="5"/>
        <v>0</v>
      </c>
      <c r="CS78" s="42">
        <f t="shared" si="5"/>
        <v>0</v>
      </c>
      <c r="CT78" s="42">
        <f t="shared" si="5"/>
        <v>0</v>
      </c>
      <c r="CU78" s="42">
        <f t="shared" si="5"/>
        <v>0</v>
      </c>
      <c r="CV78" s="42">
        <f t="shared" si="5"/>
        <v>0</v>
      </c>
      <c r="CW78" s="42">
        <f t="shared" si="5"/>
        <v>0</v>
      </c>
    </row>
    <row r="79" ht="16.5" customHeight="1">
      <c r="A79" s="83"/>
      <c r="B79" s="87" t="s">
        <v>417</v>
      </c>
      <c r="C79" s="84"/>
      <c r="D79" s="84"/>
      <c r="E79" s="18">
        <v>0.0</v>
      </c>
      <c r="F79" s="18">
        <v>0.0</v>
      </c>
      <c r="G79" s="18">
        <v>0.0</v>
      </c>
      <c r="H79" s="18">
        <v>0.0</v>
      </c>
      <c r="I79" s="18">
        <v>0.0</v>
      </c>
      <c r="J79" s="18">
        <v>0.0</v>
      </c>
      <c r="K79" s="18">
        <v>0.0</v>
      </c>
      <c r="L79" s="18">
        <v>0.0</v>
      </c>
      <c r="M79" s="18">
        <v>0.0</v>
      </c>
      <c r="N79" s="18">
        <v>0.0</v>
      </c>
      <c r="O79" s="18">
        <f t="shared" ref="O79:CH79" si="6">COUNTIF(O3:O76,"*FIJO T*")</f>
        <v>6</v>
      </c>
      <c r="P79" s="18">
        <f t="shared" si="6"/>
        <v>2</v>
      </c>
      <c r="Q79" s="18">
        <f t="shared" si="6"/>
        <v>7</v>
      </c>
      <c r="R79" s="18">
        <f t="shared" si="6"/>
        <v>2</v>
      </c>
      <c r="S79" s="18">
        <f t="shared" si="6"/>
        <v>6</v>
      </c>
      <c r="T79" s="18">
        <f t="shared" si="6"/>
        <v>2</v>
      </c>
      <c r="U79" s="18">
        <f t="shared" si="6"/>
        <v>7</v>
      </c>
      <c r="V79" s="18">
        <f t="shared" si="6"/>
        <v>2</v>
      </c>
      <c r="W79" s="18">
        <f t="shared" si="6"/>
        <v>0</v>
      </c>
      <c r="X79" s="18">
        <f t="shared" si="6"/>
        <v>5</v>
      </c>
      <c r="Y79" s="18">
        <f t="shared" si="6"/>
        <v>2</v>
      </c>
      <c r="Z79" s="18">
        <f t="shared" si="6"/>
        <v>4</v>
      </c>
      <c r="AA79" s="18">
        <f t="shared" si="6"/>
        <v>2</v>
      </c>
      <c r="AB79" s="42">
        <f t="shared" si="6"/>
        <v>5</v>
      </c>
      <c r="AC79" s="42">
        <f t="shared" si="6"/>
        <v>2</v>
      </c>
      <c r="AD79" s="42">
        <f t="shared" si="6"/>
        <v>3</v>
      </c>
      <c r="AE79" s="42">
        <f t="shared" si="6"/>
        <v>4</v>
      </c>
      <c r="AF79" s="42">
        <f t="shared" si="6"/>
        <v>3</v>
      </c>
      <c r="AG79" s="42">
        <f t="shared" si="6"/>
        <v>0</v>
      </c>
      <c r="AH79" s="58">
        <f t="shared" si="6"/>
        <v>6</v>
      </c>
      <c r="AI79" s="58">
        <f t="shared" si="6"/>
        <v>3</v>
      </c>
      <c r="AJ79" s="58">
        <f t="shared" si="6"/>
        <v>5</v>
      </c>
      <c r="AK79" s="58">
        <f t="shared" si="6"/>
        <v>2</v>
      </c>
      <c r="AL79" s="18">
        <f t="shared" si="6"/>
        <v>0</v>
      </c>
      <c r="AM79" s="42">
        <f t="shared" si="6"/>
        <v>2</v>
      </c>
      <c r="AN79" s="42">
        <f t="shared" si="6"/>
        <v>2</v>
      </c>
      <c r="AO79" s="58">
        <f t="shared" si="6"/>
        <v>1</v>
      </c>
      <c r="AP79" s="58">
        <f t="shared" si="6"/>
        <v>1</v>
      </c>
      <c r="AQ79" s="58">
        <f t="shared" si="6"/>
        <v>1</v>
      </c>
      <c r="AR79" s="58">
        <f t="shared" si="6"/>
        <v>1</v>
      </c>
      <c r="AS79" s="58">
        <f t="shared" si="6"/>
        <v>0</v>
      </c>
      <c r="AT79" s="42">
        <f t="shared" si="6"/>
        <v>0</v>
      </c>
      <c r="AU79" s="42">
        <f t="shared" si="6"/>
        <v>1</v>
      </c>
      <c r="AV79" s="42">
        <f t="shared" si="6"/>
        <v>0</v>
      </c>
      <c r="AW79" s="42">
        <f t="shared" si="6"/>
        <v>1</v>
      </c>
      <c r="AX79" s="42">
        <f t="shared" si="6"/>
        <v>0</v>
      </c>
      <c r="AY79" s="42">
        <f t="shared" si="6"/>
        <v>1</v>
      </c>
      <c r="AZ79" s="42">
        <f t="shared" si="6"/>
        <v>0</v>
      </c>
      <c r="BA79" s="42">
        <f t="shared" si="6"/>
        <v>1</v>
      </c>
      <c r="BB79" s="94">
        <f t="shared" si="6"/>
        <v>1</v>
      </c>
      <c r="BC79" s="94">
        <f t="shared" si="6"/>
        <v>1</v>
      </c>
      <c r="BD79" s="42">
        <f t="shared" si="6"/>
        <v>2</v>
      </c>
      <c r="BE79" s="42">
        <f t="shared" si="6"/>
        <v>0</v>
      </c>
      <c r="BF79" s="42">
        <f t="shared" si="6"/>
        <v>4</v>
      </c>
      <c r="BG79" s="42">
        <f t="shared" si="6"/>
        <v>0</v>
      </c>
      <c r="BH79" s="42">
        <f t="shared" si="6"/>
        <v>6</v>
      </c>
      <c r="BI79" s="42">
        <f t="shared" si="6"/>
        <v>1</v>
      </c>
      <c r="BJ79" s="42">
        <f t="shared" si="6"/>
        <v>1</v>
      </c>
      <c r="BK79" s="94">
        <f t="shared" si="6"/>
        <v>4</v>
      </c>
      <c r="BL79" s="94">
        <f t="shared" si="6"/>
        <v>0</v>
      </c>
      <c r="BM79" s="94">
        <f t="shared" si="6"/>
        <v>5</v>
      </c>
      <c r="BN79" s="42">
        <f t="shared" si="6"/>
        <v>1</v>
      </c>
      <c r="BO79" s="94">
        <f t="shared" si="6"/>
        <v>5</v>
      </c>
      <c r="BP79" s="94">
        <f t="shared" si="6"/>
        <v>1</v>
      </c>
      <c r="BQ79" s="94">
        <f t="shared" si="6"/>
        <v>5</v>
      </c>
      <c r="BR79" s="94">
        <f t="shared" si="6"/>
        <v>1</v>
      </c>
      <c r="BS79" s="94">
        <f t="shared" si="6"/>
        <v>4</v>
      </c>
      <c r="BT79" s="94">
        <f t="shared" si="6"/>
        <v>1</v>
      </c>
      <c r="BU79" s="94">
        <f t="shared" si="6"/>
        <v>5</v>
      </c>
      <c r="BV79" s="94">
        <f t="shared" si="6"/>
        <v>0</v>
      </c>
      <c r="BW79" s="42">
        <f t="shared" si="6"/>
        <v>6</v>
      </c>
      <c r="BX79" s="42">
        <f t="shared" si="6"/>
        <v>1</v>
      </c>
      <c r="BY79" s="42">
        <f t="shared" si="6"/>
        <v>6</v>
      </c>
      <c r="BZ79" s="42">
        <f t="shared" si="6"/>
        <v>1</v>
      </c>
      <c r="CA79" s="42">
        <f t="shared" si="6"/>
        <v>2</v>
      </c>
      <c r="CB79" s="42">
        <f t="shared" si="6"/>
        <v>6</v>
      </c>
      <c r="CC79" s="42">
        <f t="shared" si="6"/>
        <v>1</v>
      </c>
      <c r="CD79" s="42">
        <f t="shared" si="6"/>
        <v>6</v>
      </c>
      <c r="CE79" s="42">
        <f t="shared" si="6"/>
        <v>1</v>
      </c>
      <c r="CF79" s="42">
        <f t="shared" si="6"/>
        <v>6</v>
      </c>
      <c r="CG79" s="42">
        <f t="shared" si="6"/>
        <v>1</v>
      </c>
      <c r="CH79" s="42">
        <f t="shared" si="6"/>
        <v>2</v>
      </c>
      <c r="CI79" s="42"/>
      <c r="CJ79" s="42"/>
      <c r="CK79" s="42"/>
      <c r="CL79" s="42"/>
      <c r="CM79" s="42"/>
      <c r="CN79" s="42">
        <f t="shared" ref="CN79:CW79" si="7">COUNTIF(CN3:CN76,"*FIJO T*")</f>
        <v>0</v>
      </c>
      <c r="CO79" s="42">
        <f t="shared" si="7"/>
        <v>0</v>
      </c>
      <c r="CP79" s="42">
        <f t="shared" si="7"/>
        <v>0</v>
      </c>
      <c r="CQ79" s="42">
        <f t="shared" si="7"/>
        <v>0</v>
      </c>
      <c r="CR79" s="42">
        <f t="shared" si="7"/>
        <v>0</v>
      </c>
      <c r="CS79" s="42">
        <f t="shared" si="7"/>
        <v>0</v>
      </c>
      <c r="CT79" s="42">
        <f t="shared" si="7"/>
        <v>0</v>
      </c>
      <c r="CU79" s="42">
        <f t="shared" si="7"/>
        <v>0</v>
      </c>
      <c r="CV79" s="42">
        <f t="shared" si="7"/>
        <v>0</v>
      </c>
      <c r="CW79" s="42">
        <f t="shared" si="7"/>
        <v>0</v>
      </c>
    </row>
    <row r="80" ht="16.5" customHeight="1">
      <c r="A80" s="83"/>
      <c r="B80" s="88" t="s">
        <v>420</v>
      </c>
      <c r="C80" s="84"/>
      <c r="D80" s="84"/>
      <c r="E80" s="18">
        <v>0.0</v>
      </c>
      <c r="F80" s="18">
        <v>0.0</v>
      </c>
      <c r="G80" s="18">
        <f t="shared" ref="G80:BC80" si="8">COUNTIF(G3:G76,"*golf*")</f>
        <v>3</v>
      </c>
      <c r="H80" s="18">
        <f t="shared" si="8"/>
        <v>4</v>
      </c>
      <c r="I80" s="18">
        <f t="shared" si="8"/>
        <v>5</v>
      </c>
      <c r="J80" s="18">
        <f t="shared" si="8"/>
        <v>4</v>
      </c>
      <c r="K80" s="18">
        <f t="shared" si="8"/>
        <v>5</v>
      </c>
      <c r="L80" s="18">
        <f t="shared" si="8"/>
        <v>4</v>
      </c>
      <c r="M80" s="18">
        <f t="shared" si="8"/>
        <v>5</v>
      </c>
      <c r="N80" s="18">
        <f t="shared" si="8"/>
        <v>6</v>
      </c>
      <c r="O80" s="18">
        <f t="shared" si="8"/>
        <v>2</v>
      </c>
      <c r="P80" s="18">
        <f t="shared" si="8"/>
        <v>4</v>
      </c>
      <c r="Q80" s="18">
        <f t="shared" si="8"/>
        <v>4</v>
      </c>
      <c r="R80" s="18">
        <f t="shared" si="8"/>
        <v>4</v>
      </c>
      <c r="S80" s="18">
        <f t="shared" si="8"/>
        <v>5</v>
      </c>
      <c r="T80" s="18">
        <f t="shared" si="8"/>
        <v>3</v>
      </c>
      <c r="U80" s="18">
        <f t="shared" si="8"/>
        <v>3</v>
      </c>
      <c r="V80" s="18">
        <f t="shared" si="8"/>
        <v>3</v>
      </c>
      <c r="W80" s="18">
        <f t="shared" si="8"/>
        <v>7</v>
      </c>
      <c r="X80" s="18">
        <f t="shared" si="8"/>
        <v>7</v>
      </c>
      <c r="Y80" s="18">
        <f t="shared" si="8"/>
        <v>4</v>
      </c>
      <c r="Z80" s="18">
        <f t="shared" si="8"/>
        <v>21</v>
      </c>
      <c r="AA80" s="18">
        <f t="shared" si="8"/>
        <v>3</v>
      </c>
      <c r="AB80" s="42">
        <f t="shared" si="8"/>
        <v>3</v>
      </c>
      <c r="AC80" s="42">
        <f t="shared" si="8"/>
        <v>3</v>
      </c>
      <c r="AD80" s="42">
        <f t="shared" si="8"/>
        <v>4</v>
      </c>
      <c r="AE80" s="42">
        <f t="shared" si="8"/>
        <v>8</v>
      </c>
      <c r="AF80" s="42">
        <f t="shared" si="8"/>
        <v>3</v>
      </c>
      <c r="AG80" s="42">
        <f t="shared" si="8"/>
        <v>7</v>
      </c>
      <c r="AH80" s="58">
        <f t="shared" si="8"/>
        <v>2</v>
      </c>
      <c r="AI80" s="58">
        <f t="shared" si="8"/>
        <v>2</v>
      </c>
      <c r="AJ80" s="58">
        <f t="shared" si="8"/>
        <v>3</v>
      </c>
      <c r="AK80" s="58">
        <f t="shared" si="8"/>
        <v>3</v>
      </c>
      <c r="AL80" s="18">
        <f t="shared" si="8"/>
        <v>9</v>
      </c>
      <c r="AM80" s="42">
        <f t="shared" si="8"/>
        <v>11</v>
      </c>
      <c r="AN80" s="42">
        <f t="shared" si="8"/>
        <v>12</v>
      </c>
      <c r="AO80" s="58">
        <f t="shared" si="8"/>
        <v>11</v>
      </c>
      <c r="AP80" s="58">
        <f t="shared" si="8"/>
        <v>9</v>
      </c>
      <c r="AQ80" s="58">
        <f t="shared" si="8"/>
        <v>11</v>
      </c>
      <c r="AR80" s="58">
        <f t="shared" si="8"/>
        <v>9</v>
      </c>
      <c r="AS80" s="58">
        <f t="shared" si="8"/>
        <v>8</v>
      </c>
      <c r="AT80" s="42">
        <f t="shared" si="8"/>
        <v>0</v>
      </c>
      <c r="AU80" s="42">
        <f t="shared" si="8"/>
        <v>0</v>
      </c>
      <c r="AV80" s="95">
        <f t="shared" si="8"/>
        <v>6</v>
      </c>
      <c r="AW80" s="95">
        <f t="shared" si="8"/>
        <v>6</v>
      </c>
      <c r="AX80" s="96">
        <f t="shared" si="8"/>
        <v>10</v>
      </c>
      <c r="AY80" s="96">
        <f t="shared" si="8"/>
        <v>5</v>
      </c>
      <c r="AZ80" s="93">
        <f t="shared" si="8"/>
        <v>7</v>
      </c>
      <c r="BA80" s="94">
        <f t="shared" si="8"/>
        <v>6</v>
      </c>
      <c r="BB80" s="96">
        <f t="shared" si="8"/>
        <v>9</v>
      </c>
      <c r="BC80" s="96">
        <f t="shared" si="8"/>
        <v>2</v>
      </c>
      <c r="BD80" s="42">
        <f t="shared" ref="BD80:CH80" si="9">COUNTIF(BD3:BD76,"*ASISTE GOLF*")</f>
        <v>4</v>
      </c>
      <c r="BE80" s="42">
        <f t="shared" si="9"/>
        <v>11</v>
      </c>
      <c r="BF80" s="42">
        <f t="shared" si="9"/>
        <v>4</v>
      </c>
      <c r="BG80" s="42">
        <f t="shared" si="9"/>
        <v>5</v>
      </c>
      <c r="BH80" s="42">
        <f t="shared" si="9"/>
        <v>4</v>
      </c>
      <c r="BI80" s="42">
        <f t="shared" si="9"/>
        <v>6</v>
      </c>
      <c r="BJ80" s="42">
        <f t="shared" si="9"/>
        <v>7</v>
      </c>
      <c r="BK80" s="42">
        <f t="shared" si="9"/>
        <v>3</v>
      </c>
      <c r="BL80" s="42">
        <f t="shared" si="9"/>
        <v>5</v>
      </c>
      <c r="BM80" s="94">
        <f t="shared" si="9"/>
        <v>7</v>
      </c>
      <c r="BN80" s="94">
        <f t="shared" si="9"/>
        <v>7</v>
      </c>
      <c r="BO80" s="94">
        <f t="shared" si="9"/>
        <v>4</v>
      </c>
      <c r="BP80" s="94">
        <f t="shared" si="9"/>
        <v>6</v>
      </c>
      <c r="BQ80" s="94">
        <f t="shared" si="9"/>
        <v>8</v>
      </c>
      <c r="BR80" s="94">
        <f t="shared" si="9"/>
        <v>12</v>
      </c>
      <c r="BS80" s="94">
        <f t="shared" si="9"/>
        <v>6</v>
      </c>
      <c r="BT80" s="94">
        <f t="shared" si="9"/>
        <v>9</v>
      </c>
      <c r="BU80" s="94">
        <f t="shared" si="9"/>
        <v>8</v>
      </c>
      <c r="BV80" s="94">
        <f t="shared" si="9"/>
        <v>7</v>
      </c>
      <c r="BW80" s="42">
        <f t="shared" si="9"/>
        <v>1</v>
      </c>
      <c r="BX80" s="42">
        <f t="shared" si="9"/>
        <v>3</v>
      </c>
      <c r="BY80" s="42">
        <f t="shared" si="9"/>
        <v>1</v>
      </c>
      <c r="BZ80" s="42">
        <f t="shared" si="9"/>
        <v>3</v>
      </c>
      <c r="CA80" s="42">
        <f t="shared" si="9"/>
        <v>3</v>
      </c>
      <c r="CB80" s="42">
        <f t="shared" si="9"/>
        <v>1</v>
      </c>
      <c r="CC80" s="42">
        <f t="shared" si="9"/>
        <v>3</v>
      </c>
      <c r="CD80" s="42">
        <f t="shared" si="9"/>
        <v>0</v>
      </c>
      <c r="CE80" s="42">
        <f t="shared" si="9"/>
        <v>2</v>
      </c>
      <c r="CF80" s="42">
        <f t="shared" si="9"/>
        <v>0</v>
      </c>
      <c r="CG80" s="42">
        <f t="shared" si="9"/>
        <v>2</v>
      </c>
      <c r="CH80" s="42">
        <f t="shared" si="9"/>
        <v>2</v>
      </c>
      <c r="CI80" s="42"/>
      <c r="CJ80" s="42"/>
      <c r="CK80" s="42"/>
      <c r="CL80" s="42"/>
      <c r="CM80" s="42"/>
      <c r="CN80" s="42">
        <f t="shared" ref="CN80:CW80" si="10">COUNTIF(CN3:CN76,"*ASISTE GOLF*")</f>
        <v>0</v>
      </c>
      <c r="CO80" s="42">
        <f t="shared" si="10"/>
        <v>0</v>
      </c>
      <c r="CP80" s="42">
        <f t="shared" si="10"/>
        <v>0</v>
      </c>
      <c r="CQ80" s="42">
        <f t="shared" si="10"/>
        <v>0</v>
      </c>
      <c r="CR80" s="42">
        <f t="shared" si="10"/>
        <v>0</v>
      </c>
      <c r="CS80" s="42">
        <f t="shared" si="10"/>
        <v>0</v>
      </c>
      <c r="CT80" s="42">
        <f t="shared" si="10"/>
        <v>0</v>
      </c>
      <c r="CU80" s="42">
        <f t="shared" si="10"/>
        <v>0</v>
      </c>
      <c r="CV80" s="42">
        <f t="shared" si="10"/>
        <v>0</v>
      </c>
      <c r="CW80" s="42">
        <f t="shared" si="10"/>
        <v>0</v>
      </c>
    </row>
    <row r="81" ht="16.5" customHeight="1">
      <c r="A81" s="83"/>
      <c r="B81" s="56" t="s">
        <v>423</v>
      </c>
      <c r="C81" s="84"/>
      <c r="D81" s="84"/>
      <c r="E81" s="18">
        <v>0.0</v>
      </c>
      <c r="F81" s="18">
        <v>0.0</v>
      </c>
      <c r="G81" s="18">
        <v>0.0</v>
      </c>
      <c r="H81" s="18">
        <v>0.0</v>
      </c>
      <c r="I81" s="18">
        <v>0.0</v>
      </c>
      <c r="J81" s="18">
        <v>0.0</v>
      </c>
      <c r="K81" s="18">
        <v>0.0</v>
      </c>
      <c r="L81" s="18">
        <v>0.0</v>
      </c>
      <c r="M81" s="18">
        <v>0.0</v>
      </c>
      <c r="N81" s="18">
        <v>0.0</v>
      </c>
      <c r="O81" s="18">
        <f t="shared" ref="O81:CH81" si="11">COUNTIF(O3:O76,"*fijo g*")</f>
        <v>7</v>
      </c>
      <c r="P81" s="18">
        <f t="shared" si="11"/>
        <v>4</v>
      </c>
      <c r="Q81" s="18">
        <f t="shared" si="11"/>
        <v>7</v>
      </c>
      <c r="R81" s="18">
        <f t="shared" si="11"/>
        <v>4</v>
      </c>
      <c r="S81" s="18">
        <f t="shared" si="11"/>
        <v>7</v>
      </c>
      <c r="T81" s="18">
        <f t="shared" si="11"/>
        <v>4</v>
      </c>
      <c r="U81" s="18">
        <f t="shared" si="11"/>
        <v>7</v>
      </c>
      <c r="V81" s="18">
        <f t="shared" si="11"/>
        <v>4</v>
      </c>
      <c r="W81" s="18">
        <f t="shared" si="11"/>
        <v>0</v>
      </c>
      <c r="X81" s="18">
        <f t="shared" si="11"/>
        <v>4</v>
      </c>
      <c r="Y81" s="18">
        <f t="shared" si="11"/>
        <v>4</v>
      </c>
      <c r="Z81" s="18">
        <f t="shared" si="11"/>
        <v>7</v>
      </c>
      <c r="AA81" s="18">
        <f t="shared" si="11"/>
        <v>4</v>
      </c>
      <c r="AB81" s="42">
        <f t="shared" si="11"/>
        <v>7</v>
      </c>
      <c r="AC81" s="42">
        <f t="shared" si="11"/>
        <v>4</v>
      </c>
      <c r="AD81" s="42">
        <f t="shared" si="11"/>
        <v>6</v>
      </c>
      <c r="AE81" s="42">
        <f t="shared" si="11"/>
        <v>3</v>
      </c>
      <c r="AF81" s="42">
        <f t="shared" si="11"/>
        <v>3</v>
      </c>
      <c r="AG81" s="42">
        <f t="shared" si="11"/>
        <v>3</v>
      </c>
      <c r="AH81" s="58">
        <f t="shared" si="11"/>
        <v>7</v>
      </c>
      <c r="AI81" s="58">
        <f t="shared" si="11"/>
        <v>4</v>
      </c>
      <c r="AJ81" s="58">
        <f t="shared" si="11"/>
        <v>7</v>
      </c>
      <c r="AK81" s="58">
        <f t="shared" si="11"/>
        <v>3</v>
      </c>
      <c r="AL81" s="18">
        <f t="shared" si="11"/>
        <v>0</v>
      </c>
      <c r="AM81" s="42">
        <f t="shared" si="11"/>
        <v>2</v>
      </c>
      <c r="AN81" s="42">
        <f t="shared" si="11"/>
        <v>2</v>
      </c>
      <c r="AO81" s="58">
        <f t="shared" si="11"/>
        <v>0</v>
      </c>
      <c r="AP81" s="58">
        <f t="shared" si="11"/>
        <v>0</v>
      </c>
      <c r="AQ81" s="58">
        <f t="shared" si="11"/>
        <v>1</v>
      </c>
      <c r="AR81" s="58">
        <f t="shared" si="11"/>
        <v>1</v>
      </c>
      <c r="AS81" s="58">
        <f t="shared" si="11"/>
        <v>0</v>
      </c>
      <c r="AT81" s="42">
        <f t="shared" si="11"/>
        <v>0</v>
      </c>
      <c r="AU81" s="42">
        <f t="shared" si="11"/>
        <v>0</v>
      </c>
      <c r="AV81" s="42">
        <f t="shared" si="11"/>
        <v>0</v>
      </c>
      <c r="AW81" s="42">
        <f t="shared" si="11"/>
        <v>1</v>
      </c>
      <c r="AX81" s="96">
        <f t="shared" si="11"/>
        <v>2</v>
      </c>
      <c r="AY81" s="42">
        <f t="shared" si="11"/>
        <v>1</v>
      </c>
      <c r="AZ81" s="42">
        <f t="shared" si="11"/>
        <v>0</v>
      </c>
      <c r="BA81" s="42">
        <f t="shared" si="11"/>
        <v>0</v>
      </c>
      <c r="BB81" s="96">
        <f t="shared" si="11"/>
        <v>1</v>
      </c>
      <c r="BC81" s="96">
        <f t="shared" si="11"/>
        <v>3</v>
      </c>
      <c r="BD81" s="42">
        <f t="shared" si="11"/>
        <v>4</v>
      </c>
      <c r="BE81" s="42">
        <f t="shared" si="11"/>
        <v>0</v>
      </c>
      <c r="BF81" s="42">
        <f t="shared" si="11"/>
        <v>10</v>
      </c>
      <c r="BG81" s="42">
        <f t="shared" si="11"/>
        <v>5</v>
      </c>
      <c r="BH81" s="42">
        <f t="shared" si="11"/>
        <v>10</v>
      </c>
      <c r="BI81" s="42">
        <f t="shared" si="11"/>
        <v>5</v>
      </c>
      <c r="BJ81" s="42">
        <f t="shared" si="11"/>
        <v>2</v>
      </c>
      <c r="BK81" s="42">
        <f t="shared" si="11"/>
        <v>10</v>
      </c>
      <c r="BL81" s="42">
        <f t="shared" si="11"/>
        <v>5</v>
      </c>
      <c r="BM81" s="94">
        <f t="shared" si="11"/>
        <v>11</v>
      </c>
      <c r="BN81" s="94">
        <f t="shared" si="11"/>
        <v>6</v>
      </c>
      <c r="BO81" s="94">
        <f t="shared" si="11"/>
        <v>12</v>
      </c>
      <c r="BP81" s="94">
        <f t="shared" si="11"/>
        <v>5</v>
      </c>
      <c r="BQ81" s="94">
        <f t="shared" si="11"/>
        <v>11</v>
      </c>
      <c r="BR81" s="94">
        <f t="shared" si="11"/>
        <v>5</v>
      </c>
      <c r="BS81" s="94">
        <f t="shared" si="11"/>
        <v>11</v>
      </c>
      <c r="BT81" s="94">
        <f t="shared" si="11"/>
        <v>5</v>
      </c>
      <c r="BU81" s="94">
        <f t="shared" si="11"/>
        <v>10</v>
      </c>
      <c r="BV81" s="94">
        <f t="shared" si="11"/>
        <v>11</v>
      </c>
      <c r="BW81" s="42">
        <f t="shared" si="11"/>
        <v>10</v>
      </c>
      <c r="BX81" s="42">
        <f t="shared" si="11"/>
        <v>8</v>
      </c>
      <c r="BY81" s="42">
        <f t="shared" si="11"/>
        <v>10</v>
      </c>
      <c r="BZ81" s="42">
        <f t="shared" si="11"/>
        <v>9</v>
      </c>
      <c r="CA81" s="42">
        <f t="shared" si="11"/>
        <v>9</v>
      </c>
      <c r="CB81" s="42">
        <f t="shared" si="11"/>
        <v>10</v>
      </c>
      <c r="CC81" s="42">
        <f t="shared" si="11"/>
        <v>10</v>
      </c>
      <c r="CD81" s="42">
        <f t="shared" si="11"/>
        <v>10</v>
      </c>
      <c r="CE81" s="42">
        <f t="shared" si="11"/>
        <v>10</v>
      </c>
      <c r="CF81" s="42">
        <f t="shared" si="11"/>
        <v>10</v>
      </c>
      <c r="CG81" s="42">
        <f t="shared" si="11"/>
        <v>9</v>
      </c>
      <c r="CH81" s="42">
        <f t="shared" si="11"/>
        <v>9</v>
      </c>
      <c r="CI81" s="42"/>
      <c r="CJ81" s="42"/>
      <c r="CK81" s="42"/>
      <c r="CL81" s="42"/>
      <c r="CM81" s="42"/>
      <c r="CN81" s="42">
        <f t="shared" ref="CN81:CW81" si="12">COUNTIF(CN3:CN76,"*fijo g*")</f>
        <v>0</v>
      </c>
      <c r="CO81" s="42">
        <f t="shared" si="12"/>
        <v>0</v>
      </c>
      <c r="CP81" s="42">
        <f t="shared" si="12"/>
        <v>0</v>
      </c>
      <c r="CQ81" s="42">
        <f t="shared" si="12"/>
        <v>0</v>
      </c>
      <c r="CR81" s="42">
        <f t="shared" si="12"/>
        <v>0</v>
      </c>
      <c r="CS81" s="42">
        <f t="shared" si="12"/>
        <v>0</v>
      </c>
      <c r="CT81" s="42">
        <f t="shared" si="12"/>
        <v>0</v>
      </c>
      <c r="CU81" s="42">
        <f t="shared" si="12"/>
        <v>0</v>
      </c>
      <c r="CV81" s="42">
        <f t="shared" si="12"/>
        <v>0</v>
      </c>
      <c r="CW81" s="42">
        <f t="shared" si="12"/>
        <v>0</v>
      </c>
    </row>
    <row r="82" ht="16.5" customHeight="1">
      <c r="A82" s="83"/>
      <c r="B82" s="24" t="s">
        <v>428</v>
      </c>
      <c r="C82" s="84"/>
      <c r="D82" s="84"/>
      <c r="E82" s="18">
        <f t="shared" ref="E82:CH82" si="13">SUM(E77:E81)</f>
        <v>20</v>
      </c>
      <c r="F82" s="18">
        <f t="shared" si="13"/>
        <v>10</v>
      </c>
      <c r="G82" s="18">
        <f t="shared" si="13"/>
        <v>20</v>
      </c>
      <c r="H82" s="18">
        <f t="shared" si="13"/>
        <v>16</v>
      </c>
      <c r="I82" s="18">
        <f t="shared" si="13"/>
        <v>23</v>
      </c>
      <c r="J82" s="18">
        <f t="shared" si="13"/>
        <v>18</v>
      </c>
      <c r="K82" s="18">
        <f t="shared" si="13"/>
        <v>24</v>
      </c>
      <c r="L82" s="18">
        <f t="shared" si="13"/>
        <v>16</v>
      </c>
      <c r="M82" s="18">
        <f t="shared" si="13"/>
        <v>22</v>
      </c>
      <c r="N82" s="18">
        <f t="shared" si="13"/>
        <v>14</v>
      </c>
      <c r="O82" s="18">
        <f t="shared" si="13"/>
        <v>42</v>
      </c>
      <c r="P82" s="18">
        <f t="shared" si="13"/>
        <v>23</v>
      </c>
      <c r="Q82" s="18">
        <f t="shared" si="13"/>
        <v>30</v>
      </c>
      <c r="R82" s="18">
        <f t="shared" si="13"/>
        <v>23</v>
      </c>
      <c r="S82" s="18">
        <f t="shared" si="13"/>
        <v>30</v>
      </c>
      <c r="T82" s="18">
        <f t="shared" si="13"/>
        <v>24</v>
      </c>
      <c r="U82" s="18">
        <f t="shared" si="13"/>
        <v>27</v>
      </c>
      <c r="V82" s="18">
        <f t="shared" si="13"/>
        <v>21</v>
      </c>
      <c r="W82" s="18">
        <f t="shared" si="13"/>
        <v>22</v>
      </c>
      <c r="X82" s="18">
        <f t="shared" si="13"/>
        <v>29</v>
      </c>
      <c r="Y82" s="18">
        <f t="shared" si="13"/>
        <v>22</v>
      </c>
      <c r="Z82" s="18">
        <f t="shared" si="13"/>
        <v>47</v>
      </c>
      <c r="AA82" s="18">
        <f t="shared" si="13"/>
        <v>24</v>
      </c>
      <c r="AB82" s="42">
        <f t="shared" si="13"/>
        <v>26</v>
      </c>
      <c r="AC82" s="42">
        <f t="shared" si="13"/>
        <v>21</v>
      </c>
      <c r="AD82" s="42">
        <f t="shared" si="13"/>
        <v>22</v>
      </c>
      <c r="AE82" s="42">
        <f t="shared" si="13"/>
        <v>28</v>
      </c>
      <c r="AF82" s="42">
        <f t="shared" si="13"/>
        <v>20</v>
      </c>
      <c r="AG82" s="42">
        <f t="shared" si="13"/>
        <v>25</v>
      </c>
      <c r="AH82" s="58">
        <f t="shared" si="13"/>
        <v>28</v>
      </c>
      <c r="AI82" s="58">
        <f t="shared" si="13"/>
        <v>21</v>
      </c>
      <c r="AJ82" s="58">
        <f t="shared" si="13"/>
        <v>27</v>
      </c>
      <c r="AK82" s="58">
        <f t="shared" si="13"/>
        <v>19</v>
      </c>
      <c r="AL82" s="18">
        <f t="shared" si="13"/>
        <v>22</v>
      </c>
      <c r="AM82" s="42">
        <f t="shared" si="13"/>
        <v>35</v>
      </c>
      <c r="AN82" s="42">
        <f t="shared" si="13"/>
        <v>32</v>
      </c>
      <c r="AO82" s="58">
        <f t="shared" si="13"/>
        <v>27</v>
      </c>
      <c r="AP82" s="58">
        <f t="shared" si="13"/>
        <v>25</v>
      </c>
      <c r="AQ82" s="58">
        <f t="shared" si="13"/>
        <v>28</v>
      </c>
      <c r="AR82" s="58">
        <f t="shared" si="13"/>
        <v>24</v>
      </c>
      <c r="AS82" s="58">
        <f t="shared" si="13"/>
        <v>23</v>
      </c>
      <c r="AT82" s="42">
        <f t="shared" si="13"/>
        <v>21</v>
      </c>
      <c r="AU82" s="42">
        <f t="shared" si="13"/>
        <v>15</v>
      </c>
      <c r="AV82" s="42">
        <f t="shared" si="13"/>
        <v>25</v>
      </c>
      <c r="AW82" s="42">
        <f t="shared" si="13"/>
        <v>23</v>
      </c>
      <c r="AX82" s="42">
        <f t="shared" si="13"/>
        <v>35</v>
      </c>
      <c r="AY82" s="42">
        <f t="shared" si="13"/>
        <v>20</v>
      </c>
      <c r="AZ82" s="42">
        <f t="shared" si="13"/>
        <v>27</v>
      </c>
      <c r="BA82" s="42">
        <f t="shared" si="13"/>
        <v>18</v>
      </c>
      <c r="BB82" s="42">
        <f t="shared" si="13"/>
        <v>30</v>
      </c>
      <c r="BC82" s="42">
        <f t="shared" si="13"/>
        <v>22</v>
      </c>
      <c r="BD82" s="42">
        <f t="shared" si="13"/>
        <v>22</v>
      </c>
      <c r="BE82" s="42">
        <f t="shared" si="13"/>
        <v>20</v>
      </c>
      <c r="BF82" s="42">
        <f t="shared" si="13"/>
        <v>26</v>
      </c>
      <c r="BG82" s="42">
        <f t="shared" si="13"/>
        <v>21</v>
      </c>
      <c r="BH82" s="42">
        <f t="shared" si="13"/>
        <v>32</v>
      </c>
      <c r="BI82" s="42">
        <f t="shared" si="13"/>
        <v>28</v>
      </c>
      <c r="BJ82" s="42">
        <f t="shared" si="13"/>
        <v>24</v>
      </c>
      <c r="BK82" s="42">
        <f t="shared" si="13"/>
        <v>33</v>
      </c>
      <c r="BL82" s="42">
        <f t="shared" si="13"/>
        <v>28</v>
      </c>
      <c r="BM82" s="42">
        <f t="shared" si="13"/>
        <v>38</v>
      </c>
      <c r="BN82" s="42">
        <f t="shared" si="13"/>
        <v>30</v>
      </c>
      <c r="BO82" s="42">
        <f t="shared" si="13"/>
        <v>37</v>
      </c>
      <c r="BP82" s="42">
        <f t="shared" si="13"/>
        <v>30</v>
      </c>
      <c r="BQ82" s="42">
        <f t="shared" si="13"/>
        <v>40</v>
      </c>
      <c r="BR82" s="42">
        <f t="shared" si="13"/>
        <v>36</v>
      </c>
      <c r="BS82" s="42">
        <f t="shared" si="13"/>
        <v>37</v>
      </c>
      <c r="BT82" s="42">
        <f t="shared" si="13"/>
        <v>35</v>
      </c>
      <c r="BU82" s="42">
        <f t="shared" si="13"/>
        <v>48</v>
      </c>
      <c r="BV82" s="42">
        <f t="shared" si="13"/>
        <v>36</v>
      </c>
      <c r="BW82" s="42">
        <f t="shared" si="13"/>
        <v>19</v>
      </c>
      <c r="BX82" s="42">
        <f t="shared" si="13"/>
        <v>17</v>
      </c>
      <c r="BY82" s="42">
        <f t="shared" si="13"/>
        <v>21</v>
      </c>
      <c r="BZ82" s="42">
        <f t="shared" si="13"/>
        <v>20</v>
      </c>
      <c r="CA82" s="42">
        <f t="shared" si="13"/>
        <v>20</v>
      </c>
      <c r="CB82" s="42">
        <f t="shared" si="13"/>
        <v>19</v>
      </c>
      <c r="CC82" s="42">
        <f t="shared" si="13"/>
        <v>20</v>
      </c>
      <c r="CD82" s="42">
        <f t="shared" si="13"/>
        <v>20</v>
      </c>
      <c r="CE82" s="42">
        <f t="shared" si="13"/>
        <v>20</v>
      </c>
      <c r="CF82" s="42">
        <f t="shared" si="13"/>
        <v>18</v>
      </c>
      <c r="CG82" s="42">
        <f t="shared" si="13"/>
        <v>17</v>
      </c>
      <c r="CH82" s="42">
        <f t="shared" si="13"/>
        <v>18</v>
      </c>
      <c r="CI82" s="42"/>
      <c r="CJ82" s="42"/>
      <c r="CK82" s="42"/>
      <c r="CL82" s="42"/>
      <c r="CM82" s="42"/>
      <c r="CN82" s="42">
        <f t="shared" ref="CN82:CW82" si="14">SUM(CN77:CN81)</f>
        <v>0</v>
      </c>
      <c r="CO82" s="42">
        <f t="shared" si="14"/>
        <v>0</v>
      </c>
      <c r="CP82" s="42">
        <f t="shared" si="14"/>
        <v>0</v>
      </c>
      <c r="CQ82" s="42">
        <f t="shared" si="14"/>
        <v>0</v>
      </c>
      <c r="CR82" s="42">
        <f t="shared" si="14"/>
        <v>0</v>
      </c>
      <c r="CS82" s="42">
        <f t="shared" si="14"/>
        <v>0</v>
      </c>
      <c r="CT82" s="42">
        <f t="shared" si="14"/>
        <v>0</v>
      </c>
      <c r="CU82" s="42">
        <f t="shared" si="14"/>
        <v>0</v>
      </c>
      <c r="CV82" s="42">
        <f t="shared" si="14"/>
        <v>0</v>
      </c>
      <c r="CW82" s="42">
        <f t="shared" si="14"/>
        <v>0</v>
      </c>
    </row>
    <row r="83" ht="16.5" customHeight="1">
      <c r="A83" s="83"/>
      <c r="C83" s="84"/>
      <c r="D83" s="84"/>
      <c r="E83" s="84"/>
      <c r="F83" s="84"/>
      <c r="G83" s="84"/>
      <c r="H83" s="84"/>
      <c r="I83" s="84"/>
      <c r="J83" s="84"/>
      <c r="K83" s="84"/>
      <c r="L83" s="22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</row>
    <row r="84" ht="16.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</row>
    <row r="85" ht="16.5" customHeight="1">
      <c r="A85" s="90"/>
      <c r="B85" s="97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</row>
    <row r="86" ht="16.5" customHeight="1">
      <c r="A86" s="90"/>
      <c r="B86" s="97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</row>
    <row r="87" ht="16.5" customHeight="1">
      <c r="A87" s="90"/>
      <c r="B87" s="97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</row>
    <row r="88" ht="16.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</row>
    <row r="89" ht="16.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</row>
    <row r="90" ht="16.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</row>
    <row r="91" ht="16.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</row>
    <row r="92" ht="16.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</row>
    <row r="93" ht="16.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</row>
    <row r="94" ht="16.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</row>
    <row r="95" ht="16.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</row>
    <row r="96" ht="16.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</row>
    <row r="97" ht="16.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</row>
    <row r="98" ht="16.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</row>
    <row r="99" ht="16.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</row>
    <row r="100" ht="16.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</row>
    <row r="101" ht="16.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</row>
    <row r="102" ht="16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</row>
    <row r="103" ht="16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</row>
    <row r="104" ht="16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</row>
    <row r="105" ht="16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</row>
    <row r="106" ht="16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</row>
    <row r="107" ht="16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</row>
    <row r="108" ht="16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</row>
    <row r="109" ht="16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</row>
    <row r="110" ht="16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</row>
    <row r="111" ht="16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</row>
    <row r="112" ht="16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</row>
    <row r="113" ht="16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</row>
    <row r="114" ht="16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</row>
    <row r="115" ht="16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</row>
    <row r="116" ht="16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</row>
    <row r="117" ht="16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</row>
    <row r="118" ht="16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</row>
    <row r="119" ht="16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</row>
    <row r="120" ht="16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</row>
    <row r="121" ht="16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</row>
    <row r="122" ht="16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</row>
    <row r="123" ht="16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</row>
    <row r="124" ht="16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</row>
    <row r="125" ht="16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</row>
    <row r="126" ht="16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</row>
    <row r="127" ht="16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</row>
    <row r="128" ht="16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</row>
    <row r="129" ht="16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</row>
    <row r="130" ht="16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</row>
    <row r="131" ht="16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</row>
    <row r="132" ht="16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</row>
    <row r="133" ht="16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</row>
    <row r="134" ht="16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</row>
    <row r="135" ht="16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</row>
    <row r="136" ht="16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</row>
    <row r="137" ht="16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</row>
    <row r="138" ht="16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</row>
    <row r="139" ht="16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</row>
    <row r="140" ht="16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</row>
    <row r="141" ht="16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</row>
    <row r="142" ht="16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</row>
    <row r="143" ht="16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</row>
    <row r="144" ht="16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</row>
    <row r="145" ht="16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</row>
    <row r="146" ht="16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</row>
    <row r="147" ht="16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</row>
    <row r="148" ht="16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</row>
    <row r="149" ht="16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</row>
    <row r="150" ht="16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</row>
    <row r="151" ht="16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</row>
    <row r="152" ht="16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</row>
    <row r="153" ht="16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</row>
    <row r="154" ht="16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</row>
    <row r="155" ht="16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</row>
    <row r="156" ht="16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</row>
    <row r="157" ht="16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</row>
    <row r="158" ht="16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</row>
    <row r="159" ht="16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</row>
    <row r="160" ht="16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</row>
    <row r="161" ht="16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</row>
    <row r="162" ht="16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</row>
    <row r="163" ht="16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</row>
    <row r="164" ht="16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</row>
    <row r="165" ht="16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</row>
    <row r="166" ht="16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</row>
    <row r="167" ht="16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</row>
    <row r="168" ht="16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</row>
    <row r="169" ht="16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</row>
    <row r="170" ht="16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</row>
    <row r="171" ht="16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</row>
    <row r="172" ht="16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</row>
    <row r="173" ht="16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</row>
    <row r="174" ht="16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</row>
    <row r="175" ht="16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</row>
    <row r="176" ht="16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</row>
    <row r="177" ht="16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</row>
    <row r="178" ht="16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</row>
    <row r="179" ht="16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</row>
    <row r="180" ht="16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</row>
    <row r="181" ht="16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</row>
    <row r="182" ht="16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</row>
    <row r="183" ht="16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</row>
    <row r="184" ht="16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</row>
    <row r="185" ht="16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</row>
    <row r="186" ht="16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</row>
    <row r="187" ht="16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</row>
    <row r="188" ht="16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0"/>
      <c r="CR188" s="90"/>
      <c r="CS188" s="90"/>
      <c r="CT188" s="90"/>
      <c r="CU188" s="90"/>
      <c r="CV188" s="90"/>
      <c r="CW188" s="90"/>
    </row>
    <row r="189" ht="16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</row>
    <row r="190" ht="16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0"/>
      <c r="CR190" s="90"/>
      <c r="CS190" s="90"/>
      <c r="CT190" s="90"/>
      <c r="CU190" s="90"/>
      <c r="CV190" s="90"/>
      <c r="CW190" s="90"/>
    </row>
    <row r="191" ht="16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</row>
    <row r="192" ht="16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</row>
    <row r="193" ht="16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</row>
    <row r="194" ht="16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0"/>
      <c r="CR194" s="90"/>
      <c r="CS194" s="90"/>
      <c r="CT194" s="90"/>
      <c r="CU194" s="90"/>
      <c r="CV194" s="90"/>
      <c r="CW194" s="90"/>
    </row>
    <row r="195" ht="16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</row>
    <row r="196" ht="16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</row>
    <row r="197" ht="16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</row>
    <row r="198" ht="16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</row>
    <row r="199" ht="16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</row>
    <row r="200" ht="16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0"/>
      <c r="CR200" s="90"/>
      <c r="CS200" s="90"/>
      <c r="CT200" s="90"/>
      <c r="CU200" s="90"/>
      <c r="CV200" s="90"/>
      <c r="CW200" s="90"/>
    </row>
    <row r="201" ht="16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</row>
    <row r="202" ht="16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0"/>
      <c r="CR202" s="90"/>
      <c r="CS202" s="90"/>
      <c r="CT202" s="90"/>
      <c r="CU202" s="90"/>
      <c r="CV202" s="90"/>
      <c r="CW202" s="90"/>
    </row>
    <row r="203" ht="16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</row>
    <row r="204" ht="16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</row>
    <row r="205" ht="16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</row>
    <row r="206" ht="16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</row>
    <row r="207" ht="16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</row>
    <row r="208" ht="16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0"/>
      <c r="CR208" s="90"/>
      <c r="CS208" s="90"/>
      <c r="CT208" s="90"/>
      <c r="CU208" s="90"/>
      <c r="CV208" s="90"/>
      <c r="CW208" s="90"/>
    </row>
    <row r="209" ht="16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</row>
    <row r="210" ht="16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  <c r="CN210" s="90"/>
      <c r="CO210" s="90"/>
      <c r="CP210" s="90"/>
      <c r="CQ210" s="90"/>
      <c r="CR210" s="90"/>
      <c r="CS210" s="90"/>
      <c r="CT210" s="90"/>
      <c r="CU210" s="90"/>
      <c r="CV210" s="90"/>
      <c r="CW210" s="90"/>
    </row>
    <row r="211" ht="16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</row>
    <row r="212" ht="16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  <c r="CN212" s="90"/>
      <c r="CO212" s="90"/>
      <c r="CP212" s="90"/>
      <c r="CQ212" s="90"/>
      <c r="CR212" s="90"/>
      <c r="CS212" s="90"/>
      <c r="CT212" s="90"/>
      <c r="CU212" s="90"/>
      <c r="CV212" s="90"/>
      <c r="CW212" s="90"/>
    </row>
    <row r="213" ht="16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</row>
    <row r="214" ht="16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0"/>
      <c r="CR214" s="90"/>
      <c r="CS214" s="90"/>
      <c r="CT214" s="90"/>
      <c r="CU214" s="90"/>
      <c r="CV214" s="90"/>
      <c r="CW214" s="90"/>
    </row>
    <row r="215" ht="16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0"/>
      <c r="CR215" s="90"/>
      <c r="CS215" s="90"/>
      <c r="CT215" s="90"/>
      <c r="CU215" s="90"/>
      <c r="CV215" s="90"/>
      <c r="CW215" s="90"/>
    </row>
    <row r="216" ht="16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  <c r="CN216" s="90"/>
      <c r="CO216" s="90"/>
      <c r="CP216" s="90"/>
      <c r="CQ216" s="90"/>
      <c r="CR216" s="90"/>
      <c r="CS216" s="90"/>
      <c r="CT216" s="90"/>
      <c r="CU216" s="90"/>
      <c r="CV216" s="90"/>
      <c r="CW216" s="90"/>
    </row>
    <row r="217" ht="16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</row>
    <row r="218" ht="16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</row>
    <row r="219" ht="16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</row>
    <row r="220" ht="16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</row>
    <row r="221" ht="16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</row>
    <row r="222" ht="16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  <c r="CN222" s="90"/>
      <c r="CO222" s="90"/>
      <c r="CP222" s="90"/>
      <c r="CQ222" s="90"/>
      <c r="CR222" s="90"/>
      <c r="CS222" s="90"/>
      <c r="CT222" s="90"/>
      <c r="CU222" s="90"/>
      <c r="CV222" s="90"/>
      <c r="CW222" s="90"/>
    </row>
    <row r="223" ht="16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</row>
    <row r="224" ht="16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0"/>
      <c r="CV224" s="90"/>
      <c r="CW224" s="90"/>
    </row>
    <row r="225" ht="16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0"/>
      <c r="CR225" s="90"/>
      <c r="CS225" s="90"/>
      <c r="CT225" s="90"/>
      <c r="CU225" s="90"/>
      <c r="CV225" s="90"/>
      <c r="CW225" s="90"/>
    </row>
    <row r="226" ht="16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</row>
    <row r="227" ht="16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</row>
    <row r="228" ht="16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  <c r="CN228" s="90"/>
      <c r="CO228" s="90"/>
      <c r="CP228" s="90"/>
      <c r="CQ228" s="90"/>
      <c r="CR228" s="90"/>
      <c r="CS228" s="90"/>
      <c r="CT228" s="90"/>
      <c r="CU228" s="90"/>
      <c r="CV228" s="90"/>
      <c r="CW228" s="90"/>
    </row>
    <row r="229" ht="16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</row>
    <row r="230" ht="16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</row>
    <row r="231" ht="16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</row>
    <row r="232" ht="16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K232" s="90"/>
      <c r="CL232" s="90"/>
      <c r="CM232" s="90"/>
      <c r="CN232" s="90"/>
      <c r="CO232" s="90"/>
      <c r="CP232" s="90"/>
      <c r="CQ232" s="90"/>
      <c r="CR232" s="90"/>
      <c r="CS232" s="90"/>
      <c r="CT232" s="90"/>
      <c r="CU232" s="90"/>
      <c r="CV232" s="90"/>
      <c r="CW232" s="90"/>
    </row>
    <row r="233" ht="16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</row>
    <row r="234" ht="16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0"/>
      <c r="CR234" s="90"/>
      <c r="CS234" s="90"/>
      <c r="CT234" s="90"/>
      <c r="CU234" s="90"/>
      <c r="CV234" s="90"/>
      <c r="CW234" s="90"/>
    </row>
    <row r="235" ht="16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0"/>
      <c r="CR235" s="90"/>
      <c r="CS235" s="90"/>
      <c r="CT235" s="90"/>
      <c r="CU235" s="90"/>
      <c r="CV235" s="90"/>
      <c r="CW235" s="90"/>
    </row>
    <row r="236" ht="16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0"/>
      <c r="CR236" s="90"/>
      <c r="CS236" s="90"/>
      <c r="CT236" s="90"/>
      <c r="CU236" s="90"/>
      <c r="CV236" s="90"/>
      <c r="CW236" s="90"/>
    </row>
    <row r="237" ht="16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</row>
    <row r="238" ht="16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K238" s="90"/>
      <c r="CL238" s="90"/>
      <c r="CM238" s="90"/>
      <c r="CN238" s="90"/>
      <c r="CO238" s="90"/>
      <c r="CP238" s="90"/>
      <c r="CQ238" s="90"/>
      <c r="CR238" s="90"/>
      <c r="CS238" s="90"/>
      <c r="CT238" s="90"/>
      <c r="CU238" s="90"/>
      <c r="CV238" s="90"/>
      <c r="CW238" s="90"/>
    </row>
    <row r="239" ht="16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</row>
    <row r="240" ht="16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  <c r="CN240" s="90"/>
      <c r="CO240" s="90"/>
      <c r="CP240" s="90"/>
      <c r="CQ240" s="90"/>
      <c r="CR240" s="90"/>
      <c r="CS240" s="90"/>
      <c r="CT240" s="90"/>
      <c r="CU240" s="90"/>
      <c r="CV240" s="90"/>
      <c r="CW240" s="90"/>
    </row>
    <row r="241" ht="16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0"/>
      <c r="CR241" s="90"/>
      <c r="CS241" s="90"/>
      <c r="CT241" s="90"/>
      <c r="CU241" s="90"/>
      <c r="CV241" s="90"/>
      <c r="CW241" s="90"/>
    </row>
    <row r="242" ht="16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K242" s="90"/>
      <c r="CL242" s="90"/>
      <c r="CM242" s="90"/>
      <c r="CN242" s="90"/>
      <c r="CO242" s="90"/>
      <c r="CP242" s="90"/>
      <c r="CQ242" s="90"/>
      <c r="CR242" s="90"/>
      <c r="CS242" s="90"/>
      <c r="CT242" s="90"/>
      <c r="CU242" s="90"/>
      <c r="CV242" s="90"/>
      <c r="CW242" s="90"/>
    </row>
    <row r="243" ht="16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</row>
    <row r="244" ht="16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K244" s="90"/>
      <c r="CL244" s="90"/>
      <c r="CM244" s="90"/>
      <c r="CN244" s="90"/>
      <c r="CO244" s="90"/>
      <c r="CP244" s="90"/>
      <c r="CQ244" s="90"/>
      <c r="CR244" s="90"/>
      <c r="CS244" s="90"/>
      <c r="CT244" s="90"/>
      <c r="CU244" s="90"/>
      <c r="CV244" s="90"/>
      <c r="CW244" s="90"/>
    </row>
    <row r="245" ht="16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0"/>
      <c r="CR245" s="90"/>
      <c r="CS245" s="90"/>
      <c r="CT245" s="90"/>
      <c r="CU245" s="90"/>
      <c r="CV245" s="90"/>
      <c r="CW245" s="90"/>
    </row>
    <row r="246" ht="16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  <c r="CN246" s="90"/>
      <c r="CO246" s="90"/>
      <c r="CP246" s="90"/>
      <c r="CQ246" s="90"/>
      <c r="CR246" s="90"/>
      <c r="CS246" s="90"/>
      <c r="CT246" s="90"/>
      <c r="CU246" s="90"/>
      <c r="CV246" s="90"/>
      <c r="CW246" s="90"/>
    </row>
    <row r="247" ht="16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</row>
    <row r="248" ht="16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  <c r="CN248" s="90"/>
      <c r="CO248" s="90"/>
      <c r="CP248" s="90"/>
      <c r="CQ248" s="90"/>
      <c r="CR248" s="90"/>
      <c r="CS248" s="90"/>
      <c r="CT248" s="90"/>
      <c r="CU248" s="90"/>
      <c r="CV248" s="90"/>
      <c r="CW248" s="90"/>
    </row>
    <row r="249" ht="16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</row>
    <row r="250" ht="16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  <c r="CN250" s="90"/>
      <c r="CO250" s="90"/>
      <c r="CP250" s="90"/>
      <c r="CQ250" s="90"/>
      <c r="CR250" s="90"/>
      <c r="CS250" s="90"/>
      <c r="CT250" s="90"/>
      <c r="CU250" s="90"/>
      <c r="CV250" s="90"/>
      <c r="CW250" s="90"/>
    </row>
    <row r="251" ht="16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</row>
    <row r="252" ht="16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  <c r="CN252" s="90"/>
      <c r="CO252" s="90"/>
      <c r="CP252" s="90"/>
      <c r="CQ252" s="90"/>
      <c r="CR252" s="90"/>
      <c r="CS252" s="90"/>
      <c r="CT252" s="90"/>
      <c r="CU252" s="90"/>
      <c r="CV252" s="90"/>
      <c r="CW252" s="90"/>
    </row>
    <row r="253" ht="16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0"/>
      <c r="CR253" s="90"/>
      <c r="CS253" s="90"/>
      <c r="CT253" s="90"/>
      <c r="CU253" s="90"/>
      <c r="CV253" s="90"/>
      <c r="CW253" s="90"/>
    </row>
    <row r="254" ht="16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K254" s="90"/>
      <c r="CL254" s="90"/>
      <c r="CM254" s="90"/>
      <c r="CN254" s="90"/>
      <c r="CO254" s="90"/>
      <c r="CP254" s="90"/>
      <c r="CQ254" s="90"/>
      <c r="CR254" s="90"/>
      <c r="CS254" s="90"/>
      <c r="CT254" s="90"/>
      <c r="CU254" s="90"/>
      <c r="CV254" s="90"/>
      <c r="CW254" s="90"/>
    </row>
    <row r="255" ht="16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0"/>
      <c r="CR255" s="90"/>
      <c r="CS255" s="90"/>
      <c r="CT255" s="90"/>
      <c r="CU255" s="90"/>
      <c r="CV255" s="90"/>
      <c r="CW255" s="90"/>
    </row>
    <row r="256" ht="16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K256" s="90"/>
      <c r="CL256" s="90"/>
      <c r="CM256" s="90"/>
      <c r="CN256" s="90"/>
      <c r="CO256" s="90"/>
      <c r="CP256" s="90"/>
      <c r="CQ256" s="90"/>
      <c r="CR256" s="90"/>
      <c r="CS256" s="90"/>
      <c r="CT256" s="90"/>
      <c r="CU256" s="90"/>
      <c r="CV256" s="90"/>
      <c r="CW256" s="90"/>
    </row>
    <row r="257" ht="16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0"/>
      <c r="CR257" s="90"/>
      <c r="CS257" s="90"/>
      <c r="CT257" s="90"/>
      <c r="CU257" s="90"/>
      <c r="CV257" s="90"/>
      <c r="CW257" s="90"/>
    </row>
    <row r="258" ht="16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K258" s="90"/>
      <c r="CL258" s="90"/>
      <c r="CM258" s="90"/>
      <c r="CN258" s="90"/>
      <c r="CO258" s="90"/>
      <c r="CP258" s="90"/>
      <c r="CQ258" s="90"/>
      <c r="CR258" s="90"/>
      <c r="CS258" s="90"/>
      <c r="CT258" s="90"/>
      <c r="CU258" s="90"/>
      <c r="CV258" s="90"/>
      <c r="CW258" s="90"/>
    </row>
    <row r="259" ht="16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0"/>
      <c r="CR259" s="90"/>
      <c r="CS259" s="90"/>
      <c r="CT259" s="90"/>
      <c r="CU259" s="90"/>
      <c r="CV259" s="90"/>
      <c r="CW259" s="90"/>
    </row>
    <row r="260" ht="16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K260" s="90"/>
      <c r="CL260" s="90"/>
      <c r="CM260" s="90"/>
      <c r="CN260" s="90"/>
      <c r="CO260" s="90"/>
      <c r="CP260" s="90"/>
      <c r="CQ260" s="90"/>
      <c r="CR260" s="90"/>
      <c r="CS260" s="90"/>
      <c r="CT260" s="90"/>
      <c r="CU260" s="90"/>
      <c r="CV260" s="90"/>
      <c r="CW260" s="90"/>
    </row>
    <row r="261" ht="16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0"/>
      <c r="CR261" s="90"/>
      <c r="CS261" s="90"/>
      <c r="CT261" s="90"/>
      <c r="CU261" s="90"/>
      <c r="CV261" s="90"/>
      <c r="CW261" s="90"/>
    </row>
    <row r="262" ht="16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  <c r="CN262" s="90"/>
      <c r="CO262" s="90"/>
      <c r="CP262" s="90"/>
      <c r="CQ262" s="90"/>
      <c r="CR262" s="90"/>
      <c r="CS262" s="90"/>
      <c r="CT262" s="90"/>
      <c r="CU262" s="90"/>
      <c r="CV262" s="90"/>
      <c r="CW262" s="90"/>
    </row>
    <row r="263" ht="16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0"/>
      <c r="CR263" s="90"/>
      <c r="CS263" s="90"/>
      <c r="CT263" s="90"/>
      <c r="CU263" s="90"/>
      <c r="CV263" s="90"/>
      <c r="CW263" s="90"/>
    </row>
    <row r="264" ht="16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K264" s="90"/>
      <c r="CL264" s="90"/>
      <c r="CM264" s="90"/>
      <c r="CN264" s="90"/>
      <c r="CO264" s="90"/>
      <c r="CP264" s="90"/>
      <c r="CQ264" s="90"/>
      <c r="CR264" s="90"/>
      <c r="CS264" s="90"/>
      <c r="CT264" s="90"/>
      <c r="CU264" s="90"/>
      <c r="CV264" s="90"/>
      <c r="CW264" s="90"/>
    </row>
    <row r="265" ht="16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0"/>
      <c r="CR265" s="90"/>
      <c r="CS265" s="90"/>
      <c r="CT265" s="90"/>
      <c r="CU265" s="90"/>
      <c r="CV265" s="90"/>
      <c r="CW265" s="90"/>
    </row>
    <row r="266" ht="16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K266" s="90"/>
      <c r="CL266" s="90"/>
      <c r="CM266" s="90"/>
      <c r="CN266" s="90"/>
      <c r="CO266" s="90"/>
      <c r="CP266" s="90"/>
      <c r="CQ266" s="90"/>
      <c r="CR266" s="90"/>
      <c r="CS266" s="90"/>
      <c r="CT266" s="90"/>
      <c r="CU266" s="90"/>
      <c r="CV266" s="90"/>
      <c r="CW266" s="90"/>
    </row>
    <row r="267" ht="16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0"/>
      <c r="CR267" s="90"/>
      <c r="CS267" s="90"/>
      <c r="CT267" s="90"/>
      <c r="CU267" s="90"/>
      <c r="CV267" s="90"/>
      <c r="CW267" s="90"/>
    </row>
    <row r="268" ht="16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K268" s="90"/>
      <c r="CL268" s="90"/>
      <c r="CM268" s="90"/>
      <c r="CN268" s="90"/>
      <c r="CO268" s="90"/>
      <c r="CP268" s="90"/>
      <c r="CQ268" s="90"/>
      <c r="CR268" s="90"/>
      <c r="CS268" s="90"/>
      <c r="CT268" s="90"/>
      <c r="CU268" s="90"/>
      <c r="CV268" s="90"/>
      <c r="CW268" s="90"/>
    </row>
    <row r="269" ht="16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  <c r="CN269" s="90"/>
      <c r="CO269" s="90"/>
      <c r="CP269" s="90"/>
      <c r="CQ269" s="90"/>
      <c r="CR269" s="90"/>
      <c r="CS269" s="90"/>
      <c r="CT269" s="90"/>
      <c r="CU269" s="90"/>
      <c r="CV269" s="90"/>
      <c r="CW269" s="90"/>
    </row>
    <row r="270" ht="16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K270" s="90"/>
      <c r="CL270" s="90"/>
      <c r="CM270" s="90"/>
      <c r="CN270" s="90"/>
      <c r="CO270" s="90"/>
      <c r="CP270" s="90"/>
      <c r="CQ270" s="90"/>
      <c r="CR270" s="90"/>
      <c r="CS270" s="90"/>
      <c r="CT270" s="90"/>
      <c r="CU270" s="90"/>
      <c r="CV270" s="90"/>
      <c r="CW270" s="90"/>
    </row>
    <row r="271" ht="16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0"/>
      <c r="CR271" s="90"/>
      <c r="CS271" s="90"/>
      <c r="CT271" s="90"/>
      <c r="CU271" s="90"/>
      <c r="CV271" s="90"/>
      <c r="CW271" s="90"/>
    </row>
    <row r="272" ht="16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K272" s="90"/>
      <c r="CL272" s="90"/>
      <c r="CM272" s="90"/>
      <c r="CN272" s="90"/>
      <c r="CO272" s="90"/>
      <c r="CP272" s="90"/>
      <c r="CQ272" s="90"/>
      <c r="CR272" s="90"/>
      <c r="CS272" s="90"/>
      <c r="CT272" s="90"/>
      <c r="CU272" s="90"/>
      <c r="CV272" s="90"/>
      <c r="CW272" s="90"/>
    </row>
    <row r="273" ht="16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0"/>
      <c r="CR273" s="90"/>
      <c r="CS273" s="90"/>
      <c r="CT273" s="90"/>
      <c r="CU273" s="90"/>
      <c r="CV273" s="90"/>
      <c r="CW273" s="90"/>
    </row>
    <row r="274" ht="16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K274" s="90"/>
      <c r="CL274" s="90"/>
      <c r="CM274" s="90"/>
      <c r="CN274" s="90"/>
      <c r="CO274" s="90"/>
      <c r="CP274" s="90"/>
      <c r="CQ274" s="90"/>
      <c r="CR274" s="90"/>
      <c r="CS274" s="90"/>
      <c r="CT274" s="90"/>
      <c r="CU274" s="90"/>
      <c r="CV274" s="90"/>
      <c r="CW274" s="90"/>
    </row>
    <row r="275" ht="16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0"/>
      <c r="CR275" s="90"/>
      <c r="CS275" s="90"/>
      <c r="CT275" s="90"/>
      <c r="CU275" s="90"/>
      <c r="CV275" s="90"/>
      <c r="CW275" s="90"/>
    </row>
    <row r="276" ht="16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K276" s="90"/>
      <c r="CL276" s="90"/>
      <c r="CM276" s="90"/>
      <c r="CN276" s="90"/>
      <c r="CO276" s="90"/>
      <c r="CP276" s="90"/>
      <c r="CQ276" s="90"/>
      <c r="CR276" s="90"/>
      <c r="CS276" s="90"/>
      <c r="CT276" s="90"/>
      <c r="CU276" s="90"/>
      <c r="CV276" s="90"/>
      <c r="CW276" s="90"/>
    </row>
    <row r="277" ht="16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0"/>
      <c r="CR277" s="90"/>
      <c r="CS277" s="90"/>
      <c r="CT277" s="90"/>
      <c r="CU277" s="90"/>
      <c r="CV277" s="90"/>
      <c r="CW277" s="90"/>
    </row>
    <row r="278" ht="16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K278" s="90"/>
      <c r="CL278" s="90"/>
      <c r="CM278" s="90"/>
      <c r="CN278" s="90"/>
      <c r="CO278" s="90"/>
      <c r="CP278" s="90"/>
      <c r="CQ278" s="90"/>
      <c r="CR278" s="90"/>
      <c r="CS278" s="90"/>
      <c r="CT278" s="90"/>
      <c r="CU278" s="90"/>
      <c r="CV278" s="90"/>
      <c r="CW278" s="90"/>
    </row>
    <row r="279" ht="16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0"/>
      <c r="CR279" s="90"/>
      <c r="CS279" s="90"/>
      <c r="CT279" s="90"/>
      <c r="CU279" s="90"/>
      <c r="CV279" s="90"/>
      <c r="CW279" s="90"/>
    </row>
    <row r="280" ht="16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K280" s="90"/>
      <c r="CL280" s="90"/>
      <c r="CM280" s="90"/>
      <c r="CN280" s="90"/>
      <c r="CO280" s="90"/>
      <c r="CP280" s="90"/>
      <c r="CQ280" s="90"/>
      <c r="CR280" s="90"/>
      <c r="CS280" s="90"/>
      <c r="CT280" s="90"/>
      <c r="CU280" s="90"/>
      <c r="CV280" s="90"/>
      <c r="CW280" s="90"/>
    </row>
    <row r="281" ht="16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0"/>
      <c r="CR281" s="90"/>
      <c r="CS281" s="90"/>
      <c r="CT281" s="90"/>
      <c r="CU281" s="90"/>
      <c r="CV281" s="90"/>
      <c r="CW281" s="90"/>
    </row>
    <row r="282" ht="16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K282" s="90"/>
      <c r="CL282" s="90"/>
      <c r="CM282" s="90"/>
      <c r="CN282" s="90"/>
      <c r="CO282" s="90"/>
      <c r="CP282" s="90"/>
      <c r="CQ282" s="90"/>
      <c r="CR282" s="90"/>
      <c r="CS282" s="90"/>
      <c r="CT282" s="90"/>
      <c r="CU282" s="90"/>
      <c r="CV282" s="90"/>
      <c r="CW282" s="90"/>
    </row>
    <row r="283" ht="16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0"/>
      <c r="CR283" s="90"/>
      <c r="CS283" s="90"/>
      <c r="CT283" s="90"/>
      <c r="CU283" s="90"/>
      <c r="CV283" s="90"/>
      <c r="CW283" s="90"/>
    </row>
    <row r="284" ht="16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K284" s="90"/>
      <c r="CL284" s="90"/>
      <c r="CM284" s="90"/>
      <c r="CN284" s="90"/>
      <c r="CO284" s="90"/>
      <c r="CP284" s="90"/>
      <c r="CQ284" s="90"/>
      <c r="CR284" s="90"/>
      <c r="CS284" s="90"/>
      <c r="CT284" s="90"/>
      <c r="CU284" s="90"/>
      <c r="CV284" s="90"/>
      <c r="CW284" s="90"/>
    </row>
    <row r="285" ht="16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0"/>
      <c r="CR285" s="90"/>
      <c r="CS285" s="90"/>
      <c r="CT285" s="90"/>
      <c r="CU285" s="90"/>
      <c r="CV285" s="90"/>
      <c r="CW285" s="90"/>
    </row>
    <row r="286" ht="16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K286" s="90"/>
      <c r="CL286" s="90"/>
      <c r="CM286" s="90"/>
      <c r="CN286" s="90"/>
      <c r="CO286" s="90"/>
      <c r="CP286" s="90"/>
      <c r="CQ286" s="90"/>
      <c r="CR286" s="90"/>
      <c r="CS286" s="90"/>
      <c r="CT286" s="90"/>
      <c r="CU286" s="90"/>
      <c r="CV286" s="90"/>
      <c r="CW286" s="90"/>
    </row>
    <row r="287" ht="16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0"/>
      <c r="CR287" s="90"/>
      <c r="CS287" s="90"/>
      <c r="CT287" s="90"/>
      <c r="CU287" s="90"/>
      <c r="CV287" s="90"/>
      <c r="CW287" s="90"/>
    </row>
    <row r="288" ht="16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K288" s="90"/>
      <c r="CL288" s="90"/>
      <c r="CM288" s="90"/>
      <c r="CN288" s="90"/>
      <c r="CO288" s="90"/>
      <c r="CP288" s="90"/>
      <c r="CQ288" s="90"/>
      <c r="CR288" s="90"/>
      <c r="CS288" s="90"/>
      <c r="CT288" s="90"/>
      <c r="CU288" s="90"/>
      <c r="CV288" s="90"/>
      <c r="CW288" s="90"/>
    </row>
    <row r="289" ht="16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0"/>
      <c r="CR289" s="90"/>
      <c r="CS289" s="90"/>
      <c r="CT289" s="90"/>
      <c r="CU289" s="90"/>
      <c r="CV289" s="90"/>
      <c r="CW289" s="90"/>
    </row>
    <row r="290" ht="16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K290" s="90"/>
      <c r="CL290" s="90"/>
      <c r="CM290" s="90"/>
      <c r="CN290" s="90"/>
      <c r="CO290" s="90"/>
      <c r="CP290" s="90"/>
      <c r="CQ290" s="90"/>
      <c r="CR290" s="90"/>
      <c r="CS290" s="90"/>
      <c r="CT290" s="90"/>
      <c r="CU290" s="90"/>
      <c r="CV290" s="90"/>
      <c r="CW290" s="90"/>
    </row>
    <row r="291" ht="16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0"/>
      <c r="CR291" s="90"/>
      <c r="CS291" s="90"/>
      <c r="CT291" s="90"/>
      <c r="CU291" s="90"/>
      <c r="CV291" s="90"/>
      <c r="CW291" s="90"/>
    </row>
    <row r="292" ht="16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K292" s="90"/>
      <c r="CL292" s="90"/>
      <c r="CM292" s="90"/>
      <c r="CN292" s="90"/>
      <c r="CO292" s="90"/>
      <c r="CP292" s="90"/>
      <c r="CQ292" s="90"/>
      <c r="CR292" s="90"/>
      <c r="CS292" s="90"/>
      <c r="CT292" s="90"/>
      <c r="CU292" s="90"/>
      <c r="CV292" s="90"/>
      <c r="CW292" s="90"/>
    </row>
    <row r="293" ht="16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  <c r="CN293" s="90"/>
      <c r="CO293" s="90"/>
      <c r="CP293" s="90"/>
      <c r="CQ293" s="90"/>
      <c r="CR293" s="90"/>
      <c r="CS293" s="90"/>
      <c r="CT293" s="90"/>
      <c r="CU293" s="90"/>
      <c r="CV293" s="90"/>
      <c r="CW293" s="90"/>
    </row>
    <row r="294" ht="16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K294" s="90"/>
      <c r="CL294" s="90"/>
      <c r="CM294" s="90"/>
      <c r="CN294" s="90"/>
      <c r="CO294" s="90"/>
      <c r="CP294" s="90"/>
      <c r="CQ294" s="90"/>
      <c r="CR294" s="90"/>
      <c r="CS294" s="90"/>
      <c r="CT294" s="90"/>
      <c r="CU294" s="90"/>
      <c r="CV294" s="90"/>
      <c r="CW294" s="90"/>
    </row>
    <row r="295" ht="16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0"/>
      <c r="CR295" s="90"/>
      <c r="CS295" s="90"/>
      <c r="CT295" s="90"/>
      <c r="CU295" s="90"/>
      <c r="CV295" s="90"/>
      <c r="CW295" s="90"/>
    </row>
    <row r="296" ht="16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K296" s="90"/>
      <c r="CL296" s="90"/>
      <c r="CM296" s="90"/>
      <c r="CN296" s="90"/>
      <c r="CO296" s="90"/>
      <c r="CP296" s="90"/>
      <c r="CQ296" s="90"/>
      <c r="CR296" s="90"/>
      <c r="CS296" s="90"/>
      <c r="CT296" s="90"/>
      <c r="CU296" s="90"/>
      <c r="CV296" s="90"/>
      <c r="CW296" s="90"/>
    </row>
    <row r="297" ht="16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0"/>
      <c r="CR297" s="90"/>
      <c r="CS297" s="90"/>
      <c r="CT297" s="90"/>
      <c r="CU297" s="90"/>
      <c r="CV297" s="90"/>
      <c r="CW297" s="90"/>
    </row>
    <row r="298" ht="16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K298" s="90"/>
      <c r="CL298" s="90"/>
      <c r="CM298" s="90"/>
      <c r="CN298" s="90"/>
      <c r="CO298" s="90"/>
      <c r="CP298" s="90"/>
      <c r="CQ298" s="90"/>
      <c r="CR298" s="90"/>
      <c r="CS298" s="90"/>
      <c r="CT298" s="90"/>
      <c r="CU298" s="90"/>
      <c r="CV298" s="90"/>
      <c r="CW298" s="90"/>
    </row>
    <row r="299" ht="16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0"/>
      <c r="CR299" s="90"/>
      <c r="CS299" s="90"/>
      <c r="CT299" s="90"/>
      <c r="CU299" s="90"/>
      <c r="CV299" s="90"/>
      <c r="CW299" s="90"/>
    </row>
    <row r="300" ht="16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K300" s="90"/>
      <c r="CL300" s="90"/>
      <c r="CM300" s="90"/>
      <c r="CN300" s="90"/>
      <c r="CO300" s="90"/>
      <c r="CP300" s="90"/>
      <c r="CQ300" s="90"/>
      <c r="CR300" s="90"/>
      <c r="CS300" s="90"/>
      <c r="CT300" s="90"/>
      <c r="CU300" s="90"/>
      <c r="CV300" s="90"/>
      <c r="CW300" s="90"/>
    </row>
    <row r="301" ht="16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  <c r="CN301" s="90"/>
      <c r="CO301" s="90"/>
      <c r="CP301" s="90"/>
      <c r="CQ301" s="90"/>
      <c r="CR301" s="90"/>
      <c r="CS301" s="90"/>
      <c r="CT301" s="90"/>
      <c r="CU301" s="90"/>
      <c r="CV301" s="90"/>
      <c r="CW301" s="90"/>
    </row>
    <row r="302" ht="16.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K302" s="90"/>
      <c r="CL302" s="90"/>
      <c r="CM302" s="90"/>
      <c r="CN302" s="90"/>
      <c r="CO302" s="90"/>
      <c r="CP302" s="90"/>
      <c r="CQ302" s="90"/>
      <c r="CR302" s="90"/>
      <c r="CS302" s="90"/>
      <c r="CT302" s="90"/>
      <c r="CU302" s="90"/>
      <c r="CV302" s="90"/>
      <c r="CW302" s="90"/>
    </row>
    <row r="303" ht="16.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  <c r="CN303" s="90"/>
      <c r="CO303" s="90"/>
      <c r="CP303" s="90"/>
      <c r="CQ303" s="90"/>
      <c r="CR303" s="90"/>
      <c r="CS303" s="90"/>
      <c r="CT303" s="90"/>
      <c r="CU303" s="90"/>
      <c r="CV303" s="90"/>
      <c r="CW303" s="90"/>
    </row>
    <row r="304" ht="16.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K304" s="90"/>
      <c r="CL304" s="90"/>
      <c r="CM304" s="90"/>
      <c r="CN304" s="90"/>
      <c r="CO304" s="90"/>
      <c r="CP304" s="90"/>
      <c r="CQ304" s="90"/>
      <c r="CR304" s="90"/>
      <c r="CS304" s="90"/>
      <c r="CT304" s="90"/>
      <c r="CU304" s="90"/>
      <c r="CV304" s="90"/>
      <c r="CW304" s="90"/>
    </row>
    <row r="305" ht="16.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</row>
    <row r="306" ht="16.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K306" s="90"/>
      <c r="CL306" s="90"/>
      <c r="CM306" s="90"/>
      <c r="CN306" s="90"/>
      <c r="CO306" s="90"/>
      <c r="CP306" s="90"/>
      <c r="CQ306" s="90"/>
      <c r="CR306" s="90"/>
      <c r="CS306" s="90"/>
      <c r="CT306" s="90"/>
      <c r="CU306" s="90"/>
      <c r="CV306" s="90"/>
      <c r="CW306" s="90"/>
    </row>
    <row r="307" ht="16.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  <c r="CN307" s="90"/>
      <c r="CO307" s="90"/>
      <c r="CP307" s="90"/>
      <c r="CQ307" s="90"/>
      <c r="CR307" s="90"/>
      <c r="CS307" s="90"/>
      <c r="CT307" s="90"/>
      <c r="CU307" s="90"/>
      <c r="CV307" s="90"/>
      <c r="CW307" s="90"/>
    </row>
    <row r="308" ht="16.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K308" s="90"/>
      <c r="CL308" s="90"/>
      <c r="CM308" s="90"/>
      <c r="CN308" s="90"/>
      <c r="CO308" s="90"/>
      <c r="CP308" s="90"/>
      <c r="CQ308" s="90"/>
      <c r="CR308" s="90"/>
      <c r="CS308" s="90"/>
      <c r="CT308" s="90"/>
      <c r="CU308" s="90"/>
      <c r="CV308" s="90"/>
      <c r="CW308" s="90"/>
    </row>
    <row r="309" ht="16.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  <c r="CN309" s="90"/>
      <c r="CO309" s="90"/>
      <c r="CP309" s="90"/>
      <c r="CQ309" s="90"/>
      <c r="CR309" s="90"/>
      <c r="CS309" s="90"/>
      <c r="CT309" s="90"/>
      <c r="CU309" s="90"/>
      <c r="CV309" s="90"/>
      <c r="CW309" s="90"/>
    </row>
    <row r="310" ht="16.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  <c r="CN310" s="90"/>
      <c r="CO310" s="90"/>
      <c r="CP310" s="90"/>
      <c r="CQ310" s="90"/>
      <c r="CR310" s="90"/>
      <c r="CS310" s="90"/>
      <c r="CT310" s="90"/>
      <c r="CU310" s="90"/>
      <c r="CV310" s="90"/>
      <c r="CW310" s="90"/>
    </row>
    <row r="311" ht="16.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0"/>
      <c r="CR311" s="90"/>
      <c r="CS311" s="90"/>
      <c r="CT311" s="90"/>
      <c r="CU311" s="90"/>
      <c r="CV311" s="90"/>
      <c r="CW311" s="90"/>
    </row>
    <row r="312" ht="16.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K312" s="90"/>
      <c r="CL312" s="90"/>
      <c r="CM312" s="90"/>
      <c r="CN312" s="90"/>
      <c r="CO312" s="90"/>
      <c r="CP312" s="90"/>
      <c r="CQ312" s="90"/>
      <c r="CR312" s="90"/>
      <c r="CS312" s="90"/>
      <c r="CT312" s="90"/>
      <c r="CU312" s="90"/>
      <c r="CV312" s="90"/>
      <c r="CW312" s="90"/>
    </row>
    <row r="313" ht="16.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0"/>
      <c r="CR313" s="90"/>
      <c r="CS313" s="90"/>
      <c r="CT313" s="90"/>
      <c r="CU313" s="90"/>
      <c r="CV313" s="90"/>
      <c r="CW313" s="90"/>
    </row>
    <row r="314" ht="16.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K314" s="90"/>
      <c r="CL314" s="90"/>
      <c r="CM314" s="90"/>
      <c r="CN314" s="90"/>
      <c r="CO314" s="90"/>
      <c r="CP314" s="90"/>
      <c r="CQ314" s="90"/>
      <c r="CR314" s="90"/>
      <c r="CS314" s="90"/>
      <c r="CT314" s="90"/>
      <c r="CU314" s="90"/>
      <c r="CV314" s="90"/>
      <c r="CW314" s="90"/>
    </row>
    <row r="315" ht="16.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</row>
    <row r="316" ht="16.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0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K316" s="90"/>
      <c r="CL316" s="90"/>
      <c r="CM316" s="90"/>
      <c r="CN316" s="90"/>
      <c r="CO316" s="90"/>
      <c r="CP316" s="90"/>
      <c r="CQ316" s="90"/>
      <c r="CR316" s="90"/>
      <c r="CS316" s="90"/>
      <c r="CT316" s="90"/>
      <c r="CU316" s="90"/>
      <c r="CV316" s="90"/>
      <c r="CW316" s="90"/>
    </row>
    <row r="317" ht="16.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0"/>
      <c r="CR317" s="90"/>
      <c r="CS317" s="90"/>
      <c r="CT317" s="90"/>
      <c r="CU317" s="90"/>
      <c r="CV317" s="90"/>
      <c r="CW317" s="90"/>
    </row>
    <row r="318" ht="16.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0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K318" s="90"/>
      <c r="CL318" s="90"/>
      <c r="CM318" s="90"/>
      <c r="CN318" s="90"/>
      <c r="CO318" s="90"/>
      <c r="CP318" s="90"/>
      <c r="CQ318" s="90"/>
      <c r="CR318" s="90"/>
      <c r="CS318" s="90"/>
      <c r="CT318" s="90"/>
      <c r="CU318" s="90"/>
      <c r="CV318" s="90"/>
      <c r="CW318" s="90"/>
    </row>
    <row r="319" ht="16.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0"/>
      <c r="CR319" s="90"/>
      <c r="CS319" s="90"/>
      <c r="CT319" s="90"/>
      <c r="CU319" s="90"/>
      <c r="CV319" s="90"/>
      <c r="CW319" s="90"/>
    </row>
    <row r="320" ht="16.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0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K320" s="90"/>
      <c r="CL320" s="90"/>
      <c r="CM320" s="90"/>
      <c r="CN320" s="90"/>
      <c r="CO320" s="90"/>
      <c r="CP320" s="90"/>
      <c r="CQ320" s="90"/>
      <c r="CR320" s="90"/>
      <c r="CS320" s="90"/>
      <c r="CT320" s="90"/>
      <c r="CU320" s="90"/>
      <c r="CV320" s="90"/>
      <c r="CW320" s="90"/>
    </row>
    <row r="321" ht="16.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0"/>
      <c r="CR321" s="90"/>
      <c r="CS321" s="90"/>
      <c r="CT321" s="90"/>
      <c r="CU321" s="90"/>
      <c r="CV321" s="90"/>
      <c r="CW321" s="90"/>
    </row>
    <row r="322" ht="16.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0"/>
      <c r="BS322" s="90"/>
      <c r="BT322" s="90"/>
      <c r="BU322" s="90"/>
      <c r="BV322" s="90"/>
      <c r="BW322" s="90"/>
      <c r="BX322" s="90"/>
      <c r="BY322" s="90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K322" s="90"/>
      <c r="CL322" s="90"/>
      <c r="CM322" s="90"/>
      <c r="CN322" s="90"/>
      <c r="CO322" s="90"/>
      <c r="CP322" s="90"/>
      <c r="CQ322" s="90"/>
      <c r="CR322" s="90"/>
      <c r="CS322" s="90"/>
      <c r="CT322" s="90"/>
      <c r="CU322" s="90"/>
      <c r="CV322" s="90"/>
      <c r="CW322" s="90"/>
    </row>
    <row r="323" ht="16.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  <c r="CN323" s="90"/>
      <c r="CO323" s="90"/>
      <c r="CP323" s="90"/>
      <c r="CQ323" s="90"/>
      <c r="CR323" s="90"/>
      <c r="CS323" s="90"/>
      <c r="CT323" s="90"/>
      <c r="CU323" s="90"/>
      <c r="CV323" s="90"/>
      <c r="CW323" s="90"/>
    </row>
    <row r="324" ht="16.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0"/>
      <c r="BS324" s="90"/>
      <c r="BT324" s="90"/>
      <c r="BU324" s="90"/>
      <c r="BV324" s="90"/>
      <c r="BW324" s="90"/>
      <c r="BX324" s="90"/>
      <c r="BY324" s="90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K324" s="90"/>
      <c r="CL324" s="90"/>
      <c r="CM324" s="90"/>
      <c r="CN324" s="90"/>
      <c r="CO324" s="90"/>
      <c r="CP324" s="90"/>
      <c r="CQ324" s="90"/>
      <c r="CR324" s="90"/>
      <c r="CS324" s="90"/>
      <c r="CT324" s="90"/>
      <c r="CU324" s="90"/>
      <c r="CV324" s="90"/>
      <c r="CW324" s="90"/>
    </row>
    <row r="325" ht="16.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  <c r="CN325" s="90"/>
      <c r="CO325" s="90"/>
      <c r="CP325" s="90"/>
      <c r="CQ325" s="90"/>
      <c r="CR325" s="90"/>
      <c r="CS325" s="90"/>
      <c r="CT325" s="90"/>
      <c r="CU325" s="90"/>
      <c r="CV325" s="90"/>
      <c r="CW325" s="90"/>
    </row>
    <row r="326" ht="16.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0"/>
      <c r="BS326" s="90"/>
      <c r="BT326" s="90"/>
      <c r="BU326" s="90"/>
      <c r="BV326" s="90"/>
      <c r="BW326" s="90"/>
      <c r="BX326" s="90"/>
      <c r="BY326" s="90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K326" s="90"/>
      <c r="CL326" s="90"/>
      <c r="CM326" s="90"/>
      <c r="CN326" s="90"/>
      <c r="CO326" s="90"/>
      <c r="CP326" s="90"/>
      <c r="CQ326" s="90"/>
      <c r="CR326" s="90"/>
      <c r="CS326" s="90"/>
      <c r="CT326" s="90"/>
      <c r="CU326" s="90"/>
      <c r="CV326" s="90"/>
      <c r="CW326" s="90"/>
    </row>
    <row r="327" ht="16.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  <c r="CN327" s="90"/>
      <c r="CO327" s="90"/>
      <c r="CP327" s="90"/>
      <c r="CQ327" s="90"/>
      <c r="CR327" s="90"/>
      <c r="CS327" s="90"/>
      <c r="CT327" s="90"/>
      <c r="CU327" s="90"/>
      <c r="CV327" s="90"/>
      <c r="CW327" s="90"/>
    </row>
    <row r="328" ht="16.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0"/>
      <c r="BS328" s="90"/>
      <c r="BT328" s="90"/>
      <c r="BU328" s="90"/>
      <c r="BV328" s="90"/>
      <c r="BW328" s="90"/>
      <c r="BX328" s="90"/>
      <c r="BY328" s="90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K328" s="90"/>
      <c r="CL328" s="90"/>
      <c r="CM328" s="90"/>
      <c r="CN328" s="90"/>
      <c r="CO328" s="90"/>
      <c r="CP328" s="90"/>
      <c r="CQ328" s="90"/>
      <c r="CR328" s="90"/>
      <c r="CS328" s="90"/>
      <c r="CT328" s="90"/>
      <c r="CU328" s="90"/>
      <c r="CV328" s="90"/>
      <c r="CW328" s="90"/>
    </row>
    <row r="329" ht="16.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  <c r="CN329" s="90"/>
      <c r="CO329" s="90"/>
      <c r="CP329" s="90"/>
      <c r="CQ329" s="90"/>
      <c r="CR329" s="90"/>
      <c r="CS329" s="90"/>
      <c r="CT329" s="90"/>
      <c r="CU329" s="90"/>
      <c r="CV329" s="90"/>
      <c r="CW329" s="90"/>
    </row>
    <row r="330" ht="16.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0"/>
      <c r="BS330" s="90"/>
      <c r="BT330" s="90"/>
      <c r="BU330" s="90"/>
      <c r="BV330" s="90"/>
      <c r="BW330" s="90"/>
      <c r="BX330" s="90"/>
      <c r="BY330" s="90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K330" s="90"/>
      <c r="CL330" s="90"/>
      <c r="CM330" s="90"/>
      <c r="CN330" s="90"/>
      <c r="CO330" s="90"/>
      <c r="CP330" s="90"/>
      <c r="CQ330" s="90"/>
      <c r="CR330" s="90"/>
      <c r="CS330" s="90"/>
      <c r="CT330" s="90"/>
      <c r="CU330" s="90"/>
      <c r="CV330" s="90"/>
      <c r="CW330" s="90"/>
    </row>
    <row r="331" ht="16.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  <c r="CN331" s="90"/>
      <c r="CO331" s="90"/>
      <c r="CP331" s="90"/>
      <c r="CQ331" s="90"/>
      <c r="CR331" s="90"/>
      <c r="CS331" s="90"/>
      <c r="CT331" s="90"/>
      <c r="CU331" s="90"/>
      <c r="CV331" s="90"/>
      <c r="CW331" s="90"/>
    </row>
    <row r="332" ht="16.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90"/>
      <c r="BR332" s="90"/>
      <c r="BS332" s="90"/>
      <c r="BT332" s="90"/>
      <c r="BU332" s="90"/>
      <c r="BV332" s="90"/>
      <c r="BW332" s="90"/>
      <c r="BX332" s="90"/>
      <c r="BY332" s="90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K332" s="90"/>
      <c r="CL332" s="90"/>
      <c r="CM332" s="90"/>
      <c r="CN332" s="90"/>
      <c r="CO332" s="90"/>
      <c r="CP332" s="90"/>
      <c r="CQ332" s="90"/>
      <c r="CR332" s="90"/>
      <c r="CS332" s="90"/>
      <c r="CT332" s="90"/>
      <c r="CU332" s="90"/>
      <c r="CV332" s="90"/>
      <c r="CW332" s="90"/>
    </row>
    <row r="333" ht="16.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90"/>
      <c r="BR333" s="90"/>
      <c r="BS333" s="90"/>
      <c r="BT333" s="90"/>
      <c r="BU333" s="90"/>
      <c r="BV333" s="90"/>
      <c r="BW333" s="90"/>
      <c r="BX333" s="90"/>
      <c r="BY333" s="90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K333" s="90"/>
      <c r="CL333" s="90"/>
      <c r="CM333" s="90"/>
      <c r="CN333" s="90"/>
      <c r="CO333" s="90"/>
      <c r="CP333" s="90"/>
      <c r="CQ333" s="90"/>
      <c r="CR333" s="90"/>
      <c r="CS333" s="90"/>
      <c r="CT333" s="90"/>
      <c r="CU333" s="90"/>
      <c r="CV333" s="90"/>
      <c r="CW333" s="90"/>
    </row>
    <row r="334" ht="16.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</row>
    <row r="335" ht="16.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  <c r="BO335" s="90"/>
      <c r="BP335" s="90"/>
      <c r="BQ335" s="90"/>
      <c r="BR335" s="90"/>
      <c r="BS335" s="90"/>
      <c r="BT335" s="90"/>
      <c r="BU335" s="90"/>
      <c r="BV335" s="90"/>
      <c r="BW335" s="90"/>
      <c r="BX335" s="90"/>
      <c r="BY335" s="90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K335" s="90"/>
      <c r="CL335" s="90"/>
      <c r="CM335" s="90"/>
      <c r="CN335" s="90"/>
      <c r="CO335" s="90"/>
      <c r="CP335" s="90"/>
      <c r="CQ335" s="90"/>
      <c r="CR335" s="90"/>
      <c r="CS335" s="90"/>
      <c r="CT335" s="90"/>
      <c r="CU335" s="90"/>
      <c r="CV335" s="90"/>
      <c r="CW335" s="90"/>
    </row>
    <row r="336" ht="16.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90"/>
      <c r="BR336" s="90"/>
      <c r="BS336" s="90"/>
      <c r="BT336" s="90"/>
      <c r="BU336" s="90"/>
      <c r="BV336" s="90"/>
      <c r="BW336" s="90"/>
      <c r="BX336" s="90"/>
      <c r="BY336" s="90"/>
      <c r="BZ336" s="90"/>
      <c r="CA336" s="90"/>
      <c r="CB336" s="90"/>
      <c r="CC336" s="90"/>
      <c r="CD336" s="90"/>
      <c r="CE336" s="90"/>
      <c r="CF336" s="90"/>
      <c r="CG336" s="90"/>
      <c r="CH336" s="90"/>
      <c r="CI336" s="90"/>
      <c r="CJ336" s="90"/>
      <c r="CK336" s="90"/>
      <c r="CL336" s="90"/>
      <c r="CM336" s="90"/>
      <c r="CN336" s="90"/>
      <c r="CO336" s="90"/>
      <c r="CP336" s="90"/>
      <c r="CQ336" s="90"/>
      <c r="CR336" s="90"/>
      <c r="CS336" s="90"/>
      <c r="CT336" s="90"/>
      <c r="CU336" s="90"/>
      <c r="CV336" s="90"/>
      <c r="CW336" s="90"/>
    </row>
    <row r="337" ht="16.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90"/>
      <c r="BR337" s="90"/>
      <c r="BS337" s="90"/>
      <c r="BT337" s="90"/>
      <c r="BU337" s="90"/>
      <c r="BV337" s="90"/>
      <c r="BW337" s="90"/>
      <c r="BX337" s="90"/>
      <c r="BY337" s="90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K337" s="90"/>
      <c r="CL337" s="90"/>
      <c r="CM337" s="90"/>
      <c r="CN337" s="90"/>
      <c r="CO337" s="90"/>
      <c r="CP337" s="90"/>
      <c r="CQ337" s="90"/>
      <c r="CR337" s="90"/>
      <c r="CS337" s="90"/>
      <c r="CT337" s="90"/>
      <c r="CU337" s="90"/>
      <c r="CV337" s="90"/>
      <c r="CW337" s="90"/>
    </row>
    <row r="338" ht="16.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</row>
    <row r="339" ht="16.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</row>
    <row r="340" ht="16.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0"/>
      <c r="BQ340" s="90"/>
      <c r="BR340" s="90"/>
      <c r="BS340" s="90"/>
      <c r="BT340" s="90"/>
      <c r="BU340" s="90"/>
      <c r="BV340" s="90"/>
      <c r="BW340" s="90"/>
      <c r="BX340" s="90"/>
      <c r="BY340" s="90"/>
      <c r="BZ340" s="90"/>
      <c r="CA340" s="90"/>
      <c r="CB340" s="90"/>
      <c r="CC340" s="90"/>
      <c r="CD340" s="90"/>
      <c r="CE340" s="90"/>
      <c r="CF340" s="90"/>
      <c r="CG340" s="90"/>
      <c r="CH340" s="90"/>
      <c r="CI340" s="90"/>
      <c r="CJ340" s="90"/>
      <c r="CK340" s="90"/>
      <c r="CL340" s="90"/>
      <c r="CM340" s="90"/>
      <c r="CN340" s="90"/>
      <c r="CO340" s="90"/>
      <c r="CP340" s="90"/>
      <c r="CQ340" s="90"/>
      <c r="CR340" s="90"/>
      <c r="CS340" s="90"/>
      <c r="CT340" s="90"/>
      <c r="CU340" s="90"/>
      <c r="CV340" s="90"/>
      <c r="CW340" s="90"/>
    </row>
    <row r="341" ht="16.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  <c r="BO341" s="90"/>
      <c r="BP341" s="90"/>
      <c r="BQ341" s="90"/>
      <c r="BR341" s="90"/>
      <c r="BS341" s="90"/>
      <c r="BT341" s="90"/>
      <c r="BU341" s="90"/>
      <c r="BV341" s="90"/>
      <c r="BW341" s="90"/>
      <c r="BX341" s="90"/>
      <c r="BY341" s="90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K341" s="90"/>
      <c r="CL341" s="90"/>
      <c r="CM341" s="90"/>
      <c r="CN341" s="90"/>
      <c r="CO341" s="90"/>
      <c r="CP341" s="90"/>
      <c r="CQ341" s="90"/>
      <c r="CR341" s="90"/>
      <c r="CS341" s="90"/>
      <c r="CT341" s="90"/>
      <c r="CU341" s="90"/>
      <c r="CV341" s="90"/>
      <c r="CW341" s="90"/>
    </row>
    <row r="342" ht="16.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0"/>
      <c r="BQ342" s="90"/>
      <c r="BR342" s="90"/>
      <c r="BS342" s="90"/>
      <c r="BT342" s="90"/>
      <c r="BU342" s="90"/>
      <c r="BV342" s="90"/>
      <c r="BW342" s="90"/>
      <c r="BX342" s="90"/>
      <c r="BY342" s="90"/>
      <c r="BZ342" s="90"/>
      <c r="CA342" s="90"/>
      <c r="CB342" s="90"/>
      <c r="CC342" s="90"/>
      <c r="CD342" s="90"/>
      <c r="CE342" s="90"/>
      <c r="CF342" s="90"/>
      <c r="CG342" s="90"/>
      <c r="CH342" s="90"/>
      <c r="CI342" s="90"/>
      <c r="CJ342" s="90"/>
      <c r="CK342" s="90"/>
      <c r="CL342" s="90"/>
      <c r="CM342" s="90"/>
      <c r="CN342" s="90"/>
      <c r="CO342" s="90"/>
      <c r="CP342" s="90"/>
      <c r="CQ342" s="90"/>
      <c r="CR342" s="90"/>
      <c r="CS342" s="90"/>
      <c r="CT342" s="90"/>
      <c r="CU342" s="90"/>
      <c r="CV342" s="90"/>
      <c r="CW342" s="90"/>
    </row>
    <row r="343" ht="16.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</row>
    <row r="344" ht="16.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</row>
    <row r="345" ht="16.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  <c r="BO345" s="90"/>
      <c r="BP345" s="90"/>
      <c r="BQ345" s="90"/>
      <c r="BR345" s="90"/>
      <c r="BS345" s="90"/>
      <c r="BT345" s="90"/>
      <c r="BU345" s="90"/>
      <c r="BV345" s="90"/>
      <c r="BW345" s="90"/>
      <c r="BX345" s="90"/>
      <c r="BY345" s="90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K345" s="90"/>
      <c r="CL345" s="90"/>
      <c r="CM345" s="90"/>
      <c r="CN345" s="90"/>
      <c r="CO345" s="90"/>
      <c r="CP345" s="90"/>
      <c r="CQ345" s="90"/>
      <c r="CR345" s="90"/>
      <c r="CS345" s="90"/>
      <c r="CT345" s="90"/>
      <c r="CU345" s="90"/>
      <c r="CV345" s="90"/>
      <c r="CW345" s="90"/>
    </row>
    <row r="346" ht="16.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0"/>
      <c r="BQ346" s="90"/>
      <c r="BR346" s="90"/>
      <c r="BS346" s="90"/>
      <c r="BT346" s="90"/>
      <c r="BU346" s="90"/>
      <c r="BV346" s="90"/>
      <c r="BW346" s="90"/>
      <c r="BX346" s="90"/>
      <c r="BY346" s="90"/>
      <c r="BZ346" s="90"/>
      <c r="CA346" s="90"/>
      <c r="CB346" s="90"/>
      <c r="CC346" s="90"/>
      <c r="CD346" s="90"/>
      <c r="CE346" s="90"/>
      <c r="CF346" s="90"/>
      <c r="CG346" s="90"/>
      <c r="CH346" s="90"/>
      <c r="CI346" s="90"/>
      <c r="CJ346" s="90"/>
      <c r="CK346" s="90"/>
      <c r="CL346" s="90"/>
      <c r="CM346" s="90"/>
      <c r="CN346" s="90"/>
      <c r="CO346" s="90"/>
      <c r="CP346" s="90"/>
      <c r="CQ346" s="90"/>
      <c r="CR346" s="90"/>
      <c r="CS346" s="90"/>
      <c r="CT346" s="90"/>
      <c r="CU346" s="90"/>
      <c r="CV346" s="90"/>
      <c r="CW346" s="90"/>
    </row>
    <row r="347" ht="16.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  <c r="BO347" s="90"/>
      <c r="BP347" s="90"/>
      <c r="BQ347" s="90"/>
      <c r="BR347" s="90"/>
      <c r="BS347" s="90"/>
      <c r="BT347" s="90"/>
      <c r="BU347" s="90"/>
      <c r="BV347" s="90"/>
      <c r="BW347" s="90"/>
      <c r="BX347" s="90"/>
      <c r="BY347" s="90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K347" s="90"/>
      <c r="CL347" s="90"/>
      <c r="CM347" s="90"/>
      <c r="CN347" s="90"/>
      <c r="CO347" s="90"/>
      <c r="CP347" s="90"/>
      <c r="CQ347" s="90"/>
      <c r="CR347" s="90"/>
      <c r="CS347" s="90"/>
      <c r="CT347" s="90"/>
      <c r="CU347" s="90"/>
      <c r="CV347" s="90"/>
      <c r="CW347" s="90"/>
    </row>
    <row r="348" ht="16.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0"/>
      <c r="BQ348" s="90"/>
      <c r="BR348" s="90"/>
      <c r="BS348" s="90"/>
      <c r="BT348" s="90"/>
      <c r="BU348" s="90"/>
      <c r="BV348" s="90"/>
      <c r="BW348" s="90"/>
      <c r="BX348" s="90"/>
      <c r="BY348" s="90"/>
      <c r="BZ348" s="90"/>
      <c r="CA348" s="90"/>
      <c r="CB348" s="90"/>
      <c r="CC348" s="90"/>
      <c r="CD348" s="90"/>
      <c r="CE348" s="90"/>
      <c r="CF348" s="90"/>
      <c r="CG348" s="90"/>
      <c r="CH348" s="90"/>
      <c r="CI348" s="90"/>
      <c r="CJ348" s="90"/>
      <c r="CK348" s="90"/>
      <c r="CL348" s="90"/>
      <c r="CM348" s="90"/>
      <c r="CN348" s="90"/>
      <c r="CO348" s="90"/>
      <c r="CP348" s="90"/>
      <c r="CQ348" s="90"/>
      <c r="CR348" s="90"/>
      <c r="CS348" s="90"/>
      <c r="CT348" s="90"/>
      <c r="CU348" s="90"/>
      <c r="CV348" s="90"/>
      <c r="CW348" s="90"/>
    </row>
    <row r="349" ht="16.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90"/>
      <c r="BP349" s="90"/>
      <c r="BQ349" s="90"/>
      <c r="BR349" s="90"/>
      <c r="BS349" s="90"/>
      <c r="BT349" s="90"/>
      <c r="BU349" s="90"/>
      <c r="BV349" s="90"/>
      <c r="BW349" s="90"/>
      <c r="BX349" s="90"/>
      <c r="BY349" s="90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K349" s="90"/>
      <c r="CL349" s="90"/>
      <c r="CM349" s="90"/>
      <c r="CN349" s="90"/>
      <c r="CO349" s="90"/>
      <c r="CP349" s="90"/>
      <c r="CQ349" s="90"/>
      <c r="CR349" s="90"/>
      <c r="CS349" s="90"/>
      <c r="CT349" s="90"/>
      <c r="CU349" s="90"/>
      <c r="CV349" s="90"/>
      <c r="CW349" s="90"/>
    </row>
    <row r="350" ht="16.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0"/>
      <c r="BQ350" s="90"/>
      <c r="BR350" s="90"/>
      <c r="BS350" s="90"/>
      <c r="BT350" s="90"/>
      <c r="BU350" s="90"/>
      <c r="BV350" s="90"/>
      <c r="BW350" s="90"/>
      <c r="BX350" s="90"/>
      <c r="BY350" s="90"/>
      <c r="BZ350" s="90"/>
      <c r="CA350" s="90"/>
      <c r="CB350" s="90"/>
      <c r="CC350" s="90"/>
      <c r="CD350" s="90"/>
      <c r="CE350" s="90"/>
      <c r="CF350" s="90"/>
      <c r="CG350" s="90"/>
      <c r="CH350" s="90"/>
      <c r="CI350" s="90"/>
      <c r="CJ350" s="90"/>
      <c r="CK350" s="90"/>
      <c r="CL350" s="90"/>
      <c r="CM350" s="90"/>
      <c r="CN350" s="90"/>
      <c r="CO350" s="90"/>
      <c r="CP350" s="90"/>
      <c r="CQ350" s="90"/>
      <c r="CR350" s="90"/>
      <c r="CS350" s="90"/>
      <c r="CT350" s="90"/>
      <c r="CU350" s="90"/>
      <c r="CV350" s="90"/>
      <c r="CW350" s="90"/>
    </row>
    <row r="351" ht="16.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90"/>
      <c r="BP351" s="90"/>
      <c r="BQ351" s="90"/>
      <c r="BR351" s="90"/>
      <c r="BS351" s="90"/>
      <c r="BT351" s="90"/>
      <c r="BU351" s="90"/>
      <c r="BV351" s="90"/>
      <c r="BW351" s="90"/>
      <c r="BX351" s="90"/>
      <c r="BY351" s="90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K351" s="90"/>
      <c r="CL351" s="90"/>
      <c r="CM351" s="90"/>
      <c r="CN351" s="90"/>
      <c r="CO351" s="90"/>
      <c r="CP351" s="90"/>
      <c r="CQ351" s="90"/>
      <c r="CR351" s="90"/>
      <c r="CS351" s="90"/>
      <c r="CT351" s="90"/>
      <c r="CU351" s="90"/>
      <c r="CV351" s="90"/>
      <c r="CW351" s="90"/>
    </row>
    <row r="352" ht="16.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0"/>
      <c r="BQ352" s="90"/>
      <c r="BR352" s="90"/>
      <c r="BS352" s="90"/>
      <c r="BT352" s="90"/>
      <c r="BU352" s="90"/>
      <c r="BV352" s="90"/>
      <c r="BW352" s="90"/>
      <c r="BX352" s="90"/>
      <c r="BY352" s="90"/>
      <c r="BZ352" s="90"/>
      <c r="CA352" s="90"/>
      <c r="CB352" s="90"/>
      <c r="CC352" s="90"/>
      <c r="CD352" s="90"/>
      <c r="CE352" s="90"/>
      <c r="CF352" s="90"/>
      <c r="CG352" s="90"/>
      <c r="CH352" s="90"/>
      <c r="CI352" s="90"/>
      <c r="CJ352" s="90"/>
      <c r="CK352" s="90"/>
      <c r="CL352" s="90"/>
      <c r="CM352" s="90"/>
      <c r="CN352" s="90"/>
      <c r="CO352" s="90"/>
      <c r="CP352" s="90"/>
      <c r="CQ352" s="90"/>
      <c r="CR352" s="90"/>
      <c r="CS352" s="90"/>
      <c r="CT352" s="90"/>
      <c r="CU352" s="90"/>
      <c r="CV352" s="90"/>
      <c r="CW352" s="90"/>
    </row>
    <row r="353" ht="16.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  <c r="BO353" s="90"/>
      <c r="BP353" s="90"/>
      <c r="BQ353" s="90"/>
      <c r="BR353" s="90"/>
      <c r="BS353" s="90"/>
      <c r="BT353" s="90"/>
      <c r="BU353" s="90"/>
      <c r="BV353" s="90"/>
      <c r="BW353" s="90"/>
      <c r="BX353" s="90"/>
      <c r="BY353" s="90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K353" s="90"/>
      <c r="CL353" s="90"/>
      <c r="CM353" s="90"/>
      <c r="CN353" s="90"/>
      <c r="CO353" s="90"/>
      <c r="CP353" s="90"/>
      <c r="CQ353" s="90"/>
      <c r="CR353" s="90"/>
      <c r="CS353" s="90"/>
      <c r="CT353" s="90"/>
      <c r="CU353" s="90"/>
      <c r="CV353" s="90"/>
      <c r="CW353" s="90"/>
    </row>
    <row r="354" ht="16.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0"/>
      <c r="BQ354" s="90"/>
      <c r="BR354" s="90"/>
      <c r="BS354" s="90"/>
      <c r="BT354" s="90"/>
      <c r="BU354" s="90"/>
      <c r="BV354" s="90"/>
      <c r="BW354" s="90"/>
      <c r="BX354" s="90"/>
      <c r="BY354" s="90"/>
      <c r="BZ354" s="90"/>
      <c r="CA354" s="90"/>
      <c r="CB354" s="90"/>
      <c r="CC354" s="90"/>
      <c r="CD354" s="90"/>
      <c r="CE354" s="90"/>
      <c r="CF354" s="90"/>
      <c r="CG354" s="90"/>
      <c r="CH354" s="90"/>
      <c r="CI354" s="90"/>
      <c r="CJ354" s="90"/>
      <c r="CK354" s="90"/>
      <c r="CL354" s="90"/>
      <c r="CM354" s="90"/>
      <c r="CN354" s="90"/>
      <c r="CO354" s="90"/>
      <c r="CP354" s="90"/>
      <c r="CQ354" s="90"/>
      <c r="CR354" s="90"/>
      <c r="CS354" s="90"/>
      <c r="CT354" s="90"/>
      <c r="CU354" s="90"/>
      <c r="CV354" s="90"/>
      <c r="CW354" s="90"/>
    </row>
    <row r="355" ht="16.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  <c r="BO355" s="90"/>
      <c r="BP355" s="90"/>
      <c r="BQ355" s="90"/>
      <c r="BR355" s="90"/>
      <c r="BS355" s="90"/>
      <c r="BT355" s="90"/>
      <c r="BU355" s="90"/>
      <c r="BV355" s="90"/>
      <c r="BW355" s="90"/>
      <c r="BX355" s="90"/>
      <c r="BY355" s="90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K355" s="90"/>
      <c r="CL355" s="90"/>
      <c r="CM355" s="90"/>
      <c r="CN355" s="90"/>
      <c r="CO355" s="90"/>
      <c r="CP355" s="90"/>
      <c r="CQ355" s="90"/>
      <c r="CR355" s="90"/>
      <c r="CS355" s="90"/>
      <c r="CT355" s="90"/>
      <c r="CU355" s="90"/>
      <c r="CV355" s="90"/>
      <c r="CW355" s="90"/>
    </row>
    <row r="356" ht="16.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0"/>
      <c r="BQ356" s="90"/>
      <c r="BR356" s="90"/>
      <c r="BS356" s="90"/>
      <c r="BT356" s="90"/>
      <c r="BU356" s="90"/>
      <c r="BV356" s="90"/>
      <c r="BW356" s="90"/>
      <c r="BX356" s="90"/>
      <c r="BY356" s="90"/>
      <c r="BZ356" s="90"/>
      <c r="CA356" s="90"/>
      <c r="CB356" s="90"/>
      <c r="CC356" s="90"/>
      <c r="CD356" s="90"/>
      <c r="CE356" s="90"/>
      <c r="CF356" s="90"/>
      <c r="CG356" s="90"/>
      <c r="CH356" s="90"/>
      <c r="CI356" s="90"/>
      <c r="CJ356" s="90"/>
      <c r="CK356" s="90"/>
      <c r="CL356" s="90"/>
      <c r="CM356" s="90"/>
      <c r="CN356" s="90"/>
      <c r="CO356" s="90"/>
      <c r="CP356" s="90"/>
      <c r="CQ356" s="90"/>
      <c r="CR356" s="90"/>
      <c r="CS356" s="90"/>
      <c r="CT356" s="90"/>
      <c r="CU356" s="90"/>
      <c r="CV356" s="90"/>
      <c r="CW356" s="90"/>
    </row>
    <row r="357" ht="16.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  <c r="BO357" s="90"/>
      <c r="BP357" s="90"/>
      <c r="BQ357" s="90"/>
      <c r="BR357" s="90"/>
      <c r="BS357" s="90"/>
      <c r="BT357" s="90"/>
      <c r="BU357" s="90"/>
      <c r="BV357" s="90"/>
      <c r="BW357" s="90"/>
      <c r="BX357" s="90"/>
      <c r="BY357" s="90"/>
      <c r="BZ357" s="90"/>
      <c r="CA357" s="90"/>
      <c r="CB357" s="90"/>
      <c r="CC357" s="90"/>
      <c r="CD357" s="90"/>
      <c r="CE357" s="90"/>
      <c r="CF357" s="90"/>
      <c r="CG357" s="90"/>
      <c r="CH357" s="90"/>
      <c r="CI357" s="90"/>
      <c r="CJ357" s="90"/>
      <c r="CK357" s="90"/>
      <c r="CL357" s="90"/>
      <c r="CM357" s="90"/>
      <c r="CN357" s="90"/>
      <c r="CO357" s="90"/>
      <c r="CP357" s="90"/>
      <c r="CQ357" s="90"/>
      <c r="CR357" s="90"/>
      <c r="CS357" s="90"/>
      <c r="CT357" s="90"/>
      <c r="CU357" s="90"/>
      <c r="CV357" s="90"/>
      <c r="CW357" s="90"/>
    </row>
    <row r="358" ht="16.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0"/>
      <c r="BR358" s="90"/>
      <c r="BS358" s="90"/>
      <c r="BT358" s="90"/>
      <c r="BU358" s="90"/>
      <c r="BV358" s="90"/>
      <c r="BW358" s="90"/>
      <c r="BX358" s="90"/>
      <c r="BY358" s="90"/>
      <c r="BZ358" s="90"/>
      <c r="CA358" s="90"/>
      <c r="CB358" s="90"/>
      <c r="CC358" s="90"/>
      <c r="CD358" s="90"/>
      <c r="CE358" s="90"/>
      <c r="CF358" s="90"/>
      <c r="CG358" s="90"/>
      <c r="CH358" s="90"/>
      <c r="CI358" s="90"/>
      <c r="CJ358" s="90"/>
      <c r="CK358" s="90"/>
      <c r="CL358" s="90"/>
      <c r="CM358" s="90"/>
      <c r="CN358" s="90"/>
      <c r="CO358" s="90"/>
      <c r="CP358" s="90"/>
      <c r="CQ358" s="90"/>
      <c r="CR358" s="90"/>
      <c r="CS358" s="90"/>
      <c r="CT358" s="90"/>
      <c r="CU358" s="90"/>
      <c r="CV358" s="90"/>
      <c r="CW358" s="90"/>
    </row>
    <row r="359" ht="16.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  <c r="BO359" s="90"/>
      <c r="BP359" s="90"/>
      <c r="BQ359" s="90"/>
      <c r="BR359" s="90"/>
      <c r="BS359" s="90"/>
      <c r="BT359" s="90"/>
      <c r="BU359" s="90"/>
      <c r="BV359" s="90"/>
      <c r="BW359" s="90"/>
      <c r="BX359" s="90"/>
      <c r="BY359" s="90"/>
      <c r="BZ359" s="90"/>
      <c r="CA359" s="90"/>
      <c r="CB359" s="90"/>
      <c r="CC359" s="90"/>
      <c r="CD359" s="90"/>
      <c r="CE359" s="90"/>
      <c r="CF359" s="90"/>
      <c r="CG359" s="90"/>
      <c r="CH359" s="90"/>
      <c r="CI359" s="90"/>
      <c r="CJ359" s="90"/>
      <c r="CK359" s="90"/>
      <c r="CL359" s="90"/>
      <c r="CM359" s="90"/>
      <c r="CN359" s="90"/>
      <c r="CO359" s="90"/>
      <c r="CP359" s="90"/>
      <c r="CQ359" s="90"/>
      <c r="CR359" s="90"/>
      <c r="CS359" s="90"/>
      <c r="CT359" s="90"/>
      <c r="CU359" s="90"/>
      <c r="CV359" s="90"/>
      <c r="CW359" s="90"/>
    </row>
    <row r="360" ht="16.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0"/>
      <c r="BQ360" s="90"/>
      <c r="BR360" s="90"/>
      <c r="BS360" s="90"/>
      <c r="BT360" s="90"/>
      <c r="BU360" s="90"/>
      <c r="BV360" s="90"/>
      <c r="BW360" s="90"/>
      <c r="BX360" s="90"/>
      <c r="BY360" s="90"/>
      <c r="BZ360" s="90"/>
      <c r="CA360" s="90"/>
      <c r="CB360" s="90"/>
      <c r="CC360" s="90"/>
      <c r="CD360" s="90"/>
      <c r="CE360" s="90"/>
      <c r="CF360" s="90"/>
      <c r="CG360" s="90"/>
      <c r="CH360" s="90"/>
      <c r="CI360" s="90"/>
      <c r="CJ360" s="90"/>
      <c r="CK360" s="90"/>
      <c r="CL360" s="90"/>
      <c r="CM360" s="90"/>
      <c r="CN360" s="90"/>
      <c r="CO360" s="90"/>
      <c r="CP360" s="90"/>
      <c r="CQ360" s="90"/>
      <c r="CR360" s="90"/>
      <c r="CS360" s="90"/>
      <c r="CT360" s="90"/>
      <c r="CU360" s="90"/>
      <c r="CV360" s="90"/>
      <c r="CW360" s="90"/>
    </row>
    <row r="361" ht="16.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  <c r="BO361" s="90"/>
      <c r="BP361" s="90"/>
      <c r="BQ361" s="90"/>
      <c r="BR361" s="90"/>
      <c r="BS361" s="90"/>
      <c r="BT361" s="90"/>
      <c r="BU361" s="90"/>
      <c r="BV361" s="90"/>
      <c r="BW361" s="90"/>
      <c r="BX361" s="90"/>
      <c r="BY361" s="90"/>
      <c r="BZ361" s="90"/>
      <c r="CA361" s="90"/>
      <c r="CB361" s="90"/>
      <c r="CC361" s="90"/>
      <c r="CD361" s="90"/>
      <c r="CE361" s="90"/>
      <c r="CF361" s="90"/>
      <c r="CG361" s="90"/>
      <c r="CH361" s="90"/>
      <c r="CI361" s="90"/>
      <c r="CJ361" s="90"/>
      <c r="CK361" s="90"/>
      <c r="CL361" s="90"/>
      <c r="CM361" s="90"/>
      <c r="CN361" s="90"/>
      <c r="CO361" s="90"/>
      <c r="CP361" s="90"/>
      <c r="CQ361" s="90"/>
      <c r="CR361" s="90"/>
      <c r="CS361" s="90"/>
      <c r="CT361" s="90"/>
      <c r="CU361" s="90"/>
      <c r="CV361" s="90"/>
      <c r="CW361" s="90"/>
    </row>
    <row r="362" ht="16.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0"/>
      <c r="BQ362" s="90"/>
      <c r="BR362" s="90"/>
      <c r="BS362" s="90"/>
      <c r="BT362" s="90"/>
      <c r="BU362" s="90"/>
      <c r="BV362" s="90"/>
      <c r="BW362" s="90"/>
      <c r="BX362" s="90"/>
      <c r="BY362" s="90"/>
      <c r="BZ362" s="90"/>
      <c r="CA362" s="90"/>
      <c r="CB362" s="90"/>
      <c r="CC362" s="90"/>
      <c r="CD362" s="90"/>
      <c r="CE362" s="90"/>
      <c r="CF362" s="90"/>
      <c r="CG362" s="90"/>
      <c r="CH362" s="90"/>
      <c r="CI362" s="90"/>
      <c r="CJ362" s="90"/>
      <c r="CK362" s="90"/>
      <c r="CL362" s="90"/>
      <c r="CM362" s="90"/>
      <c r="CN362" s="90"/>
      <c r="CO362" s="90"/>
      <c r="CP362" s="90"/>
      <c r="CQ362" s="90"/>
      <c r="CR362" s="90"/>
      <c r="CS362" s="90"/>
      <c r="CT362" s="90"/>
      <c r="CU362" s="90"/>
      <c r="CV362" s="90"/>
      <c r="CW362" s="90"/>
    </row>
    <row r="363" ht="16.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  <c r="BO363" s="90"/>
      <c r="BP363" s="90"/>
      <c r="BQ363" s="90"/>
      <c r="BR363" s="90"/>
      <c r="BS363" s="90"/>
      <c r="BT363" s="90"/>
      <c r="BU363" s="90"/>
      <c r="BV363" s="90"/>
      <c r="BW363" s="90"/>
      <c r="BX363" s="90"/>
      <c r="BY363" s="90"/>
      <c r="BZ363" s="90"/>
      <c r="CA363" s="90"/>
      <c r="CB363" s="90"/>
      <c r="CC363" s="90"/>
      <c r="CD363" s="90"/>
      <c r="CE363" s="90"/>
      <c r="CF363" s="90"/>
      <c r="CG363" s="90"/>
      <c r="CH363" s="90"/>
      <c r="CI363" s="90"/>
      <c r="CJ363" s="90"/>
      <c r="CK363" s="90"/>
      <c r="CL363" s="90"/>
      <c r="CM363" s="90"/>
      <c r="CN363" s="90"/>
      <c r="CO363" s="90"/>
      <c r="CP363" s="90"/>
      <c r="CQ363" s="90"/>
      <c r="CR363" s="90"/>
      <c r="CS363" s="90"/>
      <c r="CT363" s="90"/>
      <c r="CU363" s="90"/>
      <c r="CV363" s="90"/>
      <c r="CW363" s="90"/>
    </row>
    <row r="364" ht="16.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0"/>
      <c r="BQ364" s="90"/>
      <c r="BR364" s="90"/>
      <c r="BS364" s="90"/>
      <c r="BT364" s="90"/>
      <c r="BU364" s="90"/>
      <c r="BV364" s="90"/>
      <c r="BW364" s="90"/>
      <c r="BX364" s="90"/>
      <c r="BY364" s="90"/>
      <c r="BZ364" s="90"/>
      <c r="CA364" s="90"/>
      <c r="CB364" s="90"/>
      <c r="CC364" s="90"/>
      <c r="CD364" s="90"/>
      <c r="CE364" s="90"/>
      <c r="CF364" s="90"/>
      <c r="CG364" s="90"/>
      <c r="CH364" s="90"/>
      <c r="CI364" s="90"/>
      <c r="CJ364" s="90"/>
      <c r="CK364" s="90"/>
      <c r="CL364" s="90"/>
      <c r="CM364" s="90"/>
      <c r="CN364" s="90"/>
      <c r="CO364" s="90"/>
      <c r="CP364" s="90"/>
      <c r="CQ364" s="90"/>
      <c r="CR364" s="90"/>
      <c r="CS364" s="90"/>
      <c r="CT364" s="90"/>
      <c r="CU364" s="90"/>
      <c r="CV364" s="90"/>
      <c r="CW364" s="90"/>
    </row>
    <row r="365" ht="16.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  <c r="BO365" s="90"/>
      <c r="BP365" s="90"/>
      <c r="BQ365" s="90"/>
      <c r="BR365" s="90"/>
      <c r="BS365" s="90"/>
      <c r="BT365" s="90"/>
      <c r="BU365" s="90"/>
      <c r="BV365" s="90"/>
      <c r="BW365" s="90"/>
      <c r="BX365" s="90"/>
      <c r="BY365" s="90"/>
      <c r="BZ365" s="90"/>
      <c r="CA365" s="90"/>
      <c r="CB365" s="90"/>
      <c r="CC365" s="90"/>
      <c r="CD365" s="90"/>
      <c r="CE365" s="90"/>
      <c r="CF365" s="90"/>
      <c r="CG365" s="90"/>
      <c r="CH365" s="90"/>
      <c r="CI365" s="90"/>
      <c r="CJ365" s="90"/>
      <c r="CK365" s="90"/>
      <c r="CL365" s="90"/>
      <c r="CM365" s="90"/>
      <c r="CN365" s="90"/>
      <c r="CO365" s="90"/>
      <c r="CP365" s="90"/>
      <c r="CQ365" s="90"/>
      <c r="CR365" s="90"/>
      <c r="CS365" s="90"/>
      <c r="CT365" s="90"/>
      <c r="CU365" s="90"/>
      <c r="CV365" s="90"/>
      <c r="CW365" s="90"/>
    </row>
    <row r="366" ht="16.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0"/>
      <c r="BQ366" s="90"/>
      <c r="BR366" s="90"/>
      <c r="BS366" s="90"/>
      <c r="BT366" s="90"/>
      <c r="BU366" s="90"/>
      <c r="BV366" s="90"/>
      <c r="BW366" s="90"/>
      <c r="BX366" s="90"/>
      <c r="BY366" s="90"/>
      <c r="BZ366" s="90"/>
      <c r="CA366" s="90"/>
      <c r="CB366" s="90"/>
      <c r="CC366" s="90"/>
      <c r="CD366" s="90"/>
      <c r="CE366" s="90"/>
      <c r="CF366" s="90"/>
      <c r="CG366" s="90"/>
      <c r="CH366" s="90"/>
      <c r="CI366" s="90"/>
      <c r="CJ366" s="90"/>
      <c r="CK366" s="90"/>
      <c r="CL366" s="90"/>
      <c r="CM366" s="90"/>
      <c r="CN366" s="90"/>
      <c r="CO366" s="90"/>
      <c r="CP366" s="90"/>
      <c r="CQ366" s="90"/>
      <c r="CR366" s="90"/>
      <c r="CS366" s="90"/>
      <c r="CT366" s="90"/>
      <c r="CU366" s="90"/>
      <c r="CV366" s="90"/>
      <c r="CW366" s="90"/>
    </row>
    <row r="367" ht="16.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  <c r="BO367" s="90"/>
      <c r="BP367" s="90"/>
      <c r="BQ367" s="90"/>
      <c r="BR367" s="90"/>
      <c r="BS367" s="90"/>
      <c r="BT367" s="90"/>
      <c r="BU367" s="90"/>
      <c r="BV367" s="90"/>
      <c r="BW367" s="90"/>
      <c r="BX367" s="90"/>
      <c r="BY367" s="90"/>
      <c r="BZ367" s="90"/>
      <c r="CA367" s="90"/>
      <c r="CB367" s="90"/>
      <c r="CC367" s="90"/>
      <c r="CD367" s="90"/>
      <c r="CE367" s="90"/>
      <c r="CF367" s="90"/>
      <c r="CG367" s="90"/>
      <c r="CH367" s="90"/>
      <c r="CI367" s="90"/>
      <c r="CJ367" s="90"/>
      <c r="CK367" s="90"/>
      <c r="CL367" s="90"/>
      <c r="CM367" s="90"/>
      <c r="CN367" s="90"/>
      <c r="CO367" s="90"/>
      <c r="CP367" s="90"/>
      <c r="CQ367" s="90"/>
      <c r="CR367" s="90"/>
      <c r="CS367" s="90"/>
      <c r="CT367" s="90"/>
      <c r="CU367" s="90"/>
      <c r="CV367" s="90"/>
      <c r="CW367" s="90"/>
    </row>
    <row r="368" ht="16.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0"/>
      <c r="BQ368" s="90"/>
      <c r="BR368" s="90"/>
      <c r="BS368" s="90"/>
      <c r="BT368" s="90"/>
      <c r="BU368" s="90"/>
      <c r="BV368" s="90"/>
      <c r="BW368" s="90"/>
      <c r="BX368" s="90"/>
      <c r="BY368" s="90"/>
      <c r="BZ368" s="90"/>
      <c r="CA368" s="90"/>
      <c r="CB368" s="90"/>
      <c r="CC368" s="90"/>
      <c r="CD368" s="90"/>
      <c r="CE368" s="90"/>
      <c r="CF368" s="90"/>
      <c r="CG368" s="90"/>
      <c r="CH368" s="90"/>
      <c r="CI368" s="90"/>
      <c r="CJ368" s="90"/>
      <c r="CK368" s="90"/>
      <c r="CL368" s="90"/>
      <c r="CM368" s="90"/>
      <c r="CN368" s="90"/>
      <c r="CO368" s="90"/>
      <c r="CP368" s="90"/>
      <c r="CQ368" s="90"/>
      <c r="CR368" s="90"/>
      <c r="CS368" s="90"/>
      <c r="CT368" s="90"/>
      <c r="CU368" s="90"/>
      <c r="CV368" s="90"/>
      <c r="CW368" s="90"/>
    </row>
    <row r="369" ht="16.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  <c r="BO369" s="90"/>
      <c r="BP369" s="90"/>
      <c r="BQ369" s="90"/>
      <c r="BR369" s="90"/>
      <c r="BS369" s="90"/>
      <c r="BT369" s="90"/>
      <c r="BU369" s="90"/>
      <c r="BV369" s="90"/>
      <c r="BW369" s="90"/>
      <c r="BX369" s="90"/>
      <c r="BY369" s="90"/>
      <c r="BZ369" s="90"/>
      <c r="CA369" s="90"/>
      <c r="CB369" s="90"/>
      <c r="CC369" s="90"/>
      <c r="CD369" s="90"/>
      <c r="CE369" s="90"/>
      <c r="CF369" s="90"/>
      <c r="CG369" s="90"/>
      <c r="CH369" s="90"/>
      <c r="CI369" s="90"/>
      <c r="CJ369" s="90"/>
      <c r="CK369" s="90"/>
      <c r="CL369" s="90"/>
      <c r="CM369" s="90"/>
      <c r="CN369" s="90"/>
      <c r="CO369" s="90"/>
      <c r="CP369" s="90"/>
      <c r="CQ369" s="90"/>
      <c r="CR369" s="90"/>
      <c r="CS369" s="90"/>
      <c r="CT369" s="90"/>
      <c r="CU369" s="90"/>
      <c r="CV369" s="90"/>
      <c r="CW369" s="90"/>
    </row>
    <row r="370" ht="16.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0"/>
      <c r="BQ370" s="90"/>
      <c r="BR370" s="90"/>
      <c r="BS370" s="90"/>
      <c r="BT370" s="90"/>
      <c r="BU370" s="90"/>
      <c r="BV370" s="90"/>
      <c r="BW370" s="90"/>
      <c r="BX370" s="90"/>
      <c r="BY370" s="90"/>
      <c r="BZ370" s="90"/>
      <c r="CA370" s="90"/>
      <c r="CB370" s="90"/>
      <c r="CC370" s="90"/>
      <c r="CD370" s="90"/>
      <c r="CE370" s="90"/>
      <c r="CF370" s="90"/>
      <c r="CG370" s="90"/>
      <c r="CH370" s="90"/>
      <c r="CI370" s="90"/>
      <c r="CJ370" s="90"/>
      <c r="CK370" s="90"/>
      <c r="CL370" s="90"/>
      <c r="CM370" s="90"/>
      <c r="CN370" s="90"/>
      <c r="CO370" s="90"/>
      <c r="CP370" s="90"/>
      <c r="CQ370" s="90"/>
      <c r="CR370" s="90"/>
      <c r="CS370" s="90"/>
      <c r="CT370" s="90"/>
      <c r="CU370" s="90"/>
      <c r="CV370" s="90"/>
      <c r="CW370" s="90"/>
    </row>
    <row r="371" ht="16.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  <c r="BO371" s="90"/>
      <c r="BP371" s="90"/>
      <c r="BQ371" s="90"/>
      <c r="BR371" s="90"/>
      <c r="BS371" s="90"/>
      <c r="BT371" s="90"/>
      <c r="BU371" s="90"/>
      <c r="BV371" s="90"/>
      <c r="BW371" s="90"/>
      <c r="BX371" s="90"/>
      <c r="BY371" s="90"/>
      <c r="BZ371" s="90"/>
      <c r="CA371" s="90"/>
      <c r="CB371" s="90"/>
      <c r="CC371" s="90"/>
      <c r="CD371" s="90"/>
      <c r="CE371" s="90"/>
      <c r="CF371" s="90"/>
      <c r="CG371" s="90"/>
      <c r="CH371" s="90"/>
      <c r="CI371" s="90"/>
      <c r="CJ371" s="90"/>
      <c r="CK371" s="90"/>
      <c r="CL371" s="90"/>
      <c r="CM371" s="90"/>
      <c r="CN371" s="90"/>
      <c r="CO371" s="90"/>
      <c r="CP371" s="90"/>
      <c r="CQ371" s="90"/>
      <c r="CR371" s="90"/>
      <c r="CS371" s="90"/>
      <c r="CT371" s="90"/>
      <c r="CU371" s="90"/>
      <c r="CV371" s="90"/>
      <c r="CW371" s="90"/>
    </row>
    <row r="372" ht="16.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0"/>
      <c r="BQ372" s="90"/>
      <c r="BR372" s="90"/>
      <c r="BS372" s="90"/>
      <c r="BT372" s="90"/>
      <c r="BU372" s="90"/>
      <c r="BV372" s="90"/>
      <c r="BW372" s="90"/>
      <c r="BX372" s="90"/>
      <c r="BY372" s="90"/>
      <c r="BZ372" s="90"/>
      <c r="CA372" s="90"/>
      <c r="CB372" s="90"/>
      <c r="CC372" s="90"/>
      <c r="CD372" s="90"/>
      <c r="CE372" s="90"/>
      <c r="CF372" s="90"/>
      <c r="CG372" s="90"/>
      <c r="CH372" s="90"/>
      <c r="CI372" s="90"/>
      <c r="CJ372" s="90"/>
      <c r="CK372" s="90"/>
      <c r="CL372" s="90"/>
      <c r="CM372" s="90"/>
      <c r="CN372" s="90"/>
      <c r="CO372" s="90"/>
      <c r="CP372" s="90"/>
      <c r="CQ372" s="90"/>
      <c r="CR372" s="90"/>
      <c r="CS372" s="90"/>
      <c r="CT372" s="90"/>
      <c r="CU372" s="90"/>
      <c r="CV372" s="90"/>
      <c r="CW372" s="90"/>
    </row>
    <row r="373" ht="16.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  <c r="BO373" s="90"/>
      <c r="BP373" s="90"/>
      <c r="BQ373" s="90"/>
      <c r="BR373" s="90"/>
      <c r="BS373" s="90"/>
      <c r="BT373" s="90"/>
      <c r="BU373" s="90"/>
      <c r="BV373" s="90"/>
      <c r="BW373" s="90"/>
      <c r="BX373" s="90"/>
      <c r="BY373" s="90"/>
      <c r="BZ373" s="90"/>
      <c r="CA373" s="90"/>
      <c r="CB373" s="90"/>
      <c r="CC373" s="90"/>
      <c r="CD373" s="90"/>
      <c r="CE373" s="90"/>
      <c r="CF373" s="90"/>
      <c r="CG373" s="90"/>
      <c r="CH373" s="90"/>
      <c r="CI373" s="90"/>
      <c r="CJ373" s="90"/>
      <c r="CK373" s="90"/>
      <c r="CL373" s="90"/>
      <c r="CM373" s="90"/>
      <c r="CN373" s="90"/>
      <c r="CO373" s="90"/>
      <c r="CP373" s="90"/>
      <c r="CQ373" s="90"/>
      <c r="CR373" s="90"/>
      <c r="CS373" s="90"/>
      <c r="CT373" s="90"/>
      <c r="CU373" s="90"/>
      <c r="CV373" s="90"/>
      <c r="CW373" s="90"/>
    </row>
    <row r="374" ht="16.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0"/>
      <c r="BQ374" s="90"/>
      <c r="BR374" s="90"/>
      <c r="BS374" s="90"/>
      <c r="BT374" s="90"/>
      <c r="BU374" s="90"/>
      <c r="BV374" s="90"/>
      <c r="BW374" s="90"/>
      <c r="BX374" s="90"/>
      <c r="BY374" s="90"/>
      <c r="BZ374" s="90"/>
      <c r="CA374" s="90"/>
      <c r="CB374" s="90"/>
      <c r="CC374" s="90"/>
      <c r="CD374" s="90"/>
      <c r="CE374" s="90"/>
      <c r="CF374" s="90"/>
      <c r="CG374" s="90"/>
      <c r="CH374" s="90"/>
      <c r="CI374" s="90"/>
      <c r="CJ374" s="90"/>
      <c r="CK374" s="90"/>
      <c r="CL374" s="90"/>
      <c r="CM374" s="90"/>
      <c r="CN374" s="90"/>
      <c r="CO374" s="90"/>
      <c r="CP374" s="90"/>
      <c r="CQ374" s="90"/>
      <c r="CR374" s="90"/>
      <c r="CS374" s="90"/>
      <c r="CT374" s="90"/>
      <c r="CU374" s="90"/>
      <c r="CV374" s="90"/>
      <c r="CW374" s="90"/>
    </row>
    <row r="375" ht="16.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  <c r="BO375" s="90"/>
      <c r="BP375" s="90"/>
      <c r="BQ375" s="90"/>
      <c r="BR375" s="90"/>
      <c r="BS375" s="90"/>
      <c r="BT375" s="90"/>
      <c r="BU375" s="90"/>
      <c r="BV375" s="90"/>
      <c r="BW375" s="90"/>
      <c r="BX375" s="90"/>
      <c r="BY375" s="90"/>
      <c r="BZ375" s="90"/>
      <c r="CA375" s="90"/>
      <c r="CB375" s="90"/>
      <c r="CC375" s="90"/>
      <c r="CD375" s="90"/>
      <c r="CE375" s="90"/>
      <c r="CF375" s="90"/>
      <c r="CG375" s="90"/>
      <c r="CH375" s="90"/>
      <c r="CI375" s="90"/>
      <c r="CJ375" s="90"/>
      <c r="CK375" s="90"/>
      <c r="CL375" s="90"/>
      <c r="CM375" s="90"/>
      <c r="CN375" s="90"/>
      <c r="CO375" s="90"/>
      <c r="CP375" s="90"/>
      <c r="CQ375" s="90"/>
      <c r="CR375" s="90"/>
      <c r="CS375" s="90"/>
      <c r="CT375" s="90"/>
      <c r="CU375" s="90"/>
      <c r="CV375" s="90"/>
      <c r="CW375" s="90"/>
    </row>
    <row r="376" ht="16.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0"/>
      <c r="BQ376" s="90"/>
      <c r="BR376" s="90"/>
      <c r="BS376" s="90"/>
      <c r="BT376" s="90"/>
      <c r="BU376" s="90"/>
      <c r="BV376" s="90"/>
      <c r="BW376" s="90"/>
      <c r="BX376" s="90"/>
      <c r="BY376" s="90"/>
      <c r="BZ376" s="90"/>
      <c r="CA376" s="90"/>
      <c r="CB376" s="90"/>
      <c r="CC376" s="90"/>
      <c r="CD376" s="90"/>
      <c r="CE376" s="90"/>
      <c r="CF376" s="90"/>
      <c r="CG376" s="90"/>
      <c r="CH376" s="90"/>
      <c r="CI376" s="90"/>
      <c r="CJ376" s="90"/>
      <c r="CK376" s="90"/>
      <c r="CL376" s="90"/>
      <c r="CM376" s="90"/>
      <c r="CN376" s="90"/>
      <c r="CO376" s="90"/>
      <c r="CP376" s="90"/>
      <c r="CQ376" s="90"/>
      <c r="CR376" s="90"/>
      <c r="CS376" s="90"/>
      <c r="CT376" s="90"/>
      <c r="CU376" s="90"/>
      <c r="CV376" s="90"/>
      <c r="CW376" s="90"/>
    </row>
    <row r="377" ht="16.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  <c r="BO377" s="90"/>
      <c r="BP377" s="90"/>
      <c r="BQ377" s="90"/>
      <c r="BR377" s="90"/>
      <c r="BS377" s="90"/>
      <c r="BT377" s="90"/>
      <c r="BU377" s="90"/>
      <c r="BV377" s="90"/>
      <c r="BW377" s="90"/>
      <c r="BX377" s="90"/>
      <c r="BY377" s="90"/>
      <c r="BZ377" s="90"/>
      <c r="CA377" s="90"/>
      <c r="CB377" s="90"/>
      <c r="CC377" s="90"/>
      <c r="CD377" s="90"/>
      <c r="CE377" s="90"/>
      <c r="CF377" s="90"/>
      <c r="CG377" s="90"/>
      <c r="CH377" s="90"/>
      <c r="CI377" s="90"/>
      <c r="CJ377" s="90"/>
      <c r="CK377" s="90"/>
      <c r="CL377" s="90"/>
      <c r="CM377" s="90"/>
      <c r="CN377" s="90"/>
      <c r="CO377" s="90"/>
      <c r="CP377" s="90"/>
      <c r="CQ377" s="90"/>
      <c r="CR377" s="90"/>
      <c r="CS377" s="90"/>
      <c r="CT377" s="90"/>
      <c r="CU377" s="90"/>
      <c r="CV377" s="90"/>
      <c r="CW377" s="90"/>
    </row>
    <row r="378" ht="16.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0"/>
      <c r="BQ378" s="90"/>
      <c r="BR378" s="90"/>
      <c r="BS378" s="90"/>
      <c r="BT378" s="90"/>
      <c r="BU378" s="90"/>
      <c r="BV378" s="90"/>
      <c r="BW378" s="90"/>
      <c r="BX378" s="90"/>
      <c r="BY378" s="90"/>
      <c r="BZ378" s="90"/>
      <c r="CA378" s="90"/>
      <c r="CB378" s="90"/>
      <c r="CC378" s="90"/>
      <c r="CD378" s="90"/>
      <c r="CE378" s="90"/>
      <c r="CF378" s="90"/>
      <c r="CG378" s="90"/>
      <c r="CH378" s="90"/>
      <c r="CI378" s="90"/>
      <c r="CJ378" s="90"/>
      <c r="CK378" s="90"/>
      <c r="CL378" s="90"/>
      <c r="CM378" s="90"/>
      <c r="CN378" s="90"/>
      <c r="CO378" s="90"/>
      <c r="CP378" s="90"/>
      <c r="CQ378" s="90"/>
      <c r="CR378" s="90"/>
      <c r="CS378" s="90"/>
      <c r="CT378" s="90"/>
      <c r="CU378" s="90"/>
      <c r="CV378" s="90"/>
      <c r="CW378" s="90"/>
    </row>
    <row r="379" ht="16.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  <c r="BO379" s="90"/>
      <c r="BP379" s="90"/>
      <c r="BQ379" s="90"/>
      <c r="BR379" s="90"/>
      <c r="BS379" s="90"/>
      <c r="BT379" s="90"/>
      <c r="BU379" s="90"/>
      <c r="BV379" s="90"/>
      <c r="BW379" s="90"/>
      <c r="BX379" s="90"/>
      <c r="BY379" s="90"/>
      <c r="BZ379" s="90"/>
      <c r="CA379" s="90"/>
      <c r="CB379" s="90"/>
      <c r="CC379" s="90"/>
      <c r="CD379" s="90"/>
      <c r="CE379" s="90"/>
      <c r="CF379" s="90"/>
      <c r="CG379" s="90"/>
      <c r="CH379" s="90"/>
      <c r="CI379" s="90"/>
      <c r="CJ379" s="90"/>
      <c r="CK379" s="90"/>
      <c r="CL379" s="90"/>
      <c r="CM379" s="90"/>
      <c r="CN379" s="90"/>
      <c r="CO379" s="90"/>
      <c r="CP379" s="90"/>
      <c r="CQ379" s="90"/>
      <c r="CR379" s="90"/>
      <c r="CS379" s="90"/>
      <c r="CT379" s="90"/>
      <c r="CU379" s="90"/>
      <c r="CV379" s="90"/>
      <c r="CW379" s="90"/>
    </row>
    <row r="380" ht="16.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0"/>
      <c r="BQ380" s="90"/>
      <c r="BR380" s="90"/>
      <c r="BS380" s="90"/>
      <c r="BT380" s="90"/>
      <c r="BU380" s="90"/>
      <c r="BV380" s="90"/>
      <c r="BW380" s="90"/>
      <c r="BX380" s="90"/>
      <c r="BY380" s="90"/>
      <c r="BZ380" s="90"/>
      <c r="CA380" s="90"/>
      <c r="CB380" s="90"/>
      <c r="CC380" s="90"/>
      <c r="CD380" s="90"/>
      <c r="CE380" s="90"/>
      <c r="CF380" s="90"/>
      <c r="CG380" s="90"/>
      <c r="CH380" s="90"/>
      <c r="CI380" s="90"/>
      <c r="CJ380" s="90"/>
      <c r="CK380" s="90"/>
      <c r="CL380" s="90"/>
      <c r="CM380" s="90"/>
      <c r="CN380" s="90"/>
      <c r="CO380" s="90"/>
      <c r="CP380" s="90"/>
      <c r="CQ380" s="90"/>
      <c r="CR380" s="90"/>
      <c r="CS380" s="90"/>
      <c r="CT380" s="90"/>
      <c r="CU380" s="90"/>
      <c r="CV380" s="90"/>
      <c r="CW380" s="90"/>
    </row>
    <row r="381" ht="16.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  <c r="BO381" s="90"/>
      <c r="BP381" s="90"/>
      <c r="BQ381" s="90"/>
      <c r="BR381" s="90"/>
      <c r="BS381" s="90"/>
      <c r="BT381" s="90"/>
      <c r="BU381" s="90"/>
      <c r="BV381" s="90"/>
      <c r="BW381" s="90"/>
      <c r="BX381" s="90"/>
      <c r="BY381" s="90"/>
      <c r="BZ381" s="90"/>
      <c r="CA381" s="90"/>
      <c r="CB381" s="90"/>
      <c r="CC381" s="90"/>
      <c r="CD381" s="90"/>
      <c r="CE381" s="90"/>
      <c r="CF381" s="90"/>
      <c r="CG381" s="90"/>
      <c r="CH381" s="90"/>
      <c r="CI381" s="90"/>
      <c r="CJ381" s="90"/>
      <c r="CK381" s="90"/>
      <c r="CL381" s="90"/>
      <c r="CM381" s="90"/>
      <c r="CN381" s="90"/>
      <c r="CO381" s="90"/>
      <c r="CP381" s="90"/>
      <c r="CQ381" s="90"/>
      <c r="CR381" s="90"/>
      <c r="CS381" s="90"/>
      <c r="CT381" s="90"/>
      <c r="CU381" s="90"/>
      <c r="CV381" s="90"/>
      <c r="CW381" s="90"/>
    </row>
    <row r="382" ht="16.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0"/>
      <c r="BQ382" s="90"/>
      <c r="BR382" s="90"/>
      <c r="BS382" s="90"/>
      <c r="BT382" s="90"/>
      <c r="BU382" s="90"/>
      <c r="BV382" s="90"/>
      <c r="BW382" s="90"/>
      <c r="BX382" s="90"/>
      <c r="BY382" s="90"/>
      <c r="BZ382" s="90"/>
      <c r="CA382" s="90"/>
      <c r="CB382" s="90"/>
      <c r="CC382" s="90"/>
      <c r="CD382" s="90"/>
      <c r="CE382" s="90"/>
      <c r="CF382" s="90"/>
      <c r="CG382" s="90"/>
      <c r="CH382" s="90"/>
      <c r="CI382" s="90"/>
      <c r="CJ382" s="90"/>
      <c r="CK382" s="90"/>
      <c r="CL382" s="90"/>
      <c r="CM382" s="90"/>
      <c r="CN382" s="90"/>
      <c r="CO382" s="90"/>
      <c r="CP382" s="90"/>
      <c r="CQ382" s="90"/>
      <c r="CR382" s="90"/>
      <c r="CS382" s="90"/>
      <c r="CT382" s="90"/>
      <c r="CU382" s="90"/>
      <c r="CV382" s="90"/>
      <c r="CW382" s="90"/>
    </row>
    <row r="383" ht="16.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  <c r="BO383" s="90"/>
      <c r="BP383" s="90"/>
      <c r="BQ383" s="90"/>
      <c r="BR383" s="90"/>
      <c r="BS383" s="90"/>
      <c r="BT383" s="90"/>
      <c r="BU383" s="90"/>
      <c r="BV383" s="90"/>
      <c r="BW383" s="90"/>
      <c r="BX383" s="90"/>
      <c r="BY383" s="90"/>
      <c r="BZ383" s="90"/>
      <c r="CA383" s="90"/>
      <c r="CB383" s="90"/>
      <c r="CC383" s="90"/>
      <c r="CD383" s="90"/>
      <c r="CE383" s="90"/>
      <c r="CF383" s="90"/>
      <c r="CG383" s="90"/>
      <c r="CH383" s="90"/>
      <c r="CI383" s="90"/>
      <c r="CJ383" s="90"/>
      <c r="CK383" s="90"/>
      <c r="CL383" s="90"/>
      <c r="CM383" s="90"/>
      <c r="CN383" s="90"/>
      <c r="CO383" s="90"/>
      <c r="CP383" s="90"/>
      <c r="CQ383" s="90"/>
      <c r="CR383" s="90"/>
      <c r="CS383" s="90"/>
      <c r="CT383" s="90"/>
      <c r="CU383" s="90"/>
      <c r="CV383" s="90"/>
      <c r="CW383" s="90"/>
    </row>
    <row r="384" ht="16.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0"/>
      <c r="BQ384" s="90"/>
      <c r="BR384" s="90"/>
      <c r="BS384" s="90"/>
      <c r="BT384" s="90"/>
      <c r="BU384" s="90"/>
      <c r="BV384" s="90"/>
      <c r="BW384" s="90"/>
      <c r="BX384" s="90"/>
      <c r="BY384" s="90"/>
      <c r="BZ384" s="90"/>
      <c r="CA384" s="90"/>
      <c r="CB384" s="90"/>
      <c r="CC384" s="90"/>
      <c r="CD384" s="90"/>
      <c r="CE384" s="90"/>
      <c r="CF384" s="90"/>
      <c r="CG384" s="90"/>
      <c r="CH384" s="90"/>
      <c r="CI384" s="90"/>
      <c r="CJ384" s="90"/>
      <c r="CK384" s="90"/>
      <c r="CL384" s="90"/>
      <c r="CM384" s="90"/>
      <c r="CN384" s="90"/>
      <c r="CO384" s="90"/>
      <c r="CP384" s="90"/>
      <c r="CQ384" s="90"/>
      <c r="CR384" s="90"/>
      <c r="CS384" s="90"/>
      <c r="CT384" s="90"/>
      <c r="CU384" s="90"/>
      <c r="CV384" s="90"/>
      <c r="CW384" s="90"/>
    </row>
    <row r="385" ht="16.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  <c r="BO385" s="90"/>
      <c r="BP385" s="90"/>
      <c r="BQ385" s="90"/>
      <c r="BR385" s="90"/>
      <c r="BS385" s="90"/>
      <c r="BT385" s="90"/>
      <c r="BU385" s="90"/>
      <c r="BV385" s="90"/>
      <c r="BW385" s="90"/>
      <c r="BX385" s="90"/>
      <c r="BY385" s="90"/>
      <c r="BZ385" s="90"/>
      <c r="CA385" s="90"/>
      <c r="CB385" s="90"/>
      <c r="CC385" s="90"/>
      <c r="CD385" s="90"/>
      <c r="CE385" s="90"/>
      <c r="CF385" s="90"/>
      <c r="CG385" s="90"/>
      <c r="CH385" s="90"/>
      <c r="CI385" s="90"/>
      <c r="CJ385" s="90"/>
      <c r="CK385" s="90"/>
      <c r="CL385" s="90"/>
      <c r="CM385" s="90"/>
      <c r="CN385" s="90"/>
      <c r="CO385" s="90"/>
      <c r="CP385" s="90"/>
      <c r="CQ385" s="90"/>
      <c r="CR385" s="90"/>
      <c r="CS385" s="90"/>
      <c r="CT385" s="90"/>
      <c r="CU385" s="90"/>
      <c r="CV385" s="90"/>
      <c r="CW385" s="90"/>
    </row>
    <row r="386" ht="16.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0"/>
      <c r="BQ386" s="90"/>
      <c r="BR386" s="90"/>
      <c r="BS386" s="90"/>
      <c r="BT386" s="90"/>
      <c r="BU386" s="90"/>
      <c r="BV386" s="90"/>
      <c r="BW386" s="90"/>
      <c r="BX386" s="90"/>
      <c r="BY386" s="90"/>
      <c r="BZ386" s="90"/>
      <c r="CA386" s="90"/>
      <c r="CB386" s="90"/>
      <c r="CC386" s="90"/>
      <c r="CD386" s="90"/>
      <c r="CE386" s="90"/>
      <c r="CF386" s="90"/>
      <c r="CG386" s="90"/>
      <c r="CH386" s="90"/>
      <c r="CI386" s="90"/>
      <c r="CJ386" s="90"/>
      <c r="CK386" s="90"/>
      <c r="CL386" s="90"/>
      <c r="CM386" s="90"/>
      <c r="CN386" s="90"/>
      <c r="CO386" s="90"/>
      <c r="CP386" s="90"/>
      <c r="CQ386" s="90"/>
      <c r="CR386" s="90"/>
      <c r="CS386" s="90"/>
      <c r="CT386" s="90"/>
      <c r="CU386" s="90"/>
      <c r="CV386" s="90"/>
      <c r="CW386" s="90"/>
    </row>
    <row r="387" ht="16.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  <c r="BO387" s="90"/>
      <c r="BP387" s="90"/>
      <c r="BQ387" s="90"/>
      <c r="BR387" s="90"/>
      <c r="BS387" s="90"/>
      <c r="BT387" s="90"/>
      <c r="BU387" s="90"/>
      <c r="BV387" s="90"/>
      <c r="BW387" s="90"/>
      <c r="BX387" s="90"/>
      <c r="BY387" s="90"/>
      <c r="BZ387" s="90"/>
      <c r="CA387" s="90"/>
      <c r="CB387" s="90"/>
      <c r="CC387" s="90"/>
      <c r="CD387" s="90"/>
      <c r="CE387" s="90"/>
      <c r="CF387" s="90"/>
      <c r="CG387" s="90"/>
      <c r="CH387" s="90"/>
      <c r="CI387" s="90"/>
      <c r="CJ387" s="90"/>
      <c r="CK387" s="90"/>
      <c r="CL387" s="90"/>
      <c r="CM387" s="90"/>
      <c r="CN387" s="90"/>
      <c r="CO387" s="90"/>
      <c r="CP387" s="90"/>
      <c r="CQ387" s="90"/>
      <c r="CR387" s="90"/>
      <c r="CS387" s="90"/>
      <c r="CT387" s="90"/>
      <c r="CU387" s="90"/>
      <c r="CV387" s="90"/>
      <c r="CW387" s="90"/>
    </row>
    <row r="388" ht="16.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0"/>
      <c r="BQ388" s="90"/>
      <c r="BR388" s="90"/>
      <c r="BS388" s="90"/>
      <c r="BT388" s="90"/>
      <c r="BU388" s="90"/>
      <c r="BV388" s="90"/>
      <c r="BW388" s="90"/>
      <c r="BX388" s="90"/>
      <c r="BY388" s="90"/>
      <c r="BZ388" s="90"/>
      <c r="CA388" s="90"/>
      <c r="CB388" s="90"/>
      <c r="CC388" s="90"/>
      <c r="CD388" s="90"/>
      <c r="CE388" s="90"/>
      <c r="CF388" s="90"/>
      <c r="CG388" s="90"/>
      <c r="CH388" s="90"/>
      <c r="CI388" s="90"/>
      <c r="CJ388" s="90"/>
      <c r="CK388" s="90"/>
      <c r="CL388" s="90"/>
      <c r="CM388" s="90"/>
      <c r="CN388" s="90"/>
      <c r="CO388" s="90"/>
      <c r="CP388" s="90"/>
      <c r="CQ388" s="90"/>
      <c r="CR388" s="90"/>
      <c r="CS388" s="90"/>
      <c r="CT388" s="90"/>
      <c r="CU388" s="90"/>
      <c r="CV388" s="90"/>
      <c r="CW388" s="90"/>
    </row>
    <row r="389" ht="16.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  <c r="BO389" s="90"/>
      <c r="BP389" s="90"/>
      <c r="BQ389" s="90"/>
      <c r="BR389" s="90"/>
      <c r="BS389" s="90"/>
      <c r="BT389" s="90"/>
      <c r="BU389" s="90"/>
      <c r="BV389" s="90"/>
      <c r="BW389" s="90"/>
      <c r="BX389" s="90"/>
      <c r="BY389" s="90"/>
      <c r="BZ389" s="90"/>
      <c r="CA389" s="90"/>
      <c r="CB389" s="90"/>
      <c r="CC389" s="90"/>
      <c r="CD389" s="90"/>
      <c r="CE389" s="90"/>
      <c r="CF389" s="90"/>
      <c r="CG389" s="90"/>
      <c r="CH389" s="90"/>
      <c r="CI389" s="90"/>
      <c r="CJ389" s="90"/>
      <c r="CK389" s="90"/>
      <c r="CL389" s="90"/>
      <c r="CM389" s="90"/>
      <c r="CN389" s="90"/>
      <c r="CO389" s="90"/>
      <c r="CP389" s="90"/>
      <c r="CQ389" s="90"/>
      <c r="CR389" s="90"/>
      <c r="CS389" s="90"/>
      <c r="CT389" s="90"/>
      <c r="CU389" s="90"/>
      <c r="CV389" s="90"/>
      <c r="CW389" s="90"/>
    </row>
    <row r="390" ht="16.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0"/>
      <c r="BQ390" s="90"/>
      <c r="BR390" s="90"/>
      <c r="BS390" s="90"/>
      <c r="BT390" s="90"/>
      <c r="BU390" s="90"/>
      <c r="BV390" s="90"/>
      <c r="BW390" s="90"/>
      <c r="BX390" s="90"/>
      <c r="BY390" s="90"/>
      <c r="BZ390" s="90"/>
      <c r="CA390" s="90"/>
      <c r="CB390" s="90"/>
      <c r="CC390" s="90"/>
      <c r="CD390" s="90"/>
      <c r="CE390" s="90"/>
      <c r="CF390" s="90"/>
      <c r="CG390" s="90"/>
      <c r="CH390" s="90"/>
      <c r="CI390" s="90"/>
      <c r="CJ390" s="90"/>
      <c r="CK390" s="90"/>
      <c r="CL390" s="90"/>
      <c r="CM390" s="90"/>
      <c r="CN390" s="90"/>
      <c r="CO390" s="90"/>
      <c r="CP390" s="90"/>
      <c r="CQ390" s="90"/>
      <c r="CR390" s="90"/>
      <c r="CS390" s="90"/>
      <c r="CT390" s="90"/>
      <c r="CU390" s="90"/>
      <c r="CV390" s="90"/>
      <c r="CW390" s="90"/>
    </row>
    <row r="391" ht="16.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  <c r="BO391" s="90"/>
      <c r="BP391" s="90"/>
      <c r="BQ391" s="90"/>
      <c r="BR391" s="90"/>
      <c r="BS391" s="90"/>
      <c r="BT391" s="90"/>
      <c r="BU391" s="90"/>
      <c r="BV391" s="90"/>
      <c r="BW391" s="90"/>
      <c r="BX391" s="90"/>
      <c r="BY391" s="90"/>
      <c r="BZ391" s="90"/>
      <c r="CA391" s="90"/>
      <c r="CB391" s="90"/>
      <c r="CC391" s="90"/>
      <c r="CD391" s="90"/>
      <c r="CE391" s="90"/>
      <c r="CF391" s="90"/>
      <c r="CG391" s="90"/>
      <c r="CH391" s="90"/>
      <c r="CI391" s="90"/>
      <c r="CJ391" s="90"/>
      <c r="CK391" s="90"/>
      <c r="CL391" s="90"/>
      <c r="CM391" s="90"/>
      <c r="CN391" s="90"/>
      <c r="CO391" s="90"/>
      <c r="CP391" s="90"/>
      <c r="CQ391" s="90"/>
      <c r="CR391" s="90"/>
      <c r="CS391" s="90"/>
      <c r="CT391" s="90"/>
      <c r="CU391" s="90"/>
      <c r="CV391" s="90"/>
      <c r="CW391" s="90"/>
    </row>
    <row r="392" ht="16.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0"/>
      <c r="BQ392" s="90"/>
      <c r="BR392" s="90"/>
      <c r="BS392" s="90"/>
      <c r="BT392" s="90"/>
      <c r="BU392" s="90"/>
      <c r="BV392" s="90"/>
      <c r="BW392" s="90"/>
      <c r="BX392" s="90"/>
      <c r="BY392" s="90"/>
      <c r="BZ392" s="90"/>
      <c r="CA392" s="90"/>
      <c r="CB392" s="90"/>
      <c r="CC392" s="90"/>
      <c r="CD392" s="90"/>
      <c r="CE392" s="90"/>
      <c r="CF392" s="90"/>
      <c r="CG392" s="90"/>
      <c r="CH392" s="90"/>
      <c r="CI392" s="90"/>
      <c r="CJ392" s="90"/>
      <c r="CK392" s="90"/>
      <c r="CL392" s="90"/>
      <c r="CM392" s="90"/>
      <c r="CN392" s="90"/>
      <c r="CO392" s="90"/>
      <c r="CP392" s="90"/>
      <c r="CQ392" s="90"/>
      <c r="CR392" s="90"/>
      <c r="CS392" s="90"/>
      <c r="CT392" s="90"/>
      <c r="CU392" s="90"/>
      <c r="CV392" s="90"/>
      <c r="CW392" s="90"/>
    </row>
    <row r="393" ht="16.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  <c r="BO393" s="90"/>
      <c r="BP393" s="90"/>
      <c r="BQ393" s="90"/>
      <c r="BR393" s="90"/>
      <c r="BS393" s="90"/>
      <c r="BT393" s="90"/>
      <c r="BU393" s="90"/>
      <c r="BV393" s="90"/>
      <c r="BW393" s="90"/>
      <c r="BX393" s="90"/>
      <c r="BY393" s="90"/>
      <c r="BZ393" s="90"/>
      <c r="CA393" s="90"/>
      <c r="CB393" s="90"/>
      <c r="CC393" s="90"/>
      <c r="CD393" s="90"/>
      <c r="CE393" s="90"/>
      <c r="CF393" s="90"/>
      <c r="CG393" s="90"/>
      <c r="CH393" s="90"/>
      <c r="CI393" s="90"/>
      <c r="CJ393" s="90"/>
      <c r="CK393" s="90"/>
      <c r="CL393" s="90"/>
      <c r="CM393" s="90"/>
      <c r="CN393" s="90"/>
      <c r="CO393" s="90"/>
      <c r="CP393" s="90"/>
      <c r="CQ393" s="90"/>
      <c r="CR393" s="90"/>
      <c r="CS393" s="90"/>
      <c r="CT393" s="90"/>
      <c r="CU393" s="90"/>
      <c r="CV393" s="90"/>
      <c r="CW393" s="90"/>
    </row>
    <row r="394" ht="16.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0"/>
      <c r="BQ394" s="90"/>
      <c r="BR394" s="90"/>
      <c r="BS394" s="90"/>
      <c r="BT394" s="90"/>
      <c r="BU394" s="90"/>
      <c r="BV394" s="90"/>
      <c r="BW394" s="90"/>
      <c r="BX394" s="90"/>
      <c r="BY394" s="90"/>
      <c r="BZ394" s="90"/>
      <c r="CA394" s="90"/>
      <c r="CB394" s="90"/>
      <c r="CC394" s="90"/>
      <c r="CD394" s="90"/>
      <c r="CE394" s="90"/>
      <c r="CF394" s="90"/>
      <c r="CG394" s="90"/>
      <c r="CH394" s="90"/>
      <c r="CI394" s="90"/>
      <c r="CJ394" s="90"/>
      <c r="CK394" s="90"/>
      <c r="CL394" s="90"/>
      <c r="CM394" s="90"/>
      <c r="CN394" s="90"/>
      <c r="CO394" s="90"/>
      <c r="CP394" s="90"/>
      <c r="CQ394" s="90"/>
      <c r="CR394" s="90"/>
      <c r="CS394" s="90"/>
      <c r="CT394" s="90"/>
      <c r="CU394" s="90"/>
      <c r="CV394" s="90"/>
      <c r="CW394" s="90"/>
    </row>
    <row r="395" ht="16.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  <c r="BO395" s="90"/>
      <c r="BP395" s="90"/>
      <c r="BQ395" s="90"/>
      <c r="BR395" s="90"/>
      <c r="BS395" s="90"/>
      <c r="BT395" s="90"/>
      <c r="BU395" s="90"/>
      <c r="BV395" s="90"/>
      <c r="BW395" s="90"/>
      <c r="BX395" s="90"/>
      <c r="BY395" s="90"/>
      <c r="BZ395" s="90"/>
      <c r="CA395" s="90"/>
      <c r="CB395" s="90"/>
      <c r="CC395" s="90"/>
      <c r="CD395" s="90"/>
      <c r="CE395" s="90"/>
      <c r="CF395" s="90"/>
      <c r="CG395" s="90"/>
      <c r="CH395" s="90"/>
      <c r="CI395" s="90"/>
      <c r="CJ395" s="90"/>
      <c r="CK395" s="90"/>
      <c r="CL395" s="90"/>
      <c r="CM395" s="90"/>
      <c r="CN395" s="90"/>
      <c r="CO395" s="90"/>
      <c r="CP395" s="90"/>
      <c r="CQ395" s="90"/>
      <c r="CR395" s="90"/>
      <c r="CS395" s="90"/>
      <c r="CT395" s="90"/>
      <c r="CU395" s="90"/>
      <c r="CV395" s="90"/>
      <c r="CW395" s="90"/>
    </row>
    <row r="396" ht="16.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0"/>
      <c r="BQ396" s="90"/>
      <c r="BR396" s="90"/>
      <c r="BS396" s="90"/>
      <c r="BT396" s="90"/>
      <c r="BU396" s="90"/>
      <c r="BV396" s="90"/>
      <c r="BW396" s="90"/>
      <c r="BX396" s="90"/>
      <c r="BY396" s="90"/>
      <c r="BZ396" s="90"/>
      <c r="CA396" s="90"/>
      <c r="CB396" s="90"/>
      <c r="CC396" s="90"/>
      <c r="CD396" s="90"/>
      <c r="CE396" s="90"/>
      <c r="CF396" s="90"/>
      <c r="CG396" s="90"/>
      <c r="CH396" s="90"/>
      <c r="CI396" s="90"/>
      <c r="CJ396" s="90"/>
      <c r="CK396" s="90"/>
      <c r="CL396" s="90"/>
      <c r="CM396" s="90"/>
      <c r="CN396" s="90"/>
      <c r="CO396" s="90"/>
      <c r="CP396" s="90"/>
      <c r="CQ396" s="90"/>
      <c r="CR396" s="90"/>
      <c r="CS396" s="90"/>
      <c r="CT396" s="90"/>
      <c r="CU396" s="90"/>
      <c r="CV396" s="90"/>
      <c r="CW396" s="90"/>
    </row>
    <row r="397" ht="16.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  <c r="BO397" s="90"/>
      <c r="BP397" s="90"/>
      <c r="BQ397" s="90"/>
      <c r="BR397" s="90"/>
      <c r="BS397" s="90"/>
      <c r="BT397" s="90"/>
      <c r="BU397" s="90"/>
      <c r="BV397" s="90"/>
      <c r="BW397" s="90"/>
      <c r="BX397" s="90"/>
      <c r="BY397" s="90"/>
      <c r="BZ397" s="90"/>
      <c r="CA397" s="90"/>
      <c r="CB397" s="90"/>
      <c r="CC397" s="90"/>
      <c r="CD397" s="90"/>
      <c r="CE397" s="90"/>
      <c r="CF397" s="90"/>
      <c r="CG397" s="90"/>
      <c r="CH397" s="90"/>
      <c r="CI397" s="90"/>
      <c r="CJ397" s="90"/>
      <c r="CK397" s="90"/>
      <c r="CL397" s="90"/>
      <c r="CM397" s="90"/>
      <c r="CN397" s="90"/>
      <c r="CO397" s="90"/>
      <c r="CP397" s="90"/>
      <c r="CQ397" s="90"/>
      <c r="CR397" s="90"/>
      <c r="CS397" s="90"/>
      <c r="CT397" s="90"/>
      <c r="CU397" s="90"/>
      <c r="CV397" s="90"/>
      <c r="CW397" s="90"/>
    </row>
    <row r="398" ht="16.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0"/>
      <c r="BQ398" s="90"/>
      <c r="BR398" s="90"/>
      <c r="BS398" s="90"/>
      <c r="BT398" s="90"/>
      <c r="BU398" s="90"/>
      <c r="BV398" s="90"/>
      <c r="BW398" s="90"/>
      <c r="BX398" s="90"/>
      <c r="BY398" s="90"/>
      <c r="BZ398" s="90"/>
      <c r="CA398" s="90"/>
      <c r="CB398" s="90"/>
      <c r="CC398" s="90"/>
      <c r="CD398" s="90"/>
      <c r="CE398" s="90"/>
      <c r="CF398" s="90"/>
      <c r="CG398" s="90"/>
      <c r="CH398" s="90"/>
      <c r="CI398" s="90"/>
      <c r="CJ398" s="90"/>
      <c r="CK398" s="90"/>
      <c r="CL398" s="90"/>
      <c r="CM398" s="90"/>
      <c r="CN398" s="90"/>
      <c r="CO398" s="90"/>
      <c r="CP398" s="90"/>
      <c r="CQ398" s="90"/>
      <c r="CR398" s="90"/>
      <c r="CS398" s="90"/>
      <c r="CT398" s="90"/>
      <c r="CU398" s="90"/>
      <c r="CV398" s="90"/>
      <c r="CW398" s="90"/>
    </row>
    <row r="399" ht="16.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  <c r="BO399" s="90"/>
      <c r="BP399" s="90"/>
      <c r="BQ399" s="90"/>
      <c r="BR399" s="90"/>
      <c r="BS399" s="90"/>
      <c r="BT399" s="90"/>
      <c r="BU399" s="90"/>
      <c r="BV399" s="90"/>
      <c r="BW399" s="90"/>
      <c r="BX399" s="90"/>
      <c r="BY399" s="90"/>
      <c r="BZ399" s="90"/>
      <c r="CA399" s="90"/>
      <c r="CB399" s="90"/>
      <c r="CC399" s="90"/>
      <c r="CD399" s="90"/>
      <c r="CE399" s="90"/>
      <c r="CF399" s="90"/>
      <c r="CG399" s="90"/>
      <c r="CH399" s="90"/>
      <c r="CI399" s="90"/>
      <c r="CJ399" s="90"/>
      <c r="CK399" s="90"/>
      <c r="CL399" s="90"/>
      <c r="CM399" s="90"/>
      <c r="CN399" s="90"/>
      <c r="CO399" s="90"/>
      <c r="CP399" s="90"/>
      <c r="CQ399" s="90"/>
      <c r="CR399" s="90"/>
      <c r="CS399" s="90"/>
      <c r="CT399" s="90"/>
      <c r="CU399" s="90"/>
      <c r="CV399" s="90"/>
      <c r="CW399" s="90"/>
    </row>
    <row r="400" ht="16.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0"/>
      <c r="BQ400" s="90"/>
      <c r="BR400" s="90"/>
      <c r="BS400" s="90"/>
      <c r="BT400" s="90"/>
      <c r="BU400" s="90"/>
      <c r="BV400" s="90"/>
      <c r="BW400" s="90"/>
      <c r="BX400" s="90"/>
      <c r="BY400" s="90"/>
      <c r="BZ400" s="90"/>
      <c r="CA400" s="90"/>
      <c r="CB400" s="90"/>
      <c r="CC400" s="90"/>
      <c r="CD400" s="90"/>
      <c r="CE400" s="90"/>
      <c r="CF400" s="90"/>
      <c r="CG400" s="90"/>
      <c r="CH400" s="90"/>
      <c r="CI400" s="90"/>
      <c r="CJ400" s="90"/>
      <c r="CK400" s="90"/>
      <c r="CL400" s="90"/>
      <c r="CM400" s="90"/>
      <c r="CN400" s="90"/>
      <c r="CO400" s="90"/>
      <c r="CP400" s="90"/>
      <c r="CQ400" s="90"/>
      <c r="CR400" s="90"/>
      <c r="CS400" s="90"/>
      <c r="CT400" s="90"/>
      <c r="CU400" s="90"/>
      <c r="CV400" s="90"/>
      <c r="CW400" s="90"/>
    </row>
    <row r="401" ht="16.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  <c r="BO401" s="90"/>
      <c r="BP401" s="90"/>
      <c r="BQ401" s="90"/>
      <c r="BR401" s="90"/>
      <c r="BS401" s="90"/>
      <c r="BT401" s="90"/>
      <c r="BU401" s="90"/>
      <c r="BV401" s="90"/>
      <c r="BW401" s="90"/>
      <c r="BX401" s="90"/>
      <c r="BY401" s="90"/>
      <c r="BZ401" s="90"/>
      <c r="CA401" s="90"/>
      <c r="CB401" s="90"/>
      <c r="CC401" s="90"/>
      <c r="CD401" s="90"/>
      <c r="CE401" s="90"/>
      <c r="CF401" s="90"/>
      <c r="CG401" s="90"/>
      <c r="CH401" s="90"/>
      <c r="CI401" s="90"/>
      <c r="CJ401" s="90"/>
      <c r="CK401" s="90"/>
      <c r="CL401" s="90"/>
      <c r="CM401" s="90"/>
      <c r="CN401" s="90"/>
      <c r="CO401" s="90"/>
      <c r="CP401" s="90"/>
      <c r="CQ401" s="90"/>
      <c r="CR401" s="90"/>
      <c r="CS401" s="90"/>
      <c r="CT401" s="90"/>
      <c r="CU401" s="90"/>
      <c r="CV401" s="90"/>
      <c r="CW401" s="90"/>
    </row>
    <row r="402" ht="16.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0"/>
      <c r="BQ402" s="90"/>
      <c r="BR402" s="90"/>
      <c r="BS402" s="90"/>
      <c r="BT402" s="90"/>
      <c r="BU402" s="90"/>
      <c r="BV402" s="90"/>
      <c r="BW402" s="90"/>
      <c r="BX402" s="90"/>
      <c r="BY402" s="90"/>
      <c r="BZ402" s="90"/>
      <c r="CA402" s="90"/>
      <c r="CB402" s="90"/>
      <c r="CC402" s="90"/>
      <c r="CD402" s="90"/>
      <c r="CE402" s="90"/>
      <c r="CF402" s="90"/>
      <c r="CG402" s="90"/>
      <c r="CH402" s="90"/>
      <c r="CI402" s="90"/>
      <c r="CJ402" s="90"/>
      <c r="CK402" s="90"/>
      <c r="CL402" s="90"/>
      <c r="CM402" s="90"/>
      <c r="CN402" s="90"/>
      <c r="CO402" s="90"/>
      <c r="CP402" s="90"/>
      <c r="CQ402" s="90"/>
      <c r="CR402" s="90"/>
      <c r="CS402" s="90"/>
      <c r="CT402" s="90"/>
      <c r="CU402" s="90"/>
      <c r="CV402" s="90"/>
      <c r="CW402" s="90"/>
    </row>
    <row r="403" ht="16.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  <c r="BO403" s="90"/>
      <c r="BP403" s="90"/>
      <c r="BQ403" s="90"/>
      <c r="BR403" s="90"/>
      <c r="BS403" s="90"/>
      <c r="BT403" s="90"/>
      <c r="BU403" s="90"/>
      <c r="BV403" s="90"/>
      <c r="BW403" s="90"/>
      <c r="BX403" s="90"/>
      <c r="BY403" s="90"/>
      <c r="BZ403" s="90"/>
      <c r="CA403" s="90"/>
      <c r="CB403" s="90"/>
      <c r="CC403" s="90"/>
      <c r="CD403" s="90"/>
      <c r="CE403" s="90"/>
      <c r="CF403" s="90"/>
      <c r="CG403" s="90"/>
      <c r="CH403" s="90"/>
      <c r="CI403" s="90"/>
      <c r="CJ403" s="90"/>
      <c r="CK403" s="90"/>
      <c r="CL403" s="90"/>
      <c r="CM403" s="90"/>
      <c r="CN403" s="90"/>
      <c r="CO403" s="90"/>
      <c r="CP403" s="90"/>
      <c r="CQ403" s="90"/>
      <c r="CR403" s="90"/>
      <c r="CS403" s="90"/>
      <c r="CT403" s="90"/>
      <c r="CU403" s="90"/>
      <c r="CV403" s="90"/>
      <c r="CW403" s="90"/>
    </row>
    <row r="404" ht="16.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0"/>
      <c r="BQ404" s="90"/>
      <c r="BR404" s="90"/>
      <c r="BS404" s="90"/>
      <c r="BT404" s="90"/>
      <c r="BU404" s="90"/>
      <c r="BV404" s="90"/>
      <c r="BW404" s="90"/>
      <c r="BX404" s="90"/>
      <c r="BY404" s="90"/>
      <c r="BZ404" s="90"/>
      <c r="CA404" s="90"/>
      <c r="CB404" s="90"/>
      <c r="CC404" s="90"/>
      <c r="CD404" s="90"/>
      <c r="CE404" s="90"/>
      <c r="CF404" s="90"/>
      <c r="CG404" s="90"/>
      <c r="CH404" s="90"/>
      <c r="CI404" s="90"/>
      <c r="CJ404" s="90"/>
      <c r="CK404" s="90"/>
      <c r="CL404" s="90"/>
      <c r="CM404" s="90"/>
      <c r="CN404" s="90"/>
      <c r="CO404" s="90"/>
      <c r="CP404" s="90"/>
      <c r="CQ404" s="90"/>
      <c r="CR404" s="90"/>
      <c r="CS404" s="90"/>
      <c r="CT404" s="90"/>
      <c r="CU404" s="90"/>
      <c r="CV404" s="90"/>
      <c r="CW404" s="90"/>
    </row>
    <row r="405" ht="16.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  <c r="CN405" s="90"/>
      <c r="CO405" s="90"/>
      <c r="CP405" s="90"/>
      <c r="CQ405" s="90"/>
      <c r="CR405" s="90"/>
      <c r="CS405" s="90"/>
      <c r="CT405" s="90"/>
      <c r="CU405" s="90"/>
      <c r="CV405" s="90"/>
      <c r="CW405" s="90"/>
    </row>
    <row r="406" ht="16.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0"/>
      <c r="BQ406" s="90"/>
      <c r="BR406" s="90"/>
      <c r="BS406" s="90"/>
      <c r="BT406" s="90"/>
      <c r="BU406" s="90"/>
      <c r="BV406" s="90"/>
      <c r="BW406" s="90"/>
      <c r="BX406" s="90"/>
      <c r="BY406" s="90"/>
      <c r="BZ406" s="90"/>
      <c r="CA406" s="90"/>
      <c r="CB406" s="90"/>
      <c r="CC406" s="90"/>
      <c r="CD406" s="90"/>
      <c r="CE406" s="90"/>
      <c r="CF406" s="90"/>
      <c r="CG406" s="90"/>
      <c r="CH406" s="90"/>
      <c r="CI406" s="90"/>
      <c r="CJ406" s="90"/>
      <c r="CK406" s="90"/>
      <c r="CL406" s="90"/>
      <c r="CM406" s="90"/>
      <c r="CN406" s="90"/>
      <c r="CO406" s="90"/>
      <c r="CP406" s="90"/>
      <c r="CQ406" s="90"/>
      <c r="CR406" s="90"/>
      <c r="CS406" s="90"/>
      <c r="CT406" s="90"/>
      <c r="CU406" s="90"/>
      <c r="CV406" s="90"/>
      <c r="CW406" s="90"/>
    </row>
    <row r="407" ht="16.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  <c r="BO407" s="90"/>
      <c r="BP407" s="90"/>
      <c r="BQ407" s="90"/>
      <c r="BR407" s="90"/>
      <c r="BS407" s="90"/>
      <c r="BT407" s="90"/>
      <c r="BU407" s="90"/>
      <c r="BV407" s="90"/>
      <c r="BW407" s="90"/>
      <c r="BX407" s="90"/>
      <c r="BY407" s="90"/>
      <c r="BZ407" s="90"/>
      <c r="CA407" s="90"/>
      <c r="CB407" s="90"/>
      <c r="CC407" s="90"/>
      <c r="CD407" s="90"/>
      <c r="CE407" s="90"/>
      <c r="CF407" s="90"/>
      <c r="CG407" s="90"/>
      <c r="CH407" s="90"/>
      <c r="CI407" s="90"/>
      <c r="CJ407" s="90"/>
      <c r="CK407" s="90"/>
      <c r="CL407" s="90"/>
      <c r="CM407" s="90"/>
      <c r="CN407" s="90"/>
      <c r="CO407" s="90"/>
      <c r="CP407" s="90"/>
      <c r="CQ407" s="90"/>
      <c r="CR407" s="90"/>
      <c r="CS407" s="90"/>
      <c r="CT407" s="90"/>
      <c r="CU407" s="90"/>
      <c r="CV407" s="90"/>
      <c r="CW407" s="90"/>
    </row>
    <row r="408" ht="16.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0"/>
      <c r="BQ408" s="90"/>
      <c r="BR408" s="90"/>
      <c r="BS408" s="90"/>
      <c r="BT408" s="90"/>
      <c r="BU408" s="90"/>
      <c r="BV408" s="90"/>
      <c r="BW408" s="90"/>
      <c r="BX408" s="90"/>
      <c r="BY408" s="90"/>
      <c r="BZ408" s="90"/>
      <c r="CA408" s="90"/>
      <c r="CB408" s="90"/>
      <c r="CC408" s="90"/>
      <c r="CD408" s="90"/>
      <c r="CE408" s="90"/>
      <c r="CF408" s="90"/>
      <c r="CG408" s="90"/>
      <c r="CH408" s="90"/>
      <c r="CI408" s="90"/>
      <c r="CJ408" s="90"/>
      <c r="CK408" s="90"/>
      <c r="CL408" s="90"/>
      <c r="CM408" s="90"/>
      <c r="CN408" s="90"/>
      <c r="CO408" s="90"/>
      <c r="CP408" s="90"/>
      <c r="CQ408" s="90"/>
      <c r="CR408" s="90"/>
      <c r="CS408" s="90"/>
      <c r="CT408" s="90"/>
      <c r="CU408" s="90"/>
      <c r="CV408" s="90"/>
      <c r="CW408" s="90"/>
    </row>
    <row r="409" ht="16.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  <c r="BO409" s="90"/>
      <c r="BP409" s="90"/>
      <c r="BQ409" s="90"/>
      <c r="BR409" s="90"/>
      <c r="BS409" s="90"/>
      <c r="BT409" s="90"/>
      <c r="BU409" s="90"/>
      <c r="BV409" s="90"/>
      <c r="BW409" s="90"/>
      <c r="BX409" s="90"/>
      <c r="BY409" s="90"/>
      <c r="BZ409" s="90"/>
      <c r="CA409" s="90"/>
      <c r="CB409" s="90"/>
      <c r="CC409" s="90"/>
      <c r="CD409" s="90"/>
      <c r="CE409" s="90"/>
      <c r="CF409" s="90"/>
      <c r="CG409" s="90"/>
      <c r="CH409" s="90"/>
      <c r="CI409" s="90"/>
      <c r="CJ409" s="90"/>
      <c r="CK409" s="90"/>
      <c r="CL409" s="90"/>
      <c r="CM409" s="90"/>
      <c r="CN409" s="90"/>
      <c r="CO409" s="90"/>
      <c r="CP409" s="90"/>
      <c r="CQ409" s="90"/>
      <c r="CR409" s="90"/>
      <c r="CS409" s="90"/>
      <c r="CT409" s="90"/>
      <c r="CU409" s="90"/>
      <c r="CV409" s="90"/>
      <c r="CW409" s="90"/>
    </row>
    <row r="410" ht="16.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0"/>
      <c r="BQ410" s="90"/>
      <c r="BR410" s="90"/>
      <c r="BS410" s="90"/>
      <c r="BT410" s="90"/>
      <c r="BU410" s="90"/>
      <c r="BV410" s="90"/>
      <c r="BW410" s="90"/>
      <c r="BX410" s="90"/>
      <c r="BY410" s="90"/>
      <c r="BZ410" s="90"/>
      <c r="CA410" s="90"/>
      <c r="CB410" s="90"/>
      <c r="CC410" s="90"/>
      <c r="CD410" s="90"/>
      <c r="CE410" s="90"/>
      <c r="CF410" s="90"/>
      <c r="CG410" s="90"/>
      <c r="CH410" s="90"/>
      <c r="CI410" s="90"/>
      <c r="CJ410" s="90"/>
      <c r="CK410" s="90"/>
      <c r="CL410" s="90"/>
      <c r="CM410" s="90"/>
      <c r="CN410" s="90"/>
      <c r="CO410" s="90"/>
      <c r="CP410" s="90"/>
      <c r="CQ410" s="90"/>
      <c r="CR410" s="90"/>
      <c r="CS410" s="90"/>
      <c r="CT410" s="90"/>
      <c r="CU410" s="90"/>
      <c r="CV410" s="90"/>
      <c r="CW410" s="90"/>
    </row>
    <row r="411" ht="16.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  <c r="BO411" s="90"/>
      <c r="BP411" s="90"/>
      <c r="BQ411" s="90"/>
      <c r="BR411" s="90"/>
      <c r="BS411" s="90"/>
      <c r="BT411" s="90"/>
      <c r="BU411" s="90"/>
      <c r="BV411" s="90"/>
      <c r="BW411" s="90"/>
      <c r="BX411" s="90"/>
      <c r="BY411" s="90"/>
      <c r="BZ411" s="90"/>
      <c r="CA411" s="90"/>
      <c r="CB411" s="90"/>
      <c r="CC411" s="90"/>
      <c r="CD411" s="90"/>
      <c r="CE411" s="90"/>
      <c r="CF411" s="90"/>
      <c r="CG411" s="90"/>
      <c r="CH411" s="90"/>
      <c r="CI411" s="90"/>
      <c r="CJ411" s="90"/>
      <c r="CK411" s="90"/>
      <c r="CL411" s="90"/>
      <c r="CM411" s="90"/>
      <c r="CN411" s="90"/>
      <c r="CO411" s="90"/>
      <c r="CP411" s="90"/>
      <c r="CQ411" s="90"/>
      <c r="CR411" s="90"/>
      <c r="CS411" s="90"/>
      <c r="CT411" s="90"/>
      <c r="CU411" s="90"/>
      <c r="CV411" s="90"/>
      <c r="CW411" s="90"/>
    </row>
    <row r="412" ht="16.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0"/>
      <c r="BQ412" s="90"/>
      <c r="BR412" s="90"/>
      <c r="BS412" s="90"/>
      <c r="BT412" s="90"/>
      <c r="BU412" s="90"/>
      <c r="BV412" s="90"/>
      <c r="BW412" s="90"/>
      <c r="BX412" s="90"/>
      <c r="BY412" s="90"/>
      <c r="BZ412" s="90"/>
      <c r="CA412" s="90"/>
      <c r="CB412" s="90"/>
      <c r="CC412" s="90"/>
      <c r="CD412" s="90"/>
      <c r="CE412" s="90"/>
      <c r="CF412" s="90"/>
      <c r="CG412" s="90"/>
      <c r="CH412" s="90"/>
      <c r="CI412" s="90"/>
      <c r="CJ412" s="90"/>
      <c r="CK412" s="90"/>
      <c r="CL412" s="90"/>
      <c r="CM412" s="90"/>
      <c r="CN412" s="90"/>
      <c r="CO412" s="90"/>
      <c r="CP412" s="90"/>
      <c r="CQ412" s="90"/>
      <c r="CR412" s="90"/>
      <c r="CS412" s="90"/>
      <c r="CT412" s="90"/>
      <c r="CU412" s="90"/>
      <c r="CV412" s="90"/>
      <c r="CW412" s="90"/>
    </row>
    <row r="413" ht="16.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  <c r="BO413" s="90"/>
      <c r="BP413" s="90"/>
      <c r="BQ413" s="90"/>
      <c r="BR413" s="90"/>
      <c r="BS413" s="90"/>
      <c r="BT413" s="90"/>
      <c r="BU413" s="90"/>
      <c r="BV413" s="90"/>
      <c r="BW413" s="90"/>
      <c r="BX413" s="90"/>
      <c r="BY413" s="90"/>
      <c r="BZ413" s="90"/>
      <c r="CA413" s="90"/>
      <c r="CB413" s="90"/>
      <c r="CC413" s="90"/>
      <c r="CD413" s="90"/>
      <c r="CE413" s="90"/>
      <c r="CF413" s="90"/>
      <c r="CG413" s="90"/>
      <c r="CH413" s="90"/>
      <c r="CI413" s="90"/>
      <c r="CJ413" s="90"/>
      <c r="CK413" s="90"/>
      <c r="CL413" s="90"/>
      <c r="CM413" s="90"/>
      <c r="CN413" s="90"/>
      <c r="CO413" s="90"/>
      <c r="CP413" s="90"/>
      <c r="CQ413" s="90"/>
      <c r="CR413" s="90"/>
      <c r="CS413" s="90"/>
      <c r="CT413" s="90"/>
      <c r="CU413" s="90"/>
      <c r="CV413" s="90"/>
      <c r="CW413" s="90"/>
    </row>
    <row r="414" ht="16.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0"/>
      <c r="BQ414" s="90"/>
      <c r="BR414" s="90"/>
      <c r="BS414" s="90"/>
      <c r="BT414" s="90"/>
      <c r="BU414" s="90"/>
      <c r="BV414" s="90"/>
      <c r="BW414" s="90"/>
      <c r="BX414" s="90"/>
      <c r="BY414" s="90"/>
      <c r="BZ414" s="90"/>
      <c r="CA414" s="90"/>
      <c r="CB414" s="90"/>
      <c r="CC414" s="90"/>
      <c r="CD414" s="90"/>
      <c r="CE414" s="90"/>
      <c r="CF414" s="90"/>
      <c r="CG414" s="90"/>
      <c r="CH414" s="90"/>
      <c r="CI414" s="90"/>
      <c r="CJ414" s="90"/>
      <c r="CK414" s="90"/>
      <c r="CL414" s="90"/>
      <c r="CM414" s="90"/>
      <c r="CN414" s="90"/>
      <c r="CO414" s="90"/>
      <c r="CP414" s="90"/>
      <c r="CQ414" s="90"/>
      <c r="CR414" s="90"/>
      <c r="CS414" s="90"/>
      <c r="CT414" s="90"/>
      <c r="CU414" s="90"/>
      <c r="CV414" s="90"/>
      <c r="CW414" s="90"/>
    </row>
    <row r="415" ht="16.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  <c r="BO415" s="90"/>
      <c r="BP415" s="90"/>
      <c r="BQ415" s="90"/>
      <c r="BR415" s="90"/>
      <c r="BS415" s="90"/>
      <c r="BT415" s="90"/>
      <c r="BU415" s="90"/>
      <c r="BV415" s="90"/>
      <c r="BW415" s="90"/>
      <c r="BX415" s="90"/>
      <c r="BY415" s="90"/>
      <c r="BZ415" s="90"/>
      <c r="CA415" s="90"/>
      <c r="CB415" s="90"/>
      <c r="CC415" s="90"/>
      <c r="CD415" s="90"/>
      <c r="CE415" s="90"/>
      <c r="CF415" s="90"/>
      <c r="CG415" s="90"/>
      <c r="CH415" s="90"/>
      <c r="CI415" s="90"/>
      <c r="CJ415" s="90"/>
      <c r="CK415" s="90"/>
      <c r="CL415" s="90"/>
      <c r="CM415" s="90"/>
      <c r="CN415" s="90"/>
      <c r="CO415" s="90"/>
      <c r="CP415" s="90"/>
      <c r="CQ415" s="90"/>
      <c r="CR415" s="90"/>
      <c r="CS415" s="90"/>
      <c r="CT415" s="90"/>
      <c r="CU415" s="90"/>
      <c r="CV415" s="90"/>
      <c r="CW415" s="90"/>
    </row>
    <row r="416" ht="16.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0"/>
      <c r="BQ416" s="90"/>
      <c r="BR416" s="90"/>
      <c r="BS416" s="90"/>
      <c r="BT416" s="90"/>
      <c r="BU416" s="90"/>
      <c r="BV416" s="90"/>
      <c r="BW416" s="90"/>
      <c r="BX416" s="90"/>
      <c r="BY416" s="90"/>
      <c r="BZ416" s="90"/>
      <c r="CA416" s="90"/>
      <c r="CB416" s="90"/>
      <c r="CC416" s="90"/>
      <c r="CD416" s="90"/>
      <c r="CE416" s="90"/>
      <c r="CF416" s="90"/>
      <c r="CG416" s="90"/>
      <c r="CH416" s="90"/>
      <c r="CI416" s="90"/>
      <c r="CJ416" s="90"/>
      <c r="CK416" s="90"/>
      <c r="CL416" s="90"/>
      <c r="CM416" s="90"/>
      <c r="CN416" s="90"/>
      <c r="CO416" s="90"/>
      <c r="CP416" s="90"/>
      <c r="CQ416" s="90"/>
      <c r="CR416" s="90"/>
      <c r="CS416" s="90"/>
      <c r="CT416" s="90"/>
      <c r="CU416" s="90"/>
      <c r="CV416" s="90"/>
      <c r="CW416" s="90"/>
    </row>
    <row r="417" ht="16.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  <c r="BO417" s="90"/>
      <c r="BP417" s="90"/>
      <c r="BQ417" s="90"/>
      <c r="BR417" s="90"/>
      <c r="BS417" s="90"/>
      <c r="BT417" s="90"/>
      <c r="BU417" s="90"/>
      <c r="BV417" s="90"/>
      <c r="BW417" s="90"/>
      <c r="BX417" s="90"/>
      <c r="BY417" s="90"/>
      <c r="BZ417" s="90"/>
      <c r="CA417" s="90"/>
      <c r="CB417" s="90"/>
      <c r="CC417" s="90"/>
      <c r="CD417" s="90"/>
      <c r="CE417" s="90"/>
      <c r="CF417" s="90"/>
      <c r="CG417" s="90"/>
      <c r="CH417" s="90"/>
      <c r="CI417" s="90"/>
      <c r="CJ417" s="90"/>
      <c r="CK417" s="90"/>
      <c r="CL417" s="90"/>
      <c r="CM417" s="90"/>
      <c r="CN417" s="90"/>
      <c r="CO417" s="90"/>
      <c r="CP417" s="90"/>
      <c r="CQ417" s="90"/>
      <c r="CR417" s="90"/>
      <c r="CS417" s="90"/>
      <c r="CT417" s="90"/>
      <c r="CU417" s="90"/>
      <c r="CV417" s="90"/>
      <c r="CW417" s="90"/>
    </row>
    <row r="418" ht="16.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0"/>
      <c r="BQ418" s="90"/>
      <c r="BR418" s="90"/>
      <c r="BS418" s="90"/>
      <c r="BT418" s="90"/>
      <c r="BU418" s="90"/>
      <c r="BV418" s="90"/>
      <c r="BW418" s="90"/>
      <c r="BX418" s="90"/>
      <c r="BY418" s="90"/>
      <c r="BZ418" s="90"/>
      <c r="CA418" s="90"/>
      <c r="CB418" s="90"/>
      <c r="CC418" s="90"/>
      <c r="CD418" s="90"/>
      <c r="CE418" s="90"/>
      <c r="CF418" s="90"/>
      <c r="CG418" s="90"/>
      <c r="CH418" s="90"/>
      <c r="CI418" s="90"/>
      <c r="CJ418" s="90"/>
      <c r="CK418" s="90"/>
      <c r="CL418" s="90"/>
      <c r="CM418" s="90"/>
      <c r="CN418" s="90"/>
      <c r="CO418" s="90"/>
      <c r="CP418" s="90"/>
      <c r="CQ418" s="90"/>
      <c r="CR418" s="90"/>
      <c r="CS418" s="90"/>
      <c r="CT418" s="90"/>
      <c r="CU418" s="90"/>
      <c r="CV418" s="90"/>
      <c r="CW418" s="90"/>
    </row>
    <row r="419" ht="16.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  <c r="BO419" s="90"/>
      <c r="BP419" s="90"/>
      <c r="BQ419" s="90"/>
      <c r="BR419" s="90"/>
      <c r="BS419" s="90"/>
      <c r="BT419" s="90"/>
      <c r="BU419" s="90"/>
      <c r="BV419" s="90"/>
      <c r="BW419" s="90"/>
      <c r="BX419" s="90"/>
      <c r="BY419" s="90"/>
      <c r="BZ419" s="90"/>
      <c r="CA419" s="90"/>
      <c r="CB419" s="90"/>
      <c r="CC419" s="90"/>
      <c r="CD419" s="90"/>
      <c r="CE419" s="90"/>
      <c r="CF419" s="90"/>
      <c r="CG419" s="90"/>
      <c r="CH419" s="90"/>
      <c r="CI419" s="90"/>
      <c r="CJ419" s="90"/>
      <c r="CK419" s="90"/>
      <c r="CL419" s="90"/>
      <c r="CM419" s="90"/>
      <c r="CN419" s="90"/>
      <c r="CO419" s="90"/>
      <c r="CP419" s="90"/>
      <c r="CQ419" s="90"/>
      <c r="CR419" s="90"/>
      <c r="CS419" s="90"/>
      <c r="CT419" s="90"/>
      <c r="CU419" s="90"/>
      <c r="CV419" s="90"/>
      <c r="CW419" s="90"/>
    </row>
    <row r="420" ht="16.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0"/>
      <c r="BQ420" s="90"/>
      <c r="BR420" s="90"/>
      <c r="BS420" s="90"/>
      <c r="BT420" s="90"/>
      <c r="BU420" s="90"/>
      <c r="BV420" s="90"/>
      <c r="BW420" s="90"/>
      <c r="BX420" s="90"/>
      <c r="BY420" s="90"/>
      <c r="BZ420" s="90"/>
      <c r="CA420" s="90"/>
      <c r="CB420" s="90"/>
      <c r="CC420" s="90"/>
      <c r="CD420" s="90"/>
      <c r="CE420" s="90"/>
      <c r="CF420" s="90"/>
      <c r="CG420" s="90"/>
      <c r="CH420" s="90"/>
      <c r="CI420" s="90"/>
      <c r="CJ420" s="90"/>
      <c r="CK420" s="90"/>
      <c r="CL420" s="90"/>
      <c r="CM420" s="90"/>
      <c r="CN420" s="90"/>
      <c r="CO420" s="90"/>
      <c r="CP420" s="90"/>
      <c r="CQ420" s="90"/>
      <c r="CR420" s="90"/>
      <c r="CS420" s="90"/>
      <c r="CT420" s="90"/>
      <c r="CU420" s="90"/>
      <c r="CV420" s="90"/>
      <c r="CW420" s="90"/>
    </row>
    <row r="421" ht="16.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  <c r="BO421" s="90"/>
      <c r="BP421" s="90"/>
      <c r="BQ421" s="90"/>
      <c r="BR421" s="90"/>
      <c r="BS421" s="90"/>
      <c r="BT421" s="90"/>
      <c r="BU421" s="90"/>
      <c r="BV421" s="90"/>
      <c r="BW421" s="90"/>
      <c r="BX421" s="90"/>
      <c r="BY421" s="90"/>
      <c r="BZ421" s="90"/>
      <c r="CA421" s="90"/>
      <c r="CB421" s="90"/>
      <c r="CC421" s="90"/>
      <c r="CD421" s="90"/>
      <c r="CE421" s="90"/>
      <c r="CF421" s="90"/>
      <c r="CG421" s="90"/>
      <c r="CH421" s="90"/>
      <c r="CI421" s="90"/>
      <c r="CJ421" s="90"/>
      <c r="CK421" s="90"/>
      <c r="CL421" s="90"/>
      <c r="CM421" s="90"/>
      <c r="CN421" s="90"/>
      <c r="CO421" s="90"/>
      <c r="CP421" s="90"/>
      <c r="CQ421" s="90"/>
      <c r="CR421" s="90"/>
      <c r="CS421" s="90"/>
      <c r="CT421" s="90"/>
      <c r="CU421" s="90"/>
      <c r="CV421" s="90"/>
      <c r="CW421" s="90"/>
    </row>
    <row r="422" ht="16.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0"/>
      <c r="BQ422" s="90"/>
      <c r="BR422" s="90"/>
      <c r="BS422" s="90"/>
      <c r="BT422" s="90"/>
      <c r="BU422" s="90"/>
      <c r="BV422" s="90"/>
      <c r="BW422" s="90"/>
      <c r="BX422" s="90"/>
      <c r="BY422" s="90"/>
      <c r="BZ422" s="90"/>
      <c r="CA422" s="90"/>
      <c r="CB422" s="90"/>
      <c r="CC422" s="90"/>
      <c r="CD422" s="90"/>
      <c r="CE422" s="90"/>
      <c r="CF422" s="90"/>
      <c r="CG422" s="90"/>
      <c r="CH422" s="90"/>
      <c r="CI422" s="90"/>
      <c r="CJ422" s="90"/>
      <c r="CK422" s="90"/>
      <c r="CL422" s="90"/>
      <c r="CM422" s="90"/>
      <c r="CN422" s="90"/>
      <c r="CO422" s="90"/>
      <c r="CP422" s="90"/>
      <c r="CQ422" s="90"/>
      <c r="CR422" s="90"/>
      <c r="CS422" s="90"/>
      <c r="CT422" s="90"/>
      <c r="CU422" s="90"/>
      <c r="CV422" s="90"/>
      <c r="CW422" s="90"/>
    </row>
    <row r="423" ht="16.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  <c r="BO423" s="90"/>
      <c r="BP423" s="90"/>
      <c r="BQ423" s="90"/>
      <c r="BR423" s="90"/>
      <c r="BS423" s="90"/>
      <c r="BT423" s="90"/>
      <c r="BU423" s="90"/>
      <c r="BV423" s="90"/>
      <c r="BW423" s="90"/>
      <c r="BX423" s="90"/>
      <c r="BY423" s="90"/>
      <c r="BZ423" s="90"/>
      <c r="CA423" s="90"/>
      <c r="CB423" s="90"/>
      <c r="CC423" s="90"/>
      <c r="CD423" s="90"/>
      <c r="CE423" s="90"/>
      <c r="CF423" s="90"/>
      <c r="CG423" s="90"/>
      <c r="CH423" s="90"/>
      <c r="CI423" s="90"/>
      <c r="CJ423" s="90"/>
      <c r="CK423" s="90"/>
      <c r="CL423" s="90"/>
      <c r="CM423" s="90"/>
      <c r="CN423" s="90"/>
      <c r="CO423" s="90"/>
      <c r="CP423" s="90"/>
      <c r="CQ423" s="90"/>
      <c r="CR423" s="90"/>
      <c r="CS423" s="90"/>
      <c r="CT423" s="90"/>
      <c r="CU423" s="90"/>
      <c r="CV423" s="90"/>
      <c r="CW423" s="90"/>
    </row>
    <row r="424" ht="16.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0"/>
      <c r="BQ424" s="90"/>
      <c r="BR424" s="90"/>
      <c r="BS424" s="90"/>
      <c r="BT424" s="90"/>
      <c r="BU424" s="90"/>
      <c r="BV424" s="90"/>
      <c r="BW424" s="90"/>
      <c r="BX424" s="90"/>
      <c r="BY424" s="90"/>
      <c r="BZ424" s="90"/>
      <c r="CA424" s="90"/>
      <c r="CB424" s="90"/>
      <c r="CC424" s="90"/>
      <c r="CD424" s="90"/>
      <c r="CE424" s="90"/>
      <c r="CF424" s="90"/>
      <c r="CG424" s="90"/>
      <c r="CH424" s="90"/>
      <c r="CI424" s="90"/>
      <c r="CJ424" s="90"/>
      <c r="CK424" s="90"/>
      <c r="CL424" s="90"/>
      <c r="CM424" s="90"/>
      <c r="CN424" s="90"/>
      <c r="CO424" s="90"/>
      <c r="CP424" s="90"/>
      <c r="CQ424" s="90"/>
      <c r="CR424" s="90"/>
      <c r="CS424" s="90"/>
      <c r="CT424" s="90"/>
      <c r="CU424" s="90"/>
      <c r="CV424" s="90"/>
      <c r="CW424" s="90"/>
    </row>
    <row r="425" ht="16.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  <c r="BO425" s="90"/>
      <c r="BP425" s="90"/>
      <c r="BQ425" s="90"/>
      <c r="BR425" s="90"/>
      <c r="BS425" s="90"/>
      <c r="BT425" s="90"/>
      <c r="BU425" s="90"/>
      <c r="BV425" s="90"/>
      <c r="BW425" s="90"/>
      <c r="BX425" s="90"/>
      <c r="BY425" s="90"/>
      <c r="BZ425" s="90"/>
      <c r="CA425" s="90"/>
      <c r="CB425" s="90"/>
      <c r="CC425" s="90"/>
      <c r="CD425" s="90"/>
      <c r="CE425" s="90"/>
      <c r="CF425" s="90"/>
      <c r="CG425" s="90"/>
      <c r="CH425" s="90"/>
      <c r="CI425" s="90"/>
      <c r="CJ425" s="90"/>
      <c r="CK425" s="90"/>
      <c r="CL425" s="90"/>
      <c r="CM425" s="90"/>
      <c r="CN425" s="90"/>
      <c r="CO425" s="90"/>
      <c r="CP425" s="90"/>
      <c r="CQ425" s="90"/>
      <c r="CR425" s="90"/>
      <c r="CS425" s="90"/>
      <c r="CT425" s="90"/>
      <c r="CU425" s="90"/>
      <c r="CV425" s="90"/>
      <c r="CW425" s="90"/>
    </row>
    <row r="426" ht="16.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0"/>
      <c r="BQ426" s="90"/>
      <c r="BR426" s="90"/>
      <c r="BS426" s="90"/>
      <c r="BT426" s="90"/>
      <c r="BU426" s="90"/>
      <c r="BV426" s="90"/>
      <c r="BW426" s="90"/>
      <c r="BX426" s="90"/>
      <c r="BY426" s="90"/>
      <c r="BZ426" s="90"/>
      <c r="CA426" s="90"/>
      <c r="CB426" s="90"/>
      <c r="CC426" s="90"/>
      <c r="CD426" s="90"/>
      <c r="CE426" s="90"/>
      <c r="CF426" s="90"/>
      <c r="CG426" s="90"/>
      <c r="CH426" s="90"/>
      <c r="CI426" s="90"/>
      <c r="CJ426" s="90"/>
      <c r="CK426" s="90"/>
      <c r="CL426" s="90"/>
      <c r="CM426" s="90"/>
      <c r="CN426" s="90"/>
      <c r="CO426" s="90"/>
      <c r="CP426" s="90"/>
      <c r="CQ426" s="90"/>
      <c r="CR426" s="90"/>
      <c r="CS426" s="90"/>
      <c r="CT426" s="90"/>
      <c r="CU426" s="90"/>
      <c r="CV426" s="90"/>
      <c r="CW426" s="90"/>
    </row>
    <row r="427" ht="16.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  <c r="BO427" s="90"/>
      <c r="BP427" s="90"/>
      <c r="BQ427" s="90"/>
      <c r="BR427" s="90"/>
      <c r="BS427" s="90"/>
      <c r="BT427" s="90"/>
      <c r="BU427" s="90"/>
      <c r="BV427" s="90"/>
      <c r="BW427" s="90"/>
      <c r="BX427" s="90"/>
      <c r="BY427" s="90"/>
      <c r="BZ427" s="90"/>
      <c r="CA427" s="90"/>
      <c r="CB427" s="90"/>
      <c r="CC427" s="90"/>
      <c r="CD427" s="90"/>
      <c r="CE427" s="90"/>
      <c r="CF427" s="90"/>
      <c r="CG427" s="90"/>
      <c r="CH427" s="90"/>
      <c r="CI427" s="90"/>
      <c r="CJ427" s="90"/>
      <c r="CK427" s="90"/>
      <c r="CL427" s="90"/>
      <c r="CM427" s="90"/>
      <c r="CN427" s="90"/>
      <c r="CO427" s="90"/>
      <c r="CP427" s="90"/>
      <c r="CQ427" s="90"/>
      <c r="CR427" s="90"/>
      <c r="CS427" s="90"/>
      <c r="CT427" s="90"/>
      <c r="CU427" s="90"/>
      <c r="CV427" s="90"/>
      <c r="CW427" s="90"/>
    </row>
    <row r="428" ht="16.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0"/>
      <c r="BQ428" s="90"/>
      <c r="BR428" s="90"/>
      <c r="BS428" s="90"/>
      <c r="BT428" s="90"/>
      <c r="BU428" s="90"/>
      <c r="BV428" s="90"/>
      <c r="BW428" s="90"/>
      <c r="BX428" s="90"/>
      <c r="BY428" s="90"/>
      <c r="BZ428" s="90"/>
      <c r="CA428" s="90"/>
      <c r="CB428" s="90"/>
      <c r="CC428" s="90"/>
      <c r="CD428" s="90"/>
      <c r="CE428" s="90"/>
      <c r="CF428" s="90"/>
      <c r="CG428" s="90"/>
      <c r="CH428" s="90"/>
      <c r="CI428" s="90"/>
      <c r="CJ428" s="90"/>
      <c r="CK428" s="90"/>
      <c r="CL428" s="90"/>
      <c r="CM428" s="90"/>
      <c r="CN428" s="90"/>
      <c r="CO428" s="90"/>
      <c r="CP428" s="90"/>
      <c r="CQ428" s="90"/>
      <c r="CR428" s="90"/>
      <c r="CS428" s="90"/>
      <c r="CT428" s="90"/>
      <c r="CU428" s="90"/>
      <c r="CV428" s="90"/>
      <c r="CW428" s="90"/>
    </row>
    <row r="429" ht="16.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  <c r="BO429" s="90"/>
      <c r="BP429" s="90"/>
      <c r="BQ429" s="90"/>
      <c r="BR429" s="90"/>
      <c r="BS429" s="90"/>
      <c r="BT429" s="90"/>
      <c r="BU429" s="90"/>
      <c r="BV429" s="90"/>
      <c r="BW429" s="90"/>
      <c r="BX429" s="90"/>
      <c r="BY429" s="90"/>
      <c r="BZ429" s="90"/>
      <c r="CA429" s="90"/>
      <c r="CB429" s="90"/>
      <c r="CC429" s="90"/>
      <c r="CD429" s="90"/>
      <c r="CE429" s="90"/>
      <c r="CF429" s="90"/>
      <c r="CG429" s="90"/>
      <c r="CH429" s="90"/>
      <c r="CI429" s="90"/>
      <c r="CJ429" s="90"/>
      <c r="CK429" s="90"/>
      <c r="CL429" s="90"/>
      <c r="CM429" s="90"/>
      <c r="CN429" s="90"/>
      <c r="CO429" s="90"/>
      <c r="CP429" s="90"/>
      <c r="CQ429" s="90"/>
      <c r="CR429" s="90"/>
      <c r="CS429" s="90"/>
      <c r="CT429" s="90"/>
      <c r="CU429" s="90"/>
      <c r="CV429" s="90"/>
      <c r="CW429" s="90"/>
    </row>
    <row r="430" ht="16.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0"/>
      <c r="BQ430" s="90"/>
      <c r="BR430" s="90"/>
      <c r="BS430" s="90"/>
      <c r="BT430" s="90"/>
      <c r="BU430" s="90"/>
      <c r="BV430" s="90"/>
      <c r="BW430" s="90"/>
      <c r="BX430" s="90"/>
      <c r="BY430" s="90"/>
      <c r="BZ430" s="90"/>
      <c r="CA430" s="90"/>
      <c r="CB430" s="90"/>
      <c r="CC430" s="90"/>
      <c r="CD430" s="90"/>
      <c r="CE430" s="90"/>
      <c r="CF430" s="90"/>
      <c r="CG430" s="90"/>
      <c r="CH430" s="90"/>
      <c r="CI430" s="90"/>
      <c r="CJ430" s="90"/>
      <c r="CK430" s="90"/>
      <c r="CL430" s="90"/>
      <c r="CM430" s="90"/>
      <c r="CN430" s="90"/>
      <c r="CO430" s="90"/>
      <c r="CP430" s="90"/>
      <c r="CQ430" s="90"/>
      <c r="CR430" s="90"/>
      <c r="CS430" s="90"/>
      <c r="CT430" s="90"/>
      <c r="CU430" s="90"/>
      <c r="CV430" s="90"/>
      <c r="CW430" s="90"/>
    </row>
    <row r="431" ht="16.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  <c r="BO431" s="90"/>
      <c r="BP431" s="90"/>
      <c r="BQ431" s="90"/>
      <c r="BR431" s="90"/>
      <c r="BS431" s="90"/>
      <c r="BT431" s="90"/>
      <c r="BU431" s="90"/>
      <c r="BV431" s="90"/>
      <c r="BW431" s="90"/>
      <c r="BX431" s="90"/>
      <c r="BY431" s="90"/>
      <c r="BZ431" s="90"/>
      <c r="CA431" s="90"/>
      <c r="CB431" s="90"/>
      <c r="CC431" s="90"/>
      <c r="CD431" s="90"/>
      <c r="CE431" s="90"/>
      <c r="CF431" s="90"/>
      <c r="CG431" s="90"/>
      <c r="CH431" s="90"/>
      <c r="CI431" s="90"/>
      <c r="CJ431" s="90"/>
      <c r="CK431" s="90"/>
      <c r="CL431" s="90"/>
      <c r="CM431" s="90"/>
      <c r="CN431" s="90"/>
      <c r="CO431" s="90"/>
      <c r="CP431" s="90"/>
      <c r="CQ431" s="90"/>
      <c r="CR431" s="90"/>
      <c r="CS431" s="90"/>
      <c r="CT431" s="90"/>
      <c r="CU431" s="90"/>
      <c r="CV431" s="90"/>
      <c r="CW431" s="90"/>
    </row>
    <row r="432" ht="16.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0"/>
      <c r="BQ432" s="90"/>
      <c r="BR432" s="90"/>
      <c r="BS432" s="90"/>
      <c r="BT432" s="90"/>
      <c r="BU432" s="90"/>
      <c r="BV432" s="90"/>
      <c r="BW432" s="90"/>
      <c r="BX432" s="90"/>
      <c r="BY432" s="90"/>
      <c r="BZ432" s="90"/>
      <c r="CA432" s="90"/>
      <c r="CB432" s="90"/>
      <c r="CC432" s="90"/>
      <c r="CD432" s="90"/>
      <c r="CE432" s="90"/>
      <c r="CF432" s="90"/>
      <c r="CG432" s="90"/>
      <c r="CH432" s="90"/>
      <c r="CI432" s="90"/>
      <c r="CJ432" s="90"/>
      <c r="CK432" s="90"/>
      <c r="CL432" s="90"/>
      <c r="CM432" s="90"/>
      <c r="CN432" s="90"/>
      <c r="CO432" s="90"/>
      <c r="CP432" s="90"/>
      <c r="CQ432" s="90"/>
      <c r="CR432" s="90"/>
      <c r="CS432" s="90"/>
      <c r="CT432" s="90"/>
      <c r="CU432" s="90"/>
      <c r="CV432" s="90"/>
      <c r="CW432" s="90"/>
    </row>
    <row r="433" ht="16.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  <c r="BO433" s="90"/>
      <c r="BP433" s="90"/>
      <c r="BQ433" s="90"/>
      <c r="BR433" s="90"/>
      <c r="BS433" s="90"/>
      <c r="BT433" s="90"/>
      <c r="BU433" s="90"/>
      <c r="BV433" s="90"/>
      <c r="BW433" s="90"/>
      <c r="BX433" s="90"/>
      <c r="BY433" s="90"/>
      <c r="BZ433" s="90"/>
      <c r="CA433" s="90"/>
      <c r="CB433" s="90"/>
      <c r="CC433" s="90"/>
      <c r="CD433" s="90"/>
      <c r="CE433" s="90"/>
      <c r="CF433" s="90"/>
      <c r="CG433" s="90"/>
      <c r="CH433" s="90"/>
      <c r="CI433" s="90"/>
      <c r="CJ433" s="90"/>
      <c r="CK433" s="90"/>
      <c r="CL433" s="90"/>
      <c r="CM433" s="90"/>
      <c r="CN433" s="90"/>
      <c r="CO433" s="90"/>
      <c r="CP433" s="90"/>
      <c r="CQ433" s="90"/>
      <c r="CR433" s="90"/>
      <c r="CS433" s="90"/>
      <c r="CT433" s="90"/>
      <c r="CU433" s="90"/>
      <c r="CV433" s="90"/>
      <c r="CW433" s="90"/>
    </row>
    <row r="434" ht="16.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0"/>
      <c r="BQ434" s="90"/>
      <c r="BR434" s="90"/>
      <c r="BS434" s="90"/>
      <c r="BT434" s="90"/>
      <c r="BU434" s="90"/>
      <c r="BV434" s="90"/>
      <c r="BW434" s="90"/>
      <c r="BX434" s="90"/>
      <c r="BY434" s="90"/>
      <c r="BZ434" s="90"/>
      <c r="CA434" s="90"/>
      <c r="CB434" s="90"/>
      <c r="CC434" s="90"/>
      <c r="CD434" s="90"/>
      <c r="CE434" s="90"/>
      <c r="CF434" s="90"/>
      <c r="CG434" s="90"/>
      <c r="CH434" s="90"/>
      <c r="CI434" s="90"/>
      <c r="CJ434" s="90"/>
      <c r="CK434" s="90"/>
      <c r="CL434" s="90"/>
      <c r="CM434" s="90"/>
      <c r="CN434" s="90"/>
      <c r="CO434" s="90"/>
      <c r="CP434" s="90"/>
      <c r="CQ434" s="90"/>
      <c r="CR434" s="90"/>
      <c r="CS434" s="90"/>
      <c r="CT434" s="90"/>
      <c r="CU434" s="90"/>
      <c r="CV434" s="90"/>
      <c r="CW434" s="90"/>
    </row>
    <row r="435" ht="16.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  <c r="BO435" s="90"/>
      <c r="BP435" s="90"/>
      <c r="BQ435" s="90"/>
      <c r="BR435" s="90"/>
      <c r="BS435" s="90"/>
      <c r="BT435" s="90"/>
      <c r="BU435" s="90"/>
      <c r="BV435" s="90"/>
      <c r="BW435" s="90"/>
      <c r="BX435" s="90"/>
      <c r="BY435" s="90"/>
      <c r="BZ435" s="90"/>
      <c r="CA435" s="90"/>
      <c r="CB435" s="90"/>
      <c r="CC435" s="90"/>
      <c r="CD435" s="90"/>
      <c r="CE435" s="90"/>
      <c r="CF435" s="90"/>
      <c r="CG435" s="90"/>
      <c r="CH435" s="90"/>
      <c r="CI435" s="90"/>
      <c r="CJ435" s="90"/>
      <c r="CK435" s="90"/>
      <c r="CL435" s="90"/>
      <c r="CM435" s="90"/>
      <c r="CN435" s="90"/>
      <c r="CO435" s="90"/>
      <c r="CP435" s="90"/>
      <c r="CQ435" s="90"/>
      <c r="CR435" s="90"/>
      <c r="CS435" s="90"/>
      <c r="CT435" s="90"/>
      <c r="CU435" s="90"/>
      <c r="CV435" s="90"/>
      <c r="CW435" s="90"/>
    </row>
    <row r="436" ht="16.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0"/>
      <c r="BQ436" s="90"/>
      <c r="BR436" s="90"/>
      <c r="BS436" s="90"/>
      <c r="BT436" s="90"/>
      <c r="BU436" s="90"/>
      <c r="BV436" s="90"/>
      <c r="BW436" s="90"/>
      <c r="BX436" s="90"/>
      <c r="BY436" s="90"/>
      <c r="BZ436" s="90"/>
      <c r="CA436" s="90"/>
      <c r="CB436" s="90"/>
      <c r="CC436" s="90"/>
      <c r="CD436" s="90"/>
      <c r="CE436" s="90"/>
      <c r="CF436" s="90"/>
      <c r="CG436" s="90"/>
      <c r="CH436" s="90"/>
      <c r="CI436" s="90"/>
      <c r="CJ436" s="90"/>
      <c r="CK436" s="90"/>
      <c r="CL436" s="90"/>
      <c r="CM436" s="90"/>
      <c r="CN436" s="90"/>
      <c r="CO436" s="90"/>
      <c r="CP436" s="90"/>
      <c r="CQ436" s="90"/>
      <c r="CR436" s="90"/>
      <c r="CS436" s="90"/>
      <c r="CT436" s="90"/>
      <c r="CU436" s="90"/>
      <c r="CV436" s="90"/>
      <c r="CW436" s="90"/>
    </row>
    <row r="437" ht="16.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  <c r="BO437" s="90"/>
      <c r="BP437" s="90"/>
      <c r="BQ437" s="90"/>
      <c r="BR437" s="90"/>
      <c r="BS437" s="90"/>
      <c r="BT437" s="90"/>
      <c r="BU437" s="90"/>
      <c r="BV437" s="90"/>
      <c r="BW437" s="90"/>
      <c r="BX437" s="90"/>
      <c r="BY437" s="90"/>
      <c r="BZ437" s="90"/>
      <c r="CA437" s="90"/>
      <c r="CB437" s="90"/>
      <c r="CC437" s="90"/>
      <c r="CD437" s="90"/>
      <c r="CE437" s="90"/>
      <c r="CF437" s="90"/>
      <c r="CG437" s="90"/>
      <c r="CH437" s="90"/>
      <c r="CI437" s="90"/>
      <c r="CJ437" s="90"/>
      <c r="CK437" s="90"/>
      <c r="CL437" s="90"/>
      <c r="CM437" s="90"/>
      <c r="CN437" s="90"/>
      <c r="CO437" s="90"/>
      <c r="CP437" s="90"/>
      <c r="CQ437" s="90"/>
      <c r="CR437" s="90"/>
      <c r="CS437" s="90"/>
      <c r="CT437" s="90"/>
      <c r="CU437" s="90"/>
      <c r="CV437" s="90"/>
      <c r="CW437" s="90"/>
    </row>
    <row r="438" ht="16.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0"/>
      <c r="BQ438" s="90"/>
      <c r="BR438" s="90"/>
      <c r="BS438" s="90"/>
      <c r="BT438" s="90"/>
      <c r="BU438" s="90"/>
      <c r="BV438" s="90"/>
      <c r="BW438" s="90"/>
      <c r="BX438" s="90"/>
      <c r="BY438" s="90"/>
      <c r="BZ438" s="90"/>
      <c r="CA438" s="90"/>
      <c r="CB438" s="90"/>
      <c r="CC438" s="90"/>
      <c r="CD438" s="90"/>
      <c r="CE438" s="90"/>
      <c r="CF438" s="90"/>
      <c r="CG438" s="90"/>
      <c r="CH438" s="90"/>
      <c r="CI438" s="90"/>
      <c r="CJ438" s="90"/>
      <c r="CK438" s="90"/>
      <c r="CL438" s="90"/>
      <c r="CM438" s="90"/>
      <c r="CN438" s="90"/>
      <c r="CO438" s="90"/>
      <c r="CP438" s="90"/>
      <c r="CQ438" s="90"/>
      <c r="CR438" s="90"/>
      <c r="CS438" s="90"/>
      <c r="CT438" s="90"/>
      <c r="CU438" s="90"/>
      <c r="CV438" s="90"/>
      <c r="CW438" s="90"/>
    </row>
    <row r="439" ht="16.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  <c r="BO439" s="90"/>
      <c r="BP439" s="90"/>
      <c r="BQ439" s="90"/>
      <c r="BR439" s="90"/>
      <c r="BS439" s="90"/>
      <c r="BT439" s="90"/>
      <c r="BU439" s="90"/>
      <c r="BV439" s="90"/>
      <c r="BW439" s="90"/>
      <c r="BX439" s="90"/>
      <c r="BY439" s="90"/>
      <c r="BZ439" s="90"/>
      <c r="CA439" s="90"/>
      <c r="CB439" s="90"/>
      <c r="CC439" s="90"/>
      <c r="CD439" s="90"/>
      <c r="CE439" s="90"/>
      <c r="CF439" s="90"/>
      <c r="CG439" s="90"/>
      <c r="CH439" s="90"/>
      <c r="CI439" s="90"/>
      <c r="CJ439" s="90"/>
      <c r="CK439" s="90"/>
      <c r="CL439" s="90"/>
      <c r="CM439" s="90"/>
      <c r="CN439" s="90"/>
      <c r="CO439" s="90"/>
      <c r="CP439" s="90"/>
      <c r="CQ439" s="90"/>
      <c r="CR439" s="90"/>
      <c r="CS439" s="90"/>
      <c r="CT439" s="90"/>
      <c r="CU439" s="90"/>
      <c r="CV439" s="90"/>
      <c r="CW439" s="90"/>
    </row>
    <row r="440" ht="16.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0"/>
      <c r="BQ440" s="90"/>
      <c r="BR440" s="90"/>
      <c r="BS440" s="90"/>
      <c r="BT440" s="90"/>
      <c r="BU440" s="90"/>
      <c r="BV440" s="90"/>
      <c r="BW440" s="90"/>
      <c r="BX440" s="90"/>
      <c r="BY440" s="90"/>
      <c r="BZ440" s="90"/>
      <c r="CA440" s="90"/>
      <c r="CB440" s="90"/>
      <c r="CC440" s="90"/>
      <c r="CD440" s="90"/>
      <c r="CE440" s="90"/>
      <c r="CF440" s="90"/>
      <c r="CG440" s="90"/>
      <c r="CH440" s="90"/>
      <c r="CI440" s="90"/>
      <c r="CJ440" s="90"/>
      <c r="CK440" s="90"/>
      <c r="CL440" s="90"/>
      <c r="CM440" s="90"/>
      <c r="CN440" s="90"/>
      <c r="CO440" s="90"/>
      <c r="CP440" s="90"/>
      <c r="CQ440" s="90"/>
      <c r="CR440" s="90"/>
      <c r="CS440" s="90"/>
      <c r="CT440" s="90"/>
      <c r="CU440" s="90"/>
      <c r="CV440" s="90"/>
      <c r="CW440" s="90"/>
    </row>
    <row r="441" ht="16.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  <c r="BO441" s="90"/>
      <c r="BP441" s="90"/>
      <c r="BQ441" s="90"/>
      <c r="BR441" s="90"/>
      <c r="BS441" s="90"/>
      <c r="BT441" s="90"/>
      <c r="BU441" s="90"/>
      <c r="BV441" s="90"/>
      <c r="BW441" s="90"/>
      <c r="BX441" s="90"/>
      <c r="BY441" s="90"/>
      <c r="BZ441" s="90"/>
      <c r="CA441" s="90"/>
      <c r="CB441" s="90"/>
      <c r="CC441" s="90"/>
      <c r="CD441" s="90"/>
      <c r="CE441" s="90"/>
      <c r="CF441" s="90"/>
      <c r="CG441" s="90"/>
      <c r="CH441" s="90"/>
      <c r="CI441" s="90"/>
      <c r="CJ441" s="90"/>
      <c r="CK441" s="90"/>
      <c r="CL441" s="90"/>
      <c r="CM441" s="90"/>
      <c r="CN441" s="90"/>
      <c r="CO441" s="90"/>
      <c r="CP441" s="90"/>
      <c r="CQ441" s="90"/>
      <c r="CR441" s="90"/>
      <c r="CS441" s="90"/>
      <c r="CT441" s="90"/>
      <c r="CU441" s="90"/>
      <c r="CV441" s="90"/>
      <c r="CW441" s="90"/>
    </row>
    <row r="442" ht="16.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0"/>
      <c r="BQ442" s="90"/>
      <c r="BR442" s="90"/>
      <c r="BS442" s="90"/>
      <c r="BT442" s="90"/>
      <c r="BU442" s="90"/>
      <c r="BV442" s="90"/>
      <c r="BW442" s="90"/>
      <c r="BX442" s="90"/>
      <c r="BY442" s="90"/>
      <c r="BZ442" s="90"/>
      <c r="CA442" s="90"/>
      <c r="CB442" s="90"/>
      <c r="CC442" s="90"/>
      <c r="CD442" s="90"/>
      <c r="CE442" s="90"/>
      <c r="CF442" s="90"/>
      <c r="CG442" s="90"/>
      <c r="CH442" s="90"/>
      <c r="CI442" s="90"/>
      <c r="CJ442" s="90"/>
      <c r="CK442" s="90"/>
      <c r="CL442" s="90"/>
      <c r="CM442" s="90"/>
      <c r="CN442" s="90"/>
      <c r="CO442" s="90"/>
      <c r="CP442" s="90"/>
      <c r="CQ442" s="90"/>
      <c r="CR442" s="90"/>
      <c r="CS442" s="90"/>
      <c r="CT442" s="90"/>
      <c r="CU442" s="90"/>
      <c r="CV442" s="90"/>
      <c r="CW442" s="90"/>
    </row>
    <row r="443" ht="16.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  <c r="BO443" s="90"/>
      <c r="BP443" s="90"/>
      <c r="BQ443" s="90"/>
      <c r="BR443" s="90"/>
      <c r="BS443" s="90"/>
      <c r="BT443" s="90"/>
      <c r="BU443" s="90"/>
      <c r="BV443" s="90"/>
      <c r="BW443" s="90"/>
      <c r="BX443" s="90"/>
      <c r="BY443" s="90"/>
      <c r="BZ443" s="90"/>
      <c r="CA443" s="90"/>
      <c r="CB443" s="90"/>
      <c r="CC443" s="90"/>
      <c r="CD443" s="90"/>
      <c r="CE443" s="90"/>
      <c r="CF443" s="90"/>
      <c r="CG443" s="90"/>
      <c r="CH443" s="90"/>
      <c r="CI443" s="90"/>
      <c r="CJ443" s="90"/>
      <c r="CK443" s="90"/>
      <c r="CL443" s="90"/>
      <c r="CM443" s="90"/>
      <c r="CN443" s="90"/>
      <c r="CO443" s="90"/>
      <c r="CP443" s="90"/>
      <c r="CQ443" s="90"/>
      <c r="CR443" s="90"/>
      <c r="CS443" s="90"/>
      <c r="CT443" s="90"/>
      <c r="CU443" s="90"/>
      <c r="CV443" s="90"/>
      <c r="CW443" s="90"/>
    </row>
    <row r="444" ht="16.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0"/>
      <c r="BQ444" s="90"/>
      <c r="BR444" s="90"/>
      <c r="BS444" s="90"/>
      <c r="BT444" s="90"/>
      <c r="BU444" s="90"/>
      <c r="BV444" s="90"/>
      <c r="BW444" s="90"/>
      <c r="BX444" s="90"/>
      <c r="BY444" s="90"/>
      <c r="BZ444" s="90"/>
      <c r="CA444" s="90"/>
      <c r="CB444" s="90"/>
      <c r="CC444" s="90"/>
      <c r="CD444" s="90"/>
      <c r="CE444" s="90"/>
      <c r="CF444" s="90"/>
      <c r="CG444" s="90"/>
      <c r="CH444" s="90"/>
      <c r="CI444" s="90"/>
      <c r="CJ444" s="90"/>
      <c r="CK444" s="90"/>
      <c r="CL444" s="90"/>
      <c r="CM444" s="90"/>
      <c r="CN444" s="90"/>
      <c r="CO444" s="90"/>
      <c r="CP444" s="90"/>
      <c r="CQ444" s="90"/>
      <c r="CR444" s="90"/>
      <c r="CS444" s="90"/>
      <c r="CT444" s="90"/>
      <c r="CU444" s="90"/>
      <c r="CV444" s="90"/>
      <c r="CW444" s="90"/>
    </row>
    <row r="445" ht="16.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  <c r="BO445" s="90"/>
      <c r="BP445" s="90"/>
      <c r="BQ445" s="90"/>
      <c r="BR445" s="90"/>
      <c r="BS445" s="90"/>
      <c r="BT445" s="90"/>
      <c r="BU445" s="90"/>
      <c r="BV445" s="90"/>
      <c r="BW445" s="90"/>
      <c r="BX445" s="90"/>
      <c r="BY445" s="90"/>
      <c r="BZ445" s="90"/>
      <c r="CA445" s="90"/>
      <c r="CB445" s="90"/>
      <c r="CC445" s="90"/>
      <c r="CD445" s="90"/>
      <c r="CE445" s="90"/>
      <c r="CF445" s="90"/>
      <c r="CG445" s="90"/>
      <c r="CH445" s="90"/>
      <c r="CI445" s="90"/>
      <c r="CJ445" s="90"/>
      <c r="CK445" s="90"/>
      <c r="CL445" s="90"/>
      <c r="CM445" s="90"/>
      <c r="CN445" s="90"/>
      <c r="CO445" s="90"/>
      <c r="CP445" s="90"/>
      <c r="CQ445" s="90"/>
      <c r="CR445" s="90"/>
      <c r="CS445" s="90"/>
      <c r="CT445" s="90"/>
      <c r="CU445" s="90"/>
      <c r="CV445" s="90"/>
      <c r="CW445" s="90"/>
    </row>
    <row r="446" ht="16.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0"/>
      <c r="BQ446" s="90"/>
      <c r="BR446" s="90"/>
      <c r="BS446" s="90"/>
      <c r="BT446" s="90"/>
      <c r="BU446" s="90"/>
      <c r="BV446" s="90"/>
      <c r="BW446" s="90"/>
      <c r="BX446" s="90"/>
      <c r="BY446" s="90"/>
      <c r="BZ446" s="90"/>
      <c r="CA446" s="90"/>
      <c r="CB446" s="90"/>
      <c r="CC446" s="90"/>
      <c r="CD446" s="90"/>
      <c r="CE446" s="90"/>
      <c r="CF446" s="90"/>
      <c r="CG446" s="90"/>
      <c r="CH446" s="90"/>
      <c r="CI446" s="90"/>
      <c r="CJ446" s="90"/>
      <c r="CK446" s="90"/>
      <c r="CL446" s="90"/>
      <c r="CM446" s="90"/>
      <c r="CN446" s="90"/>
      <c r="CO446" s="90"/>
      <c r="CP446" s="90"/>
      <c r="CQ446" s="90"/>
      <c r="CR446" s="90"/>
      <c r="CS446" s="90"/>
      <c r="CT446" s="90"/>
      <c r="CU446" s="90"/>
      <c r="CV446" s="90"/>
      <c r="CW446" s="90"/>
    </row>
    <row r="447" ht="16.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  <c r="BO447" s="90"/>
      <c r="BP447" s="90"/>
      <c r="BQ447" s="90"/>
      <c r="BR447" s="90"/>
      <c r="BS447" s="90"/>
      <c r="BT447" s="90"/>
      <c r="BU447" s="90"/>
      <c r="BV447" s="90"/>
      <c r="BW447" s="90"/>
      <c r="BX447" s="90"/>
      <c r="BY447" s="90"/>
      <c r="BZ447" s="90"/>
      <c r="CA447" s="90"/>
      <c r="CB447" s="90"/>
      <c r="CC447" s="90"/>
      <c r="CD447" s="90"/>
      <c r="CE447" s="90"/>
      <c r="CF447" s="90"/>
      <c r="CG447" s="90"/>
      <c r="CH447" s="90"/>
      <c r="CI447" s="90"/>
      <c r="CJ447" s="90"/>
      <c r="CK447" s="90"/>
      <c r="CL447" s="90"/>
      <c r="CM447" s="90"/>
      <c r="CN447" s="90"/>
      <c r="CO447" s="90"/>
      <c r="CP447" s="90"/>
      <c r="CQ447" s="90"/>
      <c r="CR447" s="90"/>
      <c r="CS447" s="90"/>
      <c r="CT447" s="90"/>
      <c r="CU447" s="90"/>
      <c r="CV447" s="90"/>
      <c r="CW447" s="90"/>
    </row>
    <row r="448" ht="16.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0"/>
      <c r="BQ448" s="90"/>
      <c r="BR448" s="90"/>
      <c r="BS448" s="90"/>
      <c r="BT448" s="90"/>
      <c r="BU448" s="90"/>
      <c r="BV448" s="90"/>
      <c r="BW448" s="90"/>
      <c r="BX448" s="90"/>
      <c r="BY448" s="90"/>
      <c r="BZ448" s="90"/>
      <c r="CA448" s="90"/>
      <c r="CB448" s="90"/>
      <c r="CC448" s="90"/>
      <c r="CD448" s="90"/>
      <c r="CE448" s="90"/>
      <c r="CF448" s="90"/>
      <c r="CG448" s="90"/>
      <c r="CH448" s="90"/>
      <c r="CI448" s="90"/>
      <c r="CJ448" s="90"/>
      <c r="CK448" s="90"/>
      <c r="CL448" s="90"/>
      <c r="CM448" s="90"/>
      <c r="CN448" s="90"/>
      <c r="CO448" s="90"/>
      <c r="CP448" s="90"/>
      <c r="CQ448" s="90"/>
      <c r="CR448" s="90"/>
      <c r="CS448" s="90"/>
      <c r="CT448" s="90"/>
      <c r="CU448" s="90"/>
      <c r="CV448" s="90"/>
      <c r="CW448" s="90"/>
    </row>
    <row r="449" ht="16.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  <c r="BO449" s="90"/>
      <c r="BP449" s="90"/>
      <c r="BQ449" s="90"/>
      <c r="BR449" s="90"/>
      <c r="BS449" s="90"/>
      <c r="BT449" s="90"/>
      <c r="BU449" s="90"/>
      <c r="BV449" s="90"/>
      <c r="BW449" s="90"/>
      <c r="BX449" s="90"/>
      <c r="BY449" s="90"/>
      <c r="BZ449" s="90"/>
      <c r="CA449" s="90"/>
      <c r="CB449" s="90"/>
      <c r="CC449" s="90"/>
      <c r="CD449" s="90"/>
      <c r="CE449" s="90"/>
      <c r="CF449" s="90"/>
      <c r="CG449" s="90"/>
      <c r="CH449" s="90"/>
      <c r="CI449" s="90"/>
      <c r="CJ449" s="90"/>
      <c r="CK449" s="90"/>
      <c r="CL449" s="90"/>
      <c r="CM449" s="90"/>
      <c r="CN449" s="90"/>
      <c r="CO449" s="90"/>
      <c r="CP449" s="90"/>
      <c r="CQ449" s="90"/>
      <c r="CR449" s="90"/>
      <c r="CS449" s="90"/>
      <c r="CT449" s="90"/>
      <c r="CU449" s="90"/>
      <c r="CV449" s="90"/>
      <c r="CW449" s="90"/>
    </row>
    <row r="450" ht="16.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0"/>
      <c r="BQ450" s="90"/>
      <c r="BR450" s="90"/>
      <c r="BS450" s="90"/>
      <c r="BT450" s="90"/>
      <c r="BU450" s="90"/>
      <c r="BV450" s="90"/>
      <c r="BW450" s="90"/>
      <c r="BX450" s="90"/>
      <c r="BY450" s="90"/>
      <c r="BZ450" s="90"/>
      <c r="CA450" s="90"/>
      <c r="CB450" s="90"/>
      <c r="CC450" s="90"/>
      <c r="CD450" s="90"/>
      <c r="CE450" s="90"/>
      <c r="CF450" s="90"/>
      <c r="CG450" s="90"/>
      <c r="CH450" s="90"/>
      <c r="CI450" s="90"/>
      <c r="CJ450" s="90"/>
      <c r="CK450" s="90"/>
      <c r="CL450" s="90"/>
      <c r="CM450" s="90"/>
      <c r="CN450" s="90"/>
      <c r="CO450" s="90"/>
      <c r="CP450" s="90"/>
      <c r="CQ450" s="90"/>
      <c r="CR450" s="90"/>
      <c r="CS450" s="90"/>
      <c r="CT450" s="90"/>
      <c r="CU450" s="90"/>
      <c r="CV450" s="90"/>
      <c r="CW450" s="90"/>
    </row>
    <row r="451" ht="16.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  <c r="BO451" s="90"/>
      <c r="BP451" s="90"/>
      <c r="BQ451" s="90"/>
      <c r="BR451" s="90"/>
      <c r="BS451" s="90"/>
      <c r="BT451" s="90"/>
      <c r="BU451" s="90"/>
      <c r="BV451" s="90"/>
      <c r="BW451" s="90"/>
      <c r="BX451" s="90"/>
      <c r="BY451" s="90"/>
      <c r="BZ451" s="90"/>
      <c r="CA451" s="90"/>
      <c r="CB451" s="90"/>
      <c r="CC451" s="90"/>
      <c r="CD451" s="90"/>
      <c r="CE451" s="90"/>
      <c r="CF451" s="90"/>
      <c r="CG451" s="90"/>
      <c r="CH451" s="90"/>
      <c r="CI451" s="90"/>
      <c r="CJ451" s="90"/>
      <c r="CK451" s="90"/>
      <c r="CL451" s="90"/>
      <c r="CM451" s="90"/>
      <c r="CN451" s="90"/>
      <c r="CO451" s="90"/>
      <c r="CP451" s="90"/>
      <c r="CQ451" s="90"/>
      <c r="CR451" s="90"/>
      <c r="CS451" s="90"/>
      <c r="CT451" s="90"/>
      <c r="CU451" s="90"/>
      <c r="CV451" s="90"/>
      <c r="CW451" s="90"/>
    </row>
    <row r="452" ht="16.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0"/>
      <c r="BQ452" s="90"/>
      <c r="BR452" s="90"/>
      <c r="BS452" s="90"/>
      <c r="BT452" s="90"/>
      <c r="BU452" s="90"/>
      <c r="BV452" s="90"/>
      <c r="BW452" s="90"/>
      <c r="BX452" s="90"/>
      <c r="BY452" s="90"/>
      <c r="BZ452" s="90"/>
      <c r="CA452" s="90"/>
      <c r="CB452" s="90"/>
      <c r="CC452" s="90"/>
      <c r="CD452" s="90"/>
      <c r="CE452" s="90"/>
      <c r="CF452" s="90"/>
      <c r="CG452" s="90"/>
      <c r="CH452" s="90"/>
      <c r="CI452" s="90"/>
      <c r="CJ452" s="90"/>
      <c r="CK452" s="90"/>
      <c r="CL452" s="90"/>
      <c r="CM452" s="90"/>
      <c r="CN452" s="90"/>
      <c r="CO452" s="90"/>
      <c r="CP452" s="90"/>
      <c r="CQ452" s="90"/>
      <c r="CR452" s="90"/>
      <c r="CS452" s="90"/>
      <c r="CT452" s="90"/>
      <c r="CU452" s="90"/>
      <c r="CV452" s="90"/>
      <c r="CW452" s="90"/>
    </row>
    <row r="453" ht="16.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90"/>
      <c r="BQ453" s="90"/>
      <c r="BR453" s="90"/>
      <c r="BS453" s="90"/>
      <c r="BT453" s="90"/>
      <c r="BU453" s="90"/>
      <c r="BV453" s="90"/>
      <c r="BW453" s="90"/>
      <c r="BX453" s="90"/>
      <c r="BY453" s="90"/>
      <c r="BZ453" s="90"/>
      <c r="CA453" s="90"/>
      <c r="CB453" s="90"/>
      <c r="CC453" s="90"/>
      <c r="CD453" s="90"/>
      <c r="CE453" s="90"/>
      <c r="CF453" s="90"/>
      <c r="CG453" s="90"/>
      <c r="CH453" s="90"/>
      <c r="CI453" s="90"/>
      <c r="CJ453" s="90"/>
      <c r="CK453" s="90"/>
      <c r="CL453" s="90"/>
      <c r="CM453" s="90"/>
      <c r="CN453" s="90"/>
      <c r="CO453" s="90"/>
      <c r="CP453" s="90"/>
      <c r="CQ453" s="90"/>
      <c r="CR453" s="90"/>
      <c r="CS453" s="90"/>
      <c r="CT453" s="90"/>
      <c r="CU453" s="90"/>
      <c r="CV453" s="90"/>
      <c r="CW453" s="90"/>
    </row>
    <row r="454" ht="16.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0"/>
      <c r="BQ454" s="90"/>
      <c r="BR454" s="90"/>
      <c r="BS454" s="90"/>
      <c r="BT454" s="90"/>
      <c r="BU454" s="90"/>
      <c r="BV454" s="90"/>
      <c r="BW454" s="90"/>
      <c r="BX454" s="90"/>
      <c r="BY454" s="90"/>
      <c r="BZ454" s="90"/>
      <c r="CA454" s="90"/>
      <c r="CB454" s="90"/>
      <c r="CC454" s="90"/>
      <c r="CD454" s="90"/>
      <c r="CE454" s="90"/>
      <c r="CF454" s="90"/>
      <c r="CG454" s="90"/>
      <c r="CH454" s="90"/>
      <c r="CI454" s="90"/>
      <c r="CJ454" s="90"/>
      <c r="CK454" s="90"/>
      <c r="CL454" s="90"/>
      <c r="CM454" s="90"/>
      <c r="CN454" s="90"/>
      <c r="CO454" s="90"/>
      <c r="CP454" s="90"/>
      <c r="CQ454" s="90"/>
      <c r="CR454" s="90"/>
      <c r="CS454" s="90"/>
      <c r="CT454" s="90"/>
      <c r="CU454" s="90"/>
      <c r="CV454" s="90"/>
      <c r="CW454" s="90"/>
    </row>
    <row r="455" ht="16.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  <c r="BO455" s="90"/>
      <c r="BP455" s="90"/>
      <c r="BQ455" s="90"/>
      <c r="BR455" s="90"/>
      <c r="BS455" s="90"/>
      <c r="BT455" s="90"/>
      <c r="BU455" s="90"/>
      <c r="BV455" s="90"/>
      <c r="BW455" s="90"/>
      <c r="BX455" s="90"/>
      <c r="BY455" s="90"/>
      <c r="BZ455" s="90"/>
      <c r="CA455" s="90"/>
      <c r="CB455" s="90"/>
      <c r="CC455" s="90"/>
      <c r="CD455" s="90"/>
      <c r="CE455" s="90"/>
      <c r="CF455" s="90"/>
      <c r="CG455" s="90"/>
      <c r="CH455" s="90"/>
      <c r="CI455" s="90"/>
      <c r="CJ455" s="90"/>
      <c r="CK455" s="90"/>
      <c r="CL455" s="90"/>
      <c r="CM455" s="90"/>
      <c r="CN455" s="90"/>
      <c r="CO455" s="90"/>
      <c r="CP455" s="90"/>
      <c r="CQ455" s="90"/>
      <c r="CR455" s="90"/>
      <c r="CS455" s="90"/>
      <c r="CT455" s="90"/>
      <c r="CU455" s="90"/>
      <c r="CV455" s="90"/>
      <c r="CW455" s="90"/>
    </row>
    <row r="456" ht="16.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0"/>
      <c r="BQ456" s="90"/>
      <c r="BR456" s="90"/>
      <c r="BS456" s="90"/>
      <c r="BT456" s="90"/>
      <c r="BU456" s="90"/>
      <c r="BV456" s="90"/>
      <c r="BW456" s="90"/>
      <c r="BX456" s="90"/>
      <c r="BY456" s="90"/>
      <c r="BZ456" s="90"/>
      <c r="CA456" s="90"/>
      <c r="CB456" s="90"/>
      <c r="CC456" s="90"/>
      <c r="CD456" s="90"/>
      <c r="CE456" s="90"/>
      <c r="CF456" s="90"/>
      <c r="CG456" s="90"/>
      <c r="CH456" s="90"/>
      <c r="CI456" s="90"/>
      <c r="CJ456" s="90"/>
      <c r="CK456" s="90"/>
      <c r="CL456" s="90"/>
      <c r="CM456" s="90"/>
      <c r="CN456" s="90"/>
      <c r="CO456" s="90"/>
      <c r="CP456" s="90"/>
      <c r="CQ456" s="90"/>
      <c r="CR456" s="90"/>
      <c r="CS456" s="90"/>
      <c r="CT456" s="90"/>
      <c r="CU456" s="90"/>
      <c r="CV456" s="90"/>
      <c r="CW456" s="90"/>
    </row>
    <row r="457" ht="16.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  <c r="BO457" s="90"/>
      <c r="BP457" s="90"/>
      <c r="BQ457" s="90"/>
      <c r="BR457" s="90"/>
      <c r="BS457" s="90"/>
      <c r="BT457" s="90"/>
      <c r="BU457" s="90"/>
      <c r="BV457" s="90"/>
      <c r="BW457" s="90"/>
      <c r="BX457" s="90"/>
      <c r="BY457" s="90"/>
      <c r="BZ457" s="90"/>
      <c r="CA457" s="90"/>
      <c r="CB457" s="90"/>
      <c r="CC457" s="90"/>
      <c r="CD457" s="90"/>
      <c r="CE457" s="90"/>
      <c r="CF457" s="90"/>
      <c r="CG457" s="90"/>
      <c r="CH457" s="90"/>
      <c r="CI457" s="90"/>
      <c r="CJ457" s="90"/>
      <c r="CK457" s="90"/>
      <c r="CL457" s="90"/>
      <c r="CM457" s="90"/>
      <c r="CN457" s="90"/>
      <c r="CO457" s="90"/>
      <c r="CP457" s="90"/>
      <c r="CQ457" s="90"/>
      <c r="CR457" s="90"/>
      <c r="CS457" s="90"/>
      <c r="CT457" s="90"/>
      <c r="CU457" s="90"/>
      <c r="CV457" s="90"/>
      <c r="CW457" s="90"/>
    </row>
    <row r="458" ht="16.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0"/>
      <c r="BQ458" s="90"/>
      <c r="BR458" s="90"/>
      <c r="BS458" s="90"/>
      <c r="BT458" s="90"/>
      <c r="BU458" s="90"/>
      <c r="BV458" s="90"/>
      <c r="BW458" s="90"/>
      <c r="BX458" s="90"/>
      <c r="BY458" s="90"/>
      <c r="BZ458" s="90"/>
      <c r="CA458" s="90"/>
      <c r="CB458" s="90"/>
      <c r="CC458" s="90"/>
      <c r="CD458" s="90"/>
      <c r="CE458" s="90"/>
      <c r="CF458" s="90"/>
      <c r="CG458" s="90"/>
      <c r="CH458" s="90"/>
      <c r="CI458" s="90"/>
      <c r="CJ458" s="90"/>
      <c r="CK458" s="90"/>
      <c r="CL458" s="90"/>
      <c r="CM458" s="90"/>
      <c r="CN458" s="90"/>
      <c r="CO458" s="90"/>
      <c r="CP458" s="90"/>
      <c r="CQ458" s="90"/>
      <c r="CR458" s="90"/>
      <c r="CS458" s="90"/>
      <c r="CT458" s="90"/>
      <c r="CU458" s="90"/>
      <c r="CV458" s="90"/>
      <c r="CW458" s="90"/>
    </row>
    <row r="459" ht="16.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  <c r="BO459" s="90"/>
      <c r="BP459" s="90"/>
      <c r="BQ459" s="90"/>
      <c r="BR459" s="90"/>
      <c r="BS459" s="90"/>
      <c r="BT459" s="90"/>
      <c r="BU459" s="90"/>
      <c r="BV459" s="90"/>
      <c r="BW459" s="90"/>
      <c r="BX459" s="90"/>
      <c r="BY459" s="90"/>
      <c r="BZ459" s="90"/>
      <c r="CA459" s="90"/>
      <c r="CB459" s="90"/>
      <c r="CC459" s="90"/>
      <c r="CD459" s="90"/>
      <c r="CE459" s="90"/>
      <c r="CF459" s="90"/>
      <c r="CG459" s="90"/>
      <c r="CH459" s="90"/>
      <c r="CI459" s="90"/>
      <c r="CJ459" s="90"/>
      <c r="CK459" s="90"/>
      <c r="CL459" s="90"/>
      <c r="CM459" s="90"/>
      <c r="CN459" s="90"/>
      <c r="CO459" s="90"/>
      <c r="CP459" s="90"/>
      <c r="CQ459" s="90"/>
      <c r="CR459" s="90"/>
      <c r="CS459" s="90"/>
      <c r="CT459" s="90"/>
      <c r="CU459" s="90"/>
      <c r="CV459" s="90"/>
      <c r="CW459" s="90"/>
    </row>
    <row r="460" ht="16.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0"/>
      <c r="BQ460" s="90"/>
      <c r="BR460" s="90"/>
      <c r="BS460" s="90"/>
      <c r="BT460" s="90"/>
      <c r="BU460" s="90"/>
      <c r="BV460" s="90"/>
      <c r="BW460" s="90"/>
      <c r="BX460" s="90"/>
      <c r="BY460" s="90"/>
      <c r="BZ460" s="90"/>
      <c r="CA460" s="90"/>
      <c r="CB460" s="90"/>
      <c r="CC460" s="90"/>
      <c r="CD460" s="90"/>
      <c r="CE460" s="90"/>
      <c r="CF460" s="90"/>
      <c r="CG460" s="90"/>
      <c r="CH460" s="90"/>
      <c r="CI460" s="90"/>
      <c r="CJ460" s="90"/>
      <c r="CK460" s="90"/>
      <c r="CL460" s="90"/>
      <c r="CM460" s="90"/>
      <c r="CN460" s="90"/>
      <c r="CO460" s="90"/>
      <c r="CP460" s="90"/>
      <c r="CQ460" s="90"/>
      <c r="CR460" s="90"/>
      <c r="CS460" s="90"/>
      <c r="CT460" s="90"/>
      <c r="CU460" s="90"/>
      <c r="CV460" s="90"/>
      <c r="CW460" s="90"/>
    </row>
    <row r="461" ht="16.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  <c r="BO461" s="90"/>
      <c r="BP461" s="90"/>
      <c r="BQ461" s="90"/>
      <c r="BR461" s="90"/>
      <c r="BS461" s="90"/>
      <c r="BT461" s="90"/>
      <c r="BU461" s="90"/>
      <c r="BV461" s="90"/>
      <c r="BW461" s="90"/>
      <c r="BX461" s="90"/>
      <c r="BY461" s="90"/>
      <c r="BZ461" s="90"/>
      <c r="CA461" s="90"/>
      <c r="CB461" s="90"/>
      <c r="CC461" s="90"/>
      <c r="CD461" s="90"/>
      <c r="CE461" s="90"/>
      <c r="CF461" s="90"/>
      <c r="CG461" s="90"/>
      <c r="CH461" s="90"/>
      <c r="CI461" s="90"/>
      <c r="CJ461" s="90"/>
      <c r="CK461" s="90"/>
      <c r="CL461" s="90"/>
      <c r="CM461" s="90"/>
      <c r="CN461" s="90"/>
      <c r="CO461" s="90"/>
      <c r="CP461" s="90"/>
      <c r="CQ461" s="90"/>
      <c r="CR461" s="90"/>
      <c r="CS461" s="90"/>
      <c r="CT461" s="90"/>
      <c r="CU461" s="90"/>
      <c r="CV461" s="90"/>
      <c r="CW461" s="90"/>
    </row>
    <row r="462" ht="16.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0"/>
      <c r="BQ462" s="90"/>
      <c r="BR462" s="90"/>
      <c r="BS462" s="90"/>
      <c r="BT462" s="90"/>
      <c r="BU462" s="90"/>
      <c r="BV462" s="90"/>
      <c r="BW462" s="90"/>
      <c r="BX462" s="90"/>
      <c r="BY462" s="90"/>
      <c r="BZ462" s="90"/>
      <c r="CA462" s="90"/>
      <c r="CB462" s="90"/>
      <c r="CC462" s="90"/>
      <c r="CD462" s="90"/>
      <c r="CE462" s="90"/>
      <c r="CF462" s="90"/>
      <c r="CG462" s="90"/>
      <c r="CH462" s="90"/>
      <c r="CI462" s="90"/>
      <c r="CJ462" s="90"/>
      <c r="CK462" s="90"/>
      <c r="CL462" s="90"/>
      <c r="CM462" s="90"/>
      <c r="CN462" s="90"/>
      <c r="CO462" s="90"/>
      <c r="CP462" s="90"/>
      <c r="CQ462" s="90"/>
      <c r="CR462" s="90"/>
      <c r="CS462" s="90"/>
      <c r="CT462" s="90"/>
      <c r="CU462" s="90"/>
      <c r="CV462" s="90"/>
      <c r="CW462" s="90"/>
    </row>
    <row r="463" ht="16.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  <c r="CE463" s="90"/>
      <c r="CF463" s="90"/>
      <c r="CG463" s="90"/>
      <c r="CH463" s="90"/>
      <c r="CI463" s="90"/>
      <c r="CJ463" s="90"/>
      <c r="CK463" s="90"/>
      <c r="CL463" s="90"/>
      <c r="CM463" s="90"/>
      <c r="CN463" s="90"/>
      <c r="CO463" s="90"/>
      <c r="CP463" s="90"/>
      <c r="CQ463" s="90"/>
      <c r="CR463" s="90"/>
      <c r="CS463" s="90"/>
      <c r="CT463" s="90"/>
      <c r="CU463" s="90"/>
      <c r="CV463" s="90"/>
      <c r="CW463" s="90"/>
    </row>
    <row r="464" ht="16.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0"/>
      <c r="BQ464" s="90"/>
      <c r="BR464" s="90"/>
      <c r="BS464" s="90"/>
      <c r="BT464" s="90"/>
      <c r="BU464" s="90"/>
      <c r="BV464" s="90"/>
      <c r="BW464" s="90"/>
      <c r="BX464" s="90"/>
      <c r="BY464" s="90"/>
      <c r="BZ464" s="90"/>
      <c r="CA464" s="90"/>
      <c r="CB464" s="90"/>
      <c r="CC464" s="90"/>
      <c r="CD464" s="90"/>
      <c r="CE464" s="90"/>
      <c r="CF464" s="90"/>
      <c r="CG464" s="90"/>
      <c r="CH464" s="90"/>
      <c r="CI464" s="90"/>
      <c r="CJ464" s="90"/>
      <c r="CK464" s="90"/>
      <c r="CL464" s="90"/>
      <c r="CM464" s="90"/>
      <c r="CN464" s="90"/>
      <c r="CO464" s="90"/>
      <c r="CP464" s="90"/>
      <c r="CQ464" s="90"/>
      <c r="CR464" s="90"/>
      <c r="CS464" s="90"/>
      <c r="CT464" s="90"/>
      <c r="CU464" s="90"/>
      <c r="CV464" s="90"/>
      <c r="CW464" s="90"/>
    </row>
    <row r="465" ht="16.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  <c r="BO465" s="90"/>
      <c r="BP465" s="90"/>
      <c r="BQ465" s="90"/>
      <c r="BR465" s="90"/>
      <c r="BS465" s="90"/>
      <c r="BT465" s="90"/>
      <c r="BU465" s="90"/>
      <c r="BV465" s="90"/>
      <c r="BW465" s="90"/>
      <c r="BX465" s="90"/>
      <c r="BY465" s="90"/>
      <c r="BZ465" s="90"/>
      <c r="CA465" s="90"/>
      <c r="CB465" s="90"/>
      <c r="CC465" s="90"/>
      <c r="CD465" s="90"/>
      <c r="CE465" s="90"/>
      <c r="CF465" s="90"/>
      <c r="CG465" s="90"/>
      <c r="CH465" s="90"/>
      <c r="CI465" s="90"/>
      <c r="CJ465" s="90"/>
      <c r="CK465" s="90"/>
      <c r="CL465" s="90"/>
      <c r="CM465" s="90"/>
      <c r="CN465" s="90"/>
      <c r="CO465" s="90"/>
      <c r="CP465" s="90"/>
      <c r="CQ465" s="90"/>
      <c r="CR465" s="90"/>
      <c r="CS465" s="90"/>
      <c r="CT465" s="90"/>
      <c r="CU465" s="90"/>
      <c r="CV465" s="90"/>
      <c r="CW465" s="90"/>
    </row>
    <row r="466" ht="16.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0"/>
      <c r="BQ466" s="90"/>
      <c r="BR466" s="90"/>
      <c r="BS466" s="90"/>
      <c r="BT466" s="90"/>
      <c r="BU466" s="90"/>
      <c r="BV466" s="90"/>
      <c r="BW466" s="90"/>
      <c r="BX466" s="90"/>
      <c r="BY466" s="90"/>
      <c r="BZ466" s="90"/>
      <c r="CA466" s="90"/>
      <c r="CB466" s="90"/>
      <c r="CC466" s="90"/>
      <c r="CD466" s="90"/>
      <c r="CE466" s="90"/>
      <c r="CF466" s="90"/>
      <c r="CG466" s="90"/>
      <c r="CH466" s="90"/>
      <c r="CI466" s="90"/>
      <c r="CJ466" s="90"/>
      <c r="CK466" s="90"/>
      <c r="CL466" s="90"/>
      <c r="CM466" s="90"/>
      <c r="CN466" s="90"/>
      <c r="CO466" s="90"/>
      <c r="CP466" s="90"/>
      <c r="CQ466" s="90"/>
      <c r="CR466" s="90"/>
      <c r="CS466" s="90"/>
      <c r="CT466" s="90"/>
      <c r="CU466" s="90"/>
      <c r="CV466" s="90"/>
      <c r="CW466" s="90"/>
    </row>
    <row r="467" ht="16.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  <c r="BO467" s="90"/>
      <c r="BP467" s="90"/>
      <c r="BQ467" s="90"/>
      <c r="BR467" s="90"/>
      <c r="BS467" s="90"/>
      <c r="BT467" s="90"/>
      <c r="BU467" s="90"/>
      <c r="BV467" s="90"/>
      <c r="BW467" s="90"/>
      <c r="BX467" s="90"/>
      <c r="BY467" s="90"/>
      <c r="BZ467" s="90"/>
      <c r="CA467" s="90"/>
      <c r="CB467" s="90"/>
      <c r="CC467" s="90"/>
      <c r="CD467" s="90"/>
      <c r="CE467" s="90"/>
      <c r="CF467" s="90"/>
      <c r="CG467" s="90"/>
      <c r="CH467" s="90"/>
      <c r="CI467" s="90"/>
      <c r="CJ467" s="90"/>
      <c r="CK467" s="90"/>
      <c r="CL467" s="90"/>
      <c r="CM467" s="90"/>
      <c r="CN467" s="90"/>
      <c r="CO467" s="90"/>
      <c r="CP467" s="90"/>
      <c r="CQ467" s="90"/>
      <c r="CR467" s="90"/>
      <c r="CS467" s="90"/>
      <c r="CT467" s="90"/>
      <c r="CU467" s="90"/>
      <c r="CV467" s="90"/>
      <c r="CW467" s="90"/>
    </row>
    <row r="468" ht="16.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  <c r="CC468" s="90"/>
      <c r="CD468" s="90"/>
      <c r="CE468" s="90"/>
      <c r="CF468" s="90"/>
      <c r="CG468" s="90"/>
      <c r="CH468" s="90"/>
      <c r="CI468" s="90"/>
      <c r="CJ468" s="90"/>
      <c r="CK468" s="90"/>
      <c r="CL468" s="90"/>
      <c r="CM468" s="90"/>
      <c r="CN468" s="90"/>
      <c r="CO468" s="90"/>
      <c r="CP468" s="90"/>
      <c r="CQ468" s="90"/>
      <c r="CR468" s="90"/>
      <c r="CS468" s="90"/>
      <c r="CT468" s="90"/>
      <c r="CU468" s="90"/>
      <c r="CV468" s="90"/>
      <c r="CW468" s="90"/>
    </row>
    <row r="469" ht="16.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  <c r="BO469" s="90"/>
      <c r="BP469" s="90"/>
      <c r="BQ469" s="90"/>
      <c r="BR469" s="90"/>
      <c r="BS469" s="90"/>
      <c r="BT469" s="90"/>
      <c r="BU469" s="90"/>
      <c r="BV469" s="90"/>
      <c r="BW469" s="90"/>
      <c r="BX469" s="90"/>
      <c r="BY469" s="90"/>
      <c r="BZ469" s="90"/>
      <c r="CA469" s="90"/>
      <c r="CB469" s="90"/>
      <c r="CC469" s="90"/>
      <c r="CD469" s="90"/>
      <c r="CE469" s="90"/>
      <c r="CF469" s="90"/>
      <c r="CG469" s="90"/>
      <c r="CH469" s="90"/>
      <c r="CI469" s="90"/>
      <c r="CJ469" s="90"/>
      <c r="CK469" s="90"/>
      <c r="CL469" s="90"/>
      <c r="CM469" s="90"/>
      <c r="CN469" s="90"/>
      <c r="CO469" s="90"/>
      <c r="CP469" s="90"/>
      <c r="CQ469" s="90"/>
      <c r="CR469" s="90"/>
      <c r="CS469" s="90"/>
      <c r="CT469" s="90"/>
      <c r="CU469" s="90"/>
      <c r="CV469" s="90"/>
      <c r="CW469" s="90"/>
    </row>
    <row r="470" ht="16.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0"/>
      <c r="BQ470" s="90"/>
      <c r="BR470" s="90"/>
      <c r="BS470" s="90"/>
      <c r="BT470" s="90"/>
      <c r="BU470" s="90"/>
      <c r="BV470" s="90"/>
      <c r="BW470" s="90"/>
      <c r="BX470" s="90"/>
      <c r="BY470" s="90"/>
      <c r="BZ470" s="90"/>
      <c r="CA470" s="90"/>
      <c r="CB470" s="90"/>
      <c r="CC470" s="90"/>
      <c r="CD470" s="90"/>
      <c r="CE470" s="90"/>
      <c r="CF470" s="90"/>
      <c r="CG470" s="90"/>
      <c r="CH470" s="90"/>
      <c r="CI470" s="90"/>
      <c r="CJ470" s="90"/>
      <c r="CK470" s="90"/>
      <c r="CL470" s="90"/>
      <c r="CM470" s="90"/>
      <c r="CN470" s="90"/>
      <c r="CO470" s="90"/>
      <c r="CP470" s="90"/>
      <c r="CQ470" s="90"/>
      <c r="CR470" s="90"/>
      <c r="CS470" s="90"/>
      <c r="CT470" s="90"/>
      <c r="CU470" s="90"/>
      <c r="CV470" s="90"/>
      <c r="CW470" s="90"/>
    </row>
    <row r="471" ht="16.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  <c r="BR471" s="90"/>
      <c r="BS471" s="90"/>
      <c r="BT471" s="90"/>
      <c r="BU471" s="90"/>
      <c r="BV471" s="90"/>
      <c r="BW471" s="90"/>
      <c r="BX471" s="90"/>
      <c r="BY471" s="90"/>
      <c r="BZ471" s="90"/>
      <c r="CA471" s="90"/>
      <c r="CB471" s="90"/>
      <c r="CC471" s="90"/>
      <c r="CD471" s="90"/>
      <c r="CE471" s="90"/>
      <c r="CF471" s="90"/>
      <c r="CG471" s="90"/>
      <c r="CH471" s="90"/>
      <c r="CI471" s="90"/>
      <c r="CJ471" s="90"/>
      <c r="CK471" s="90"/>
      <c r="CL471" s="90"/>
      <c r="CM471" s="90"/>
      <c r="CN471" s="90"/>
      <c r="CO471" s="90"/>
      <c r="CP471" s="90"/>
      <c r="CQ471" s="90"/>
      <c r="CR471" s="90"/>
      <c r="CS471" s="90"/>
      <c r="CT471" s="90"/>
      <c r="CU471" s="90"/>
      <c r="CV471" s="90"/>
      <c r="CW471" s="90"/>
    </row>
    <row r="472" ht="16.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  <c r="BR472" s="90"/>
      <c r="BS472" s="90"/>
      <c r="BT472" s="90"/>
      <c r="BU472" s="90"/>
      <c r="BV472" s="90"/>
      <c r="BW472" s="90"/>
      <c r="BX472" s="90"/>
      <c r="BY472" s="90"/>
      <c r="BZ472" s="90"/>
      <c r="CA472" s="90"/>
      <c r="CB472" s="90"/>
      <c r="CC472" s="90"/>
      <c r="CD472" s="90"/>
      <c r="CE472" s="90"/>
      <c r="CF472" s="90"/>
      <c r="CG472" s="90"/>
      <c r="CH472" s="90"/>
      <c r="CI472" s="90"/>
      <c r="CJ472" s="90"/>
      <c r="CK472" s="90"/>
      <c r="CL472" s="90"/>
      <c r="CM472" s="90"/>
      <c r="CN472" s="90"/>
      <c r="CO472" s="90"/>
      <c r="CP472" s="90"/>
      <c r="CQ472" s="90"/>
      <c r="CR472" s="90"/>
      <c r="CS472" s="90"/>
      <c r="CT472" s="90"/>
      <c r="CU472" s="90"/>
      <c r="CV472" s="90"/>
      <c r="CW472" s="90"/>
    </row>
    <row r="473" ht="16.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  <c r="BR473" s="90"/>
      <c r="BS473" s="90"/>
      <c r="BT473" s="90"/>
      <c r="BU473" s="90"/>
      <c r="BV473" s="90"/>
      <c r="BW473" s="90"/>
      <c r="BX473" s="90"/>
      <c r="BY473" s="90"/>
      <c r="BZ473" s="90"/>
      <c r="CA473" s="90"/>
      <c r="CB473" s="90"/>
      <c r="CC473" s="90"/>
      <c r="CD473" s="90"/>
      <c r="CE473" s="90"/>
      <c r="CF473" s="90"/>
      <c r="CG473" s="90"/>
      <c r="CH473" s="90"/>
      <c r="CI473" s="90"/>
      <c r="CJ473" s="90"/>
      <c r="CK473" s="90"/>
      <c r="CL473" s="90"/>
      <c r="CM473" s="90"/>
      <c r="CN473" s="90"/>
      <c r="CO473" s="90"/>
      <c r="CP473" s="90"/>
      <c r="CQ473" s="90"/>
      <c r="CR473" s="90"/>
      <c r="CS473" s="90"/>
      <c r="CT473" s="90"/>
      <c r="CU473" s="90"/>
      <c r="CV473" s="90"/>
      <c r="CW473" s="90"/>
    </row>
    <row r="474" ht="16.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0"/>
      <c r="BQ474" s="90"/>
      <c r="BR474" s="90"/>
      <c r="BS474" s="90"/>
      <c r="BT474" s="90"/>
      <c r="BU474" s="90"/>
      <c r="BV474" s="90"/>
      <c r="BW474" s="90"/>
      <c r="BX474" s="90"/>
      <c r="BY474" s="90"/>
      <c r="BZ474" s="90"/>
      <c r="CA474" s="90"/>
      <c r="CB474" s="90"/>
      <c r="CC474" s="90"/>
      <c r="CD474" s="90"/>
      <c r="CE474" s="90"/>
      <c r="CF474" s="90"/>
      <c r="CG474" s="90"/>
      <c r="CH474" s="90"/>
      <c r="CI474" s="90"/>
      <c r="CJ474" s="90"/>
      <c r="CK474" s="90"/>
      <c r="CL474" s="90"/>
      <c r="CM474" s="90"/>
      <c r="CN474" s="90"/>
      <c r="CO474" s="90"/>
      <c r="CP474" s="90"/>
      <c r="CQ474" s="90"/>
      <c r="CR474" s="90"/>
      <c r="CS474" s="90"/>
      <c r="CT474" s="90"/>
      <c r="CU474" s="90"/>
      <c r="CV474" s="90"/>
      <c r="CW474" s="90"/>
    </row>
    <row r="475" ht="16.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  <c r="BO475" s="90"/>
      <c r="BP475" s="90"/>
      <c r="BQ475" s="90"/>
      <c r="BR475" s="90"/>
      <c r="BS475" s="90"/>
      <c r="BT475" s="90"/>
      <c r="BU475" s="90"/>
      <c r="BV475" s="90"/>
      <c r="BW475" s="90"/>
      <c r="BX475" s="90"/>
      <c r="BY475" s="90"/>
      <c r="BZ475" s="90"/>
      <c r="CA475" s="90"/>
      <c r="CB475" s="90"/>
      <c r="CC475" s="90"/>
      <c r="CD475" s="90"/>
      <c r="CE475" s="90"/>
      <c r="CF475" s="90"/>
      <c r="CG475" s="90"/>
      <c r="CH475" s="90"/>
      <c r="CI475" s="90"/>
      <c r="CJ475" s="90"/>
      <c r="CK475" s="90"/>
      <c r="CL475" s="90"/>
      <c r="CM475" s="90"/>
      <c r="CN475" s="90"/>
      <c r="CO475" s="90"/>
      <c r="CP475" s="90"/>
      <c r="CQ475" s="90"/>
      <c r="CR475" s="90"/>
      <c r="CS475" s="90"/>
      <c r="CT475" s="90"/>
      <c r="CU475" s="90"/>
      <c r="CV475" s="90"/>
      <c r="CW475" s="90"/>
    </row>
    <row r="476" ht="16.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0"/>
      <c r="BQ476" s="90"/>
      <c r="BR476" s="90"/>
      <c r="BS476" s="90"/>
      <c r="BT476" s="90"/>
      <c r="BU476" s="90"/>
      <c r="BV476" s="90"/>
      <c r="BW476" s="90"/>
      <c r="BX476" s="90"/>
      <c r="BY476" s="90"/>
      <c r="BZ476" s="90"/>
      <c r="CA476" s="90"/>
      <c r="CB476" s="90"/>
      <c r="CC476" s="90"/>
      <c r="CD476" s="90"/>
      <c r="CE476" s="90"/>
      <c r="CF476" s="90"/>
      <c r="CG476" s="90"/>
      <c r="CH476" s="90"/>
      <c r="CI476" s="90"/>
      <c r="CJ476" s="90"/>
      <c r="CK476" s="90"/>
      <c r="CL476" s="90"/>
      <c r="CM476" s="90"/>
      <c r="CN476" s="90"/>
      <c r="CO476" s="90"/>
      <c r="CP476" s="90"/>
      <c r="CQ476" s="90"/>
      <c r="CR476" s="90"/>
      <c r="CS476" s="90"/>
      <c r="CT476" s="90"/>
      <c r="CU476" s="90"/>
      <c r="CV476" s="90"/>
      <c r="CW476" s="90"/>
    </row>
    <row r="477" ht="16.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  <c r="BO477" s="90"/>
      <c r="BP477" s="90"/>
      <c r="BQ477" s="90"/>
      <c r="BR477" s="90"/>
      <c r="BS477" s="90"/>
      <c r="BT477" s="90"/>
      <c r="BU477" s="90"/>
      <c r="BV477" s="90"/>
      <c r="BW477" s="90"/>
      <c r="BX477" s="90"/>
      <c r="BY477" s="90"/>
      <c r="BZ477" s="90"/>
      <c r="CA477" s="90"/>
      <c r="CB477" s="90"/>
      <c r="CC477" s="90"/>
      <c r="CD477" s="90"/>
      <c r="CE477" s="90"/>
      <c r="CF477" s="90"/>
      <c r="CG477" s="90"/>
      <c r="CH477" s="90"/>
      <c r="CI477" s="90"/>
      <c r="CJ477" s="90"/>
      <c r="CK477" s="90"/>
      <c r="CL477" s="90"/>
      <c r="CM477" s="90"/>
      <c r="CN477" s="90"/>
      <c r="CO477" s="90"/>
      <c r="CP477" s="90"/>
      <c r="CQ477" s="90"/>
      <c r="CR477" s="90"/>
      <c r="CS477" s="90"/>
      <c r="CT477" s="90"/>
      <c r="CU477" s="90"/>
      <c r="CV477" s="90"/>
      <c r="CW477" s="90"/>
    </row>
    <row r="478" ht="16.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0"/>
      <c r="BQ478" s="90"/>
      <c r="BR478" s="90"/>
      <c r="BS478" s="90"/>
      <c r="BT478" s="90"/>
      <c r="BU478" s="90"/>
      <c r="BV478" s="90"/>
      <c r="BW478" s="90"/>
      <c r="BX478" s="90"/>
      <c r="BY478" s="90"/>
      <c r="BZ478" s="90"/>
      <c r="CA478" s="90"/>
      <c r="CB478" s="90"/>
      <c r="CC478" s="90"/>
      <c r="CD478" s="90"/>
      <c r="CE478" s="90"/>
      <c r="CF478" s="90"/>
      <c r="CG478" s="90"/>
      <c r="CH478" s="90"/>
      <c r="CI478" s="90"/>
      <c r="CJ478" s="90"/>
      <c r="CK478" s="90"/>
      <c r="CL478" s="90"/>
      <c r="CM478" s="90"/>
      <c r="CN478" s="90"/>
      <c r="CO478" s="90"/>
      <c r="CP478" s="90"/>
      <c r="CQ478" s="90"/>
      <c r="CR478" s="90"/>
      <c r="CS478" s="90"/>
      <c r="CT478" s="90"/>
      <c r="CU478" s="90"/>
      <c r="CV478" s="90"/>
      <c r="CW478" s="90"/>
    </row>
    <row r="479" ht="16.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  <c r="BO479" s="90"/>
      <c r="BP479" s="90"/>
      <c r="BQ479" s="90"/>
      <c r="BR479" s="90"/>
      <c r="BS479" s="90"/>
      <c r="BT479" s="90"/>
      <c r="BU479" s="90"/>
      <c r="BV479" s="90"/>
      <c r="BW479" s="90"/>
      <c r="BX479" s="90"/>
      <c r="BY479" s="90"/>
      <c r="BZ479" s="90"/>
      <c r="CA479" s="90"/>
      <c r="CB479" s="90"/>
      <c r="CC479" s="90"/>
      <c r="CD479" s="90"/>
      <c r="CE479" s="90"/>
      <c r="CF479" s="90"/>
      <c r="CG479" s="90"/>
      <c r="CH479" s="90"/>
      <c r="CI479" s="90"/>
      <c r="CJ479" s="90"/>
      <c r="CK479" s="90"/>
      <c r="CL479" s="90"/>
      <c r="CM479" s="90"/>
      <c r="CN479" s="90"/>
      <c r="CO479" s="90"/>
      <c r="CP479" s="90"/>
      <c r="CQ479" s="90"/>
      <c r="CR479" s="90"/>
      <c r="CS479" s="90"/>
      <c r="CT479" s="90"/>
      <c r="CU479" s="90"/>
      <c r="CV479" s="90"/>
      <c r="CW479" s="90"/>
    </row>
    <row r="480" ht="16.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0"/>
      <c r="BQ480" s="90"/>
      <c r="BR480" s="90"/>
      <c r="BS480" s="90"/>
      <c r="BT480" s="90"/>
      <c r="BU480" s="90"/>
      <c r="BV480" s="90"/>
      <c r="BW480" s="90"/>
      <c r="BX480" s="90"/>
      <c r="BY480" s="90"/>
      <c r="BZ480" s="90"/>
      <c r="CA480" s="90"/>
      <c r="CB480" s="90"/>
      <c r="CC480" s="90"/>
      <c r="CD480" s="90"/>
      <c r="CE480" s="90"/>
      <c r="CF480" s="90"/>
      <c r="CG480" s="90"/>
      <c r="CH480" s="90"/>
      <c r="CI480" s="90"/>
      <c r="CJ480" s="90"/>
      <c r="CK480" s="90"/>
      <c r="CL480" s="90"/>
      <c r="CM480" s="90"/>
      <c r="CN480" s="90"/>
      <c r="CO480" s="90"/>
      <c r="CP480" s="90"/>
      <c r="CQ480" s="90"/>
      <c r="CR480" s="90"/>
      <c r="CS480" s="90"/>
      <c r="CT480" s="90"/>
      <c r="CU480" s="90"/>
      <c r="CV480" s="90"/>
      <c r="CW480" s="90"/>
    </row>
    <row r="481" ht="16.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  <c r="BO481" s="90"/>
      <c r="BP481" s="90"/>
      <c r="BQ481" s="90"/>
      <c r="BR481" s="90"/>
      <c r="BS481" s="90"/>
      <c r="BT481" s="90"/>
      <c r="BU481" s="90"/>
      <c r="BV481" s="90"/>
      <c r="BW481" s="90"/>
      <c r="BX481" s="90"/>
      <c r="BY481" s="90"/>
      <c r="BZ481" s="90"/>
      <c r="CA481" s="90"/>
      <c r="CB481" s="90"/>
      <c r="CC481" s="90"/>
      <c r="CD481" s="90"/>
      <c r="CE481" s="90"/>
      <c r="CF481" s="90"/>
      <c r="CG481" s="90"/>
      <c r="CH481" s="90"/>
      <c r="CI481" s="90"/>
      <c r="CJ481" s="90"/>
      <c r="CK481" s="90"/>
      <c r="CL481" s="90"/>
      <c r="CM481" s="90"/>
      <c r="CN481" s="90"/>
      <c r="CO481" s="90"/>
      <c r="CP481" s="90"/>
      <c r="CQ481" s="90"/>
      <c r="CR481" s="90"/>
      <c r="CS481" s="90"/>
      <c r="CT481" s="90"/>
      <c r="CU481" s="90"/>
      <c r="CV481" s="90"/>
      <c r="CW481" s="90"/>
    </row>
    <row r="482" ht="16.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0"/>
      <c r="BQ482" s="90"/>
      <c r="BR482" s="90"/>
      <c r="BS482" s="90"/>
      <c r="BT482" s="90"/>
      <c r="BU482" s="90"/>
      <c r="BV482" s="90"/>
      <c r="BW482" s="90"/>
      <c r="BX482" s="90"/>
      <c r="BY482" s="90"/>
      <c r="BZ482" s="90"/>
      <c r="CA482" s="90"/>
      <c r="CB482" s="90"/>
      <c r="CC482" s="90"/>
      <c r="CD482" s="90"/>
      <c r="CE482" s="90"/>
      <c r="CF482" s="90"/>
      <c r="CG482" s="90"/>
      <c r="CH482" s="90"/>
      <c r="CI482" s="90"/>
      <c r="CJ482" s="90"/>
      <c r="CK482" s="90"/>
      <c r="CL482" s="90"/>
      <c r="CM482" s="90"/>
      <c r="CN482" s="90"/>
      <c r="CO482" s="90"/>
      <c r="CP482" s="90"/>
      <c r="CQ482" s="90"/>
      <c r="CR482" s="90"/>
      <c r="CS482" s="90"/>
      <c r="CT482" s="90"/>
      <c r="CU482" s="90"/>
      <c r="CV482" s="90"/>
      <c r="CW482" s="90"/>
    </row>
    <row r="483" ht="16.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  <c r="BO483" s="90"/>
      <c r="BP483" s="90"/>
      <c r="BQ483" s="90"/>
      <c r="BR483" s="90"/>
      <c r="BS483" s="90"/>
      <c r="BT483" s="90"/>
      <c r="BU483" s="90"/>
      <c r="BV483" s="90"/>
      <c r="BW483" s="90"/>
      <c r="BX483" s="90"/>
      <c r="BY483" s="90"/>
      <c r="BZ483" s="90"/>
      <c r="CA483" s="90"/>
      <c r="CB483" s="90"/>
      <c r="CC483" s="90"/>
      <c r="CD483" s="90"/>
      <c r="CE483" s="90"/>
      <c r="CF483" s="90"/>
      <c r="CG483" s="90"/>
      <c r="CH483" s="90"/>
      <c r="CI483" s="90"/>
      <c r="CJ483" s="90"/>
      <c r="CK483" s="90"/>
      <c r="CL483" s="90"/>
      <c r="CM483" s="90"/>
      <c r="CN483" s="90"/>
      <c r="CO483" s="90"/>
      <c r="CP483" s="90"/>
      <c r="CQ483" s="90"/>
      <c r="CR483" s="90"/>
      <c r="CS483" s="90"/>
      <c r="CT483" s="90"/>
      <c r="CU483" s="90"/>
      <c r="CV483" s="90"/>
      <c r="CW483" s="90"/>
    </row>
    <row r="484" ht="16.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0"/>
      <c r="BQ484" s="90"/>
      <c r="BR484" s="90"/>
      <c r="BS484" s="90"/>
      <c r="BT484" s="90"/>
      <c r="BU484" s="90"/>
      <c r="BV484" s="90"/>
      <c r="BW484" s="90"/>
      <c r="BX484" s="90"/>
      <c r="BY484" s="90"/>
      <c r="BZ484" s="90"/>
      <c r="CA484" s="90"/>
      <c r="CB484" s="90"/>
      <c r="CC484" s="90"/>
      <c r="CD484" s="90"/>
      <c r="CE484" s="90"/>
      <c r="CF484" s="90"/>
      <c r="CG484" s="90"/>
      <c r="CH484" s="90"/>
      <c r="CI484" s="90"/>
      <c r="CJ484" s="90"/>
      <c r="CK484" s="90"/>
      <c r="CL484" s="90"/>
      <c r="CM484" s="90"/>
      <c r="CN484" s="90"/>
      <c r="CO484" s="90"/>
      <c r="CP484" s="90"/>
      <c r="CQ484" s="90"/>
      <c r="CR484" s="90"/>
      <c r="CS484" s="90"/>
      <c r="CT484" s="90"/>
      <c r="CU484" s="90"/>
      <c r="CV484" s="90"/>
      <c r="CW484" s="90"/>
    </row>
    <row r="485" ht="16.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  <c r="BO485" s="90"/>
      <c r="BP485" s="90"/>
      <c r="BQ485" s="90"/>
      <c r="BR485" s="90"/>
      <c r="BS485" s="90"/>
      <c r="BT485" s="90"/>
      <c r="BU485" s="90"/>
      <c r="BV485" s="90"/>
      <c r="BW485" s="90"/>
      <c r="BX485" s="90"/>
      <c r="BY485" s="90"/>
      <c r="BZ485" s="90"/>
      <c r="CA485" s="90"/>
      <c r="CB485" s="90"/>
      <c r="CC485" s="90"/>
      <c r="CD485" s="90"/>
      <c r="CE485" s="90"/>
      <c r="CF485" s="90"/>
      <c r="CG485" s="90"/>
      <c r="CH485" s="90"/>
      <c r="CI485" s="90"/>
      <c r="CJ485" s="90"/>
      <c r="CK485" s="90"/>
      <c r="CL485" s="90"/>
      <c r="CM485" s="90"/>
      <c r="CN485" s="90"/>
      <c r="CO485" s="90"/>
      <c r="CP485" s="90"/>
      <c r="CQ485" s="90"/>
      <c r="CR485" s="90"/>
      <c r="CS485" s="90"/>
      <c r="CT485" s="90"/>
      <c r="CU485" s="90"/>
      <c r="CV485" s="90"/>
      <c r="CW485" s="90"/>
    </row>
    <row r="486" ht="16.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0"/>
      <c r="BQ486" s="90"/>
      <c r="BR486" s="90"/>
      <c r="BS486" s="90"/>
      <c r="BT486" s="90"/>
      <c r="BU486" s="90"/>
      <c r="BV486" s="90"/>
      <c r="BW486" s="90"/>
      <c r="BX486" s="90"/>
      <c r="BY486" s="90"/>
      <c r="BZ486" s="90"/>
      <c r="CA486" s="90"/>
      <c r="CB486" s="90"/>
      <c r="CC486" s="90"/>
      <c r="CD486" s="90"/>
      <c r="CE486" s="90"/>
      <c r="CF486" s="90"/>
      <c r="CG486" s="90"/>
      <c r="CH486" s="90"/>
      <c r="CI486" s="90"/>
      <c r="CJ486" s="90"/>
      <c r="CK486" s="90"/>
      <c r="CL486" s="90"/>
      <c r="CM486" s="90"/>
      <c r="CN486" s="90"/>
      <c r="CO486" s="90"/>
      <c r="CP486" s="90"/>
      <c r="CQ486" s="90"/>
      <c r="CR486" s="90"/>
      <c r="CS486" s="90"/>
      <c r="CT486" s="90"/>
      <c r="CU486" s="90"/>
      <c r="CV486" s="90"/>
      <c r="CW486" s="90"/>
    </row>
    <row r="487" ht="16.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  <c r="BO487" s="90"/>
      <c r="BP487" s="90"/>
      <c r="BQ487" s="90"/>
      <c r="BR487" s="90"/>
      <c r="BS487" s="90"/>
      <c r="BT487" s="90"/>
      <c r="BU487" s="90"/>
      <c r="BV487" s="90"/>
      <c r="BW487" s="90"/>
      <c r="BX487" s="90"/>
      <c r="BY487" s="90"/>
      <c r="BZ487" s="90"/>
      <c r="CA487" s="90"/>
      <c r="CB487" s="90"/>
      <c r="CC487" s="90"/>
      <c r="CD487" s="90"/>
      <c r="CE487" s="90"/>
      <c r="CF487" s="90"/>
      <c r="CG487" s="90"/>
      <c r="CH487" s="90"/>
      <c r="CI487" s="90"/>
      <c r="CJ487" s="90"/>
      <c r="CK487" s="90"/>
      <c r="CL487" s="90"/>
      <c r="CM487" s="90"/>
      <c r="CN487" s="90"/>
      <c r="CO487" s="90"/>
      <c r="CP487" s="90"/>
      <c r="CQ487" s="90"/>
      <c r="CR487" s="90"/>
      <c r="CS487" s="90"/>
      <c r="CT487" s="90"/>
      <c r="CU487" s="90"/>
      <c r="CV487" s="90"/>
      <c r="CW487" s="90"/>
    </row>
    <row r="488" ht="16.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0"/>
      <c r="BQ488" s="90"/>
      <c r="BR488" s="90"/>
      <c r="BS488" s="90"/>
      <c r="BT488" s="90"/>
      <c r="BU488" s="90"/>
      <c r="BV488" s="90"/>
      <c r="BW488" s="90"/>
      <c r="BX488" s="90"/>
      <c r="BY488" s="90"/>
      <c r="BZ488" s="90"/>
      <c r="CA488" s="90"/>
      <c r="CB488" s="90"/>
      <c r="CC488" s="90"/>
      <c r="CD488" s="90"/>
      <c r="CE488" s="90"/>
      <c r="CF488" s="90"/>
      <c r="CG488" s="90"/>
      <c r="CH488" s="90"/>
      <c r="CI488" s="90"/>
      <c r="CJ488" s="90"/>
      <c r="CK488" s="90"/>
      <c r="CL488" s="90"/>
      <c r="CM488" s="90"/>
      <c r="CN488" s="90"/>
      <c r="CO488" s="90"/>
      <c r="CP488" s="90"/>
      <c r="CQ488" s="90"/>
      <c r="CR488" s="90"/>
      <c r="CS488" s="90"/>
      <c r="CT488" s="90"/>
      <c r="CU488" s="90"/>
      <c r="CV488" s="90"/>
      <c r="CW488" s="90"/>
    </row>
    <row r="489" ht="16.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  <c r="BO489" s="90"/>
      <c r="BP489" s="90"/>
      <c r="BQ489" s="90"/>
      <c r="BR489" s="90"/>
      <c r="BS489" s="90"/>
      <c r="BT489" s="90"/>
      <c r="BU489" s="90"/>
      <c r="BV489" s="90"/>
      <c r="BW489" s="90"/>
      <c r="BX489" s="90"/>
      <c r="BY489" s="90"/>
      <c r="BZ489" s="90"/>
      <c r="CA489" s="90"/>
      <c r="CB489" s="90"/>
      <c r="CC489" s="90"/>
      <c r="CD489" s="90"/>
      <c r="CE489" s="90"/>
      <c r="CF489" s="90"/>
      <c r="CG489" s="90"/>
      <c r="CH489" s="90"/>
      <c r="CI489" s="90"/>
      <c r="CJ489" s="90"/>
      <c r="CK489" s="90"/>
      <c r="CL489" s="90"/>
      <c r="CM489" s="90"/>
      <c r="CN489" s="90"/>
      <c r="CO489" s="90"/>
      <c r="CP489" s="90"/>
      <c r="CQ489" s="90"/>
      <c r="CR489" s="90"/>
      <c r="CS489" s="90"/>
      <c r="CT489" s="90"/>
      <c r="CU489" s="90"/>
      <c r="CV489" s="90"/>
      <c r="CW489" s="90"/>
    </row>
    <row r="490" ht="16.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0"/>
      <c r="BQ490" s="90"/>
      <c r="BR490" s="90"/>
      <c r="BS490" s="90"/>
      <c r="BT490" s="90"/>
      <c r="BU490" s="90"/>
      <c r="BV490" s="90"/>
      <c r="BW490" s="90"/>
      <c r="BX490" s="90"/>
      <c r="BY490" s="90"/>
      <c r="BZ490" s="90"/>
      <c r="CA490" s="90"/>
      <c r="CB490" s="90"/>
      <c r="CC490" s="90"/>
      <c r="CD490" s="90"/>
      <c r="CE490" s="90"/>
      <c r="CF490" s="90"/>
      <c r="CG490" s="90"/>
      <c r="CH490" s="90"/>
      <c r="CI490" s="90"/>
      <c r="CJ490" s="90"/>
      <c r="CK490" s="90"/>
      <c r="CL490" s="90"/>
      <c r="CM490" s="90"/>
      <c r="CN490" s="90"/>
      <c r="CO490" s="90"/>
      <c r="CP490" s="90"/>
      <c r="CQ490" s="90"/>
      <c r="CR490" s="90"/>
      <c r="CS490" s="90"/>
      <c r="CT490" s="90"/>
      <c r="CU490" s="90"/>
      <c r="CV490" s="90"/>
      <c r="CW490" s="90"/>
    </row>
    <row r="491" ht="16.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  <c r="BO491" s="90"/>
      <c r="BP491" s="90"/>
      <c r="BQ491" s="90"/>
      <c r="BR491" s="90"/>
      <c r="BS491" s="90"/>
      <c r="BT491" s="90"/>
      <c r="BU491" s="90"/>
      <c r="BV491" s="90"/>
      <c r="BW491" s="90"/>
      <c r="BX491" s="90"/>
      <c r="BY491" s="90"/>
      <c r="BZ491" s="90"/>
      <c r="CA491" s="90"/>
      <c r="CB491" s="90"/>
      <c r="CC491" s="90"/>
      <c r="CD491" s="90"/>
      <c r="CE491" s="90"/>
      <c r="CF491" s="90"/>
      <c r="CG491" s="90"/>
      <c r="CH491" s="90"/>
      <c r="CI491" s="90"/>
      <c r="CJ491" s="90"/>
      <c r="CK491" s="90"/>
      <c r="CL491" s="90"/>
      <c r="CM491" s="90"/>
      <c r="CN491" s="90"/>
      <c r="CO491" s="90"/>
      <c r="CP491" s="90"/>
      <c r="CQ491" s="90"/>
      <c r="CR491" s="90"/>
      <c r="CS491" s="90"/>
      <c r="CT491" s="90"/>
      <c r="CU491" s="90"/>
      <c r="CV491" s="90"/>
      <c r="CW491" s="90"/>
    </row>
    <row r="492" ht="16.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0"/>
      <c r="BQ492" s="90"/>
      <c r="BR492" s="90"/>
      <c r="BS492" s="90"/>
      <c r="BT492" s="90"/>
      <c r="BU492" s="90"/>
      <c r="BV492" s="90"/>
      <c r="BW492" s="90"/>
      <c r="BX492" s="90"/>
      <c r="BY492" s="90"/>
      <c r="BZ492" s="90"/>
      <c r="CA492" s="90"/>
      <c r="CB492" s="90"/>
      <c r="CC492" s="90"/>
      <c r="CD492" s="90"/>
      <c r="CE492" s="90"/>
      <c r="CF492" s="90"/>
      <c r="CG492" s="90"/>
      <c r="CH492" s="90"/>
      <c r="CI492" s="90"/>
      <c r="CJ492" s="90"/>
      <c r="CK492" s="90"/>
      <c r="CL492" s="90"/>
      <c r="CM492" s="90"/>
      <c r="CN492" s="90"/>
      <c r="CO492" s="90"/>
      <c r="CP492" s="90"/>
      <c r="CQ492" s="90"/>
      <c r="CR492" s="90"/>
      <c r="CS492" s="90"/>
      <c r="CT492" s="90"/>
      <c r="CU492" s="90"/>
      <c r="CV492" s="90"/>
      <c r="CW492" s="90"/>
    </row>
    <row r="493" ht="16.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  <c r="BO493" s="90"/>
      <c r="BP493" s="90"/>
      <c r="BQ493" s="90"/>
      <c r="BR493" s="90"/>
      <c r="BS493" s="90"/>
      <c r="BT493" s="90"/>
      <c r="BU493" s="90"/>
      <c r="BV493" s="90"/>
      <c r="BW493" s="90"/>
      <c r="BX493" s="90"/>
      <c r="BY493" s="90"/>
      <c r="BZ493" s="90"/>
      <c r="CA493" s="90"/>
      <c r="CB493" s="90"/>
      <c r="CC493" s="90"/>
      <c r="CD493" s="90"/>
      <c r="CE493" s="90"/>
      <c r="CF493" s="90"/>
      <c r="CG493" s="90"/>
      <c r="CH493" s="90"/>
      <c r="CI493" s="90"/>
      <c r="CJ493" s="90"/>
      <c r="CK493" s="90"/>
      <c r="CL493" s="90"/>
      <c r="CM493" s="90"/>
      <c r="CN493" s="90"/>
      <c r="CO493" s="90"/>
      <c r="CP493" s="90"/>
      <c r="CQ493" s="90"/>
      <c r="CR493" s="90"/>
      <c r="CS493" s="90"/>
      <c r="CT493" s="90"/>
      <c r="CU493" s="90"/>
      <c r="CV493" s="90"/>
      <c r="CW493" s="90"/>
    </row>
    <row r="494" ht="16.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0"/>
      <c r="BQ494" s="90"/>
      <c r="BR494" s="90"/>
      <c r="BS494" s="90"/>
      <c r="BT494" s="90"/>
      <c r="BU494" s="90"/>
      <c r="BV494" s="90"/>
      <c r="BW494" s="90"/>
      <c r="BX494" s="90"/>
      <c r="BY494" s="90"/>
      <c r="BZ494" s="90"/>
      <c r="CA494" s="90"/>
      <c r="CB494" s="90"/>
      <c r="CC494" s="90"/>
      <c r="CD494" s="90"/>
      <c r="CE494" s="90"/>
      <c r="CF494" s="90"/>
      <c r="CG494" s="90"/>
      <c r="CH494" s="90"/>
      <c r="CI494" s="90"/>
      <c r="CJ494" s="90"/>
      <c r="CK494" s="90"/>
      <c r="CL494" s="90"/>
      <c r="CM494" s="90"/>
      <c r="CN494" s="90"/>
      <c r="CO494" s="90"/>
      <c r="CP494" s="90"/>
      <c r="CQ494" s="90"/>
      <c r="CR494" s="90"/>
      <c r="CS494" s="90"/>
      <c r="CT494" s="90"/>
      <c r="CU494" s="90"/>
      <c r="CV494" s="90"/>
      <c r="CW494" s="90"/>
    </row>
    <row r="495" ht="16.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  <c r="BO495" s="90"/>
      <c r="BP495" s="90"/>
      <c r="BQ495" s="90"/>
      <c r="BR495" s="90"/>
      <c r="BS495" s="90"/>
      <c r="BT495" s="90"/>
      <c r="BU495" s="90"/>
      <c r="BV495" s="90"/>
      <c r="BW495" s="90"/>
      <c r="BX495" s="90"/>
      <c r="BY495" s="90"/>
      <c r="BZ495" s="90"/>
      <c r="CA495" s="90"/>
      <c r="CB495" s="90"/>
      <c r="CC495" s="90"/>
      <c r="CD495" s="90"/>
      <c r="CE495" s="90"/>
      <c r="CF495" s="90"/>
      <c r="CG495" s="90"/>
      <c r="CH495" s="90"/>
      <c r="CI495" s="90"/>
      <c r="CJ495" s="90"/>
      <c r="CK495" s="90"/>
      <c r="CL495" s="90"/>
      <c r="CM495" s="90"/>
      <c r="CN495" s="90"/>
      <c r="CO495" s="90"/>
      <c r="CP495" s="90"/>
      <c r="CQ495" s="90"/>
      <c r="CR495" s="90"/>
      <c r="CS495" s="90"/>
      <c r="CT495" s="90"/>
      <c r="CU495" s="90"/>
      <c r="CV495" s="90"/>
      <c r="CW495" s="90"/>
    </row>
    <row r="496" ht="16.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0"/>
      <c r="BQ496" s="90"/>
      <c r="BR496" s="90"/>
      <c r="BS496" s="90"/>
      <c r="BT496" s="90"/>
      <c r="BU496" s="90"/>
      <c r="BV496" s="90"/>
      <c r="BW496" s="90"/>
      <c r="BX496" s="90"/>
      <c r="BY496" s="90"/>
      <c r="BZ496" s="90"/>
      <c r="CA496" s="90"/>
      <c r="CB496" s="90"/>
      <c r="CC496" s="90"/>
      <c r="CD496" s="90"/>
      <c r="CE496" s="90"/>
      <c r="CF496" s="90"/>
      <c r="CG496" s="90"/>
      <c r="CH496" s="90"/>
      <c r="CI496" s="90"/>
      <c r="CJ496" s="90"/>
      <c r="CK496" s="90"/>
      <c r="CL496" s="90"/>
      <c r="CM496" s="90"/>
      <c r="CN496" s="90"/>
      <c r="CO496" s="90"/>
      <c r="CP496" s="90"/>
      <c r="CQ496" s="90"/>
      <c r="CR496" s="90"/>
      <c r="CS496" s="90"/>
      <c r="CT496" s="90"/>
      <c r="CU496" s="90"/>
      <c r="CV496" s="90"/>
      <c r="CW496" s="90"/>
    </row>
    <row r="497" ht="16.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  <c r="BO497" s="90"/>
      <c r="BP497" s="90"/>
      <c r="BQ497" s="90"/>
      <c r="BR497" s="90"/>
      <c r="BS497" s="90"/>
      <c r="BT497" s="90"/>
      <c r="BU497" s="90"/>
      <c r="BV497" s="90"/>
      <c r="BW497" s="90"/>
      <c r="BX497" s="90"/>
      <c r="BY497" s="90"/>
      <c r="BZ497" s="90"/>
      <c r="CA497" s="90"/>
      <c r="CB497" s="90"/>
      <c r="CC497" s="90"/>
      <c r="CD497" s="90"/>
      <c r="CE497" s="90"/>
      <c r="CF497" s="90"/>
      <c r="CG497" s="90"/>
      <c r="CH497" s="90"/>
      <c r="CI497" s="90"/>
      <c r="CJ497" s="90"/>
      <c r="CK497" s="90"/>
      <c r="CL497" s="90"/>
      <c r="CM497" s="90"/>
      <c r="CN497" s="90"/>
      <c r="CO497" s="90"/>
      <c r="CP497" s="90"/>
      <c r="CQ497" s="90"/>
      <c r="CR497" s="90"/>
      <c r="CS497" s="90"/>
      <c r="CT497" s="90"/>
      <c r="CU497" s="90"/>
      <c r="CV497" s="90"/>
      <c r="CW497" s="90"/>
    </row>
    <row r="498" ht="16.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0"/>
      <c r="BQ498" s="90"/>
      <c r="BR498" s="90"/>
      <c r="BS498" s="90"/>
      <c r="BT498" s="90"/>
      <c r="BU498" s="90"/>
      <c r="BV498" s="90"/>
      <c r="BW498" s="90"/>
      <c r="BX498" s="90"/>
      <c r="BY498" s="90"/>
      <c r="BZ498" s="90"/>
      <c r="CA498" s="90"/>
      <c r="CB498" s="90"/>
      <c r="CC498" s="90"/>
      <c r="CD498" s="90"/>
      <c r="CE498" s="90"/>
      <c r="CF498" s="90"/>
      <c r="CG498" s="90"/>
      <c r="CH498" s="90"/>
      <c r="CI498" s="90"/>
      <c r="CJ498" s="90"/>
      <c r="CK498" s="90"/>
      <c r="CL498" s="90"/>
      <c r="CM498" s="90"/>
      <c r="CN498" s="90"/>
      <c r="CO498" s="90"/>
      <c r="CP498" s="90"/>
      <c r="CQ498" s="90"/>
      <c r="CR498" s="90"/>
      <c r="CS498" s="90"/>
      <c r="CT498" s="90"/>
      <c r="CU498" s="90"/>
      <c r="CV498" s="90"/>
      <c r="CW498" s="90"/>
    </row>
    <row r="499" ht="16.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  <c r="BO499" s="90"/>
      <c r="BP499" s="90"/>
      <c r="BQ499" s="90"/>
      <c r="BR499" s="90"/>
      <c r="BS499" s="90"/>
      <c r="BT499" s="90"/>
      <c r="BU499" s="90"/>
      <c r="BV499" s="90"/>
      <c r="BW499" s="90"/>
      <c r="BX499" s="90"/>
      <c r="BY499" s="90"/>
      <c r="BZ499" s="90"/>
      <c r="CA499" s="90"/>
      <c r="CB499" s="90"/>
      <c r="CC499" s="90"/>
      <c r="CD499" s="90"/>
      <c r="CE499" s="90"/>
      <c r="CF499" s="90"/>
      <c r="CG499" s="90"/>
      <c r="CH499" s="90"/>
      <c r="CI499" s="90"/>
      <c r="CJ499" s="90"/>
      <c r="CK499" s="90"/>
      <c r="CL499" s="90"/>
      <c r="CM499" s="90"/>
      <c r="CN499" s="90"/>
      <c r="CO499" s="90"/>
      <c r="CP499" s="90"/>
      <c r="CQ499" s="90"/>
      <c r="CR499" s="90"/>
      <c r="CS499" s="90"/>
      <c r="CT499" s="90"/>
      <c r="CU499" s="90"/>
      <c r="CV499" s="90"/>
      <c r="CW499" s="90"/>
    </row>
    <row r="500" ht="16.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0"/>
      <c r="BQ500" s="90"/>
      <c r="BR500" s="90"/>
      <c r="BS500" s="90"/>
      <c r="BT500" s="90"/>
      <c r="BU500" s="90"/>
      <c r="BV500" s="90"/>
      <c r="BW500" s="90"/>
      <c r="BX500" s="90"/>
      <c r="BY500" s="90"/>
      <c r="BZ500" s="90"/>
      <c r="CA500" s="90"/>
      <c r="CB500" s="90"/>
      <c r="CC500" s="90"/>
      <c r="CD500" s="90"/>
      <c r="CE500" s="90"/>
      <c r="CF500" s="90"/>
      <c r="CG500" s="90"/>
      <c r="CH500" s="90"/>
      <c r="CI500" s="90"/>
      <c r="CJ500" s="90"/>
      <c r="CK500" s="90"/>
      <c r="CL500" s="90"/>
      <c r="CM500" s="90"/>
      <c r="CN500" s="90"/>
      <c r="CO500" s="90"/>
      <c r="CP500" s="90"/>
      <c r="CQ500" s="90"/>
      <c r="CR500" s="90"/>
      <c r="CS500" s="90"/>
      <c r="CT500" s="90"/>
      <c r="CU500" s="90"/>
      <c r="CV500" s="90"/>
      <c r="CW500" s="90"/>
    </row>
    <row r="501" ht="16.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  <c r="BO501" s="90"/>
      <c r="BP501" s="90"/>
      <c r="BQ501" s="90"/>
      <c r="BR501" s="90"/>
      <c r="BS501" s="90"/>
      <c r="BT501" s="90"/>
      <c r="BU501" s="90"/>
      <c r="BV501" s="90"/>
      <c r="BW501" s="90"/>
      <c r="BX501" s="90"/>
      <c r="BY501" s="90"/>
      <c r="BZ501" s="90"/>
      <c r="CA501" s="90"/>
      <c r="CB501" s="90"/>
      <c r="CC501" s="90"/>
      <c r="CD501" s="90"/>
      <c r="CE501" s="90"/>
      <c r="CF501" s="90"/>
      <c r="CG501" s="90"/>
      <c r="CH501" s="90"/>
      <c r="CI501" s="90"/>
      <c r="CJ501" s="90"/>
      <c r="CK501" s="90"/>
      <c r="CL501" s="90"/>
      <c r="CM501" s="90"/>
      <c r="CN501" s="90"/>
      <c r="CO501" s="90"/>
      <c r="CP501" s="90"/>
      <c r="CQ501" s="90"/>
      <c r="CR501" s="90"/>
      <c r="CS501" s="90"/>
      <c r="CT501" s="90"/>
      <c r="CU501" s="90"/>
      <c r="CV501" s="90"/>
      <c r="CW501" s="90"/>
    </row>
    <row r="502" ht="16.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0"/>
      <c r="BQ502" s="90"/>
      <c r="BR502" s="90"/>
      <c r="BS502" s="90"/>
      <c r="BT502" s="90"/>
      <c r="BU502" s="90"/>
      <c r="BV502" s="90"/>
      <c r="BW502" s="90"/>
      <c r="BX502" s="90"/>
      <c r="BY502" s="90"/>
      <c r="BZ502" s="90"/>
      <c r="CA502" s="90"/>
      <c r="CB502" s="90"/>
      <c r="CC502" s="90"/>
      <c r="CD502" s="90"/>
      <c r="CE502" s="90"/>
      <c r="CF502" s="90"/>
      <c r="CG502" s="90"/>
      <c r="CH502" s="90"/>
      <c r="CI502" s="90"/>
      <c r="CJ502" s="90"/>
      <c r="CK502" s="90"/>
      <c r="CL502" s="90"/>
      <c r="CM502" s="90"/>
      <c r="CN502" s="90"/>
      <c r="CO502" s="90"/>
      <c r="CP502" s="90"/>
      <c r="CQ502" s="90"/>
      <c r="CR502" s="90"/>
      <c r="CS502" s="90"/>
      <c r="CT502" s="90"/>
      <c r="CU502" s="90"/>
      <c r="CV502" s="90"/>
      <c r="CW502" s="90"/>
    </row>
    <row r="503" ht="16.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  <c r="BO503" s="90"/>
      <c r="BP503" s="90"/>
      <c r="BQ503" s="90"/>
      <c r="BR503" s="90"/>
      <c r="BS503" s="90"/>
      <c r="BT503" s="90"/>
      <c r="BU503" s="90"/>
      <c r="BV503" s="90"/>
      <c r="BW503" s="90"/>
      <c r="BX503" s="90"/>
      <c r="BY503" s="90"/>
      <c r="BZ503" s="90"/>
      <c r="CA503" s="90"/>
      <c r="CB503" s="90"/>
      <c r="CC503" s="90"/>
      <c r="CD503" s="90"/>
      <c r="CE503" s="90"/>
      <c r="CF503" s="90"/>
      <c r="CG503" s="90"/>
      <c r="CH503" s="90"/>
      <c r="CI503" s="90"/>
      <c r="CJ503" s="90"/>
      <c r="CK503" s="90"/>
      <c r="CL503" s="90"/>
      <c r="CM503" s="90"/>
      <c r="CN503" s="90"/>
      <c r="CO503" s="90"/>
      <c r="CP503" s="90"/>
      <c r="CQ503" s="90"/>
      <c r="CR503" s="90"/>
      <c r="CS503" s="90"/>
      <c r="CT503" s="90"/>
      <c r="CU503" s="90"/>
      <c r="CV503" s="90"/>
      <c r="CW503" s="90"/>
    </row>
    <row r="504" ht="16.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0"/>
      <c r="BQ504" s="90"/>
      <c r="BR504" s="90"/>
      <c r="BS504" s="90"/>
      <c r="BT504" s="90"/>
      <c r="BU504" s="90"/>
      <c r="BV504" s="90"/>
      <c r="BW504" s="90"/>
      <c r="BX504" s="90"/>
      <c r="BY504" s="90"/>
      <c r="BZ504" s="90"/>
      <c r="CA504" s="90"/>
      <c r="CB504" s="90"/>
      <c r="CC504" s="90"/>
      <c r="CD504" s="90"/>
      <c r="CE504" s="90"/>
      <c r="CF504" s="90"/>
      <c r="CG504" s="90"/>
      <c r="CH504" s="90"/>
      <c r="CI504" s="90"/>
      <c r="CJ504" s="90"/>
      <c r="CK504" s="90"/>
      <c r="CL504" s="90"/>
      <c r="CM504" s="90"/>
      <c r="CN504" s="90"/>
      <c r="CO504" s="90"/>
      <c r="CP504" s="90"/>
      <c r="CQ504" s="90"/>
      <c r="CR504" s="90"/>
      <c r="CS504" s="90"/>
      <c r="CT504" s="90"/>
      <c r="CU504" s="90"/>
      <c r="CV504" s="90"/>
      <c r="CW504" s="90"/>
    </row>
    <row r="505" ht="16.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  <c r="BO505" s="90"/>
      <c r="BP505" s="90"/>
      <c r="BQ505" s="90"/>
      <c r="BR505" s="90"/>
      <c r="BS505" s="90"/>
      <c r="BT505" s="90"/>
      <c r="BU505" s="90"/>
      <c r="BV505" s="90"/>
      <c r="BW505" s="90"/>
      <c r="BX505" s="90"/>
      <c r="BY505" s="90"/>
      <c r="BZ505" s="90"/>
      <c r="CA505" s="90"/>
      <c r="CB505" s="90"/>
      <c r="CC505" s="90"/>
      <c r="CD505" s="90"/>
      <c r="CE505" s="90"/>
      <c r="CF505" s="90"/>
      <c r="CG505" s="90"/>
      <c r="CH505" s="90"/>
      <c r="CI505" s="90"/>
      <c r="CJ505" s="90"/>
      <c r="CK505" s="90"/>
      <c r="CL505" s="90"/>
      <c r="CM505" s="90"/>
      <c r="CN505" s="90"/>
      <c r="CO505" s="90"/>
      <c r="CP505" s="90"/>
      <c r="CQ505" s="90"/>
      <c r="CR505" s="90"/>
      <c r="CS505" s="90"/>
      <c r="CT505" s="90"/>
      <c r="CU505" s="90"/>
      <c r="CV505" s="90"/>
      <c r="CW505" s="90"/>
    </row>
    <row r="506" ht="16.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0"/>
      <c r="BQ506" s="90"/>
      <c r="BR506" s="90"/>
      <c r="BS506" s="90"/>
      <c r="BT506" s="90"/>
      <c r="BU506" s="90"/>
      <c r="BV506" s="90"/>
      <c r="BW506" s="90"/>
      <c r="BX506" s="90"/>
      <c r="BY506" s="90"/>
      <c r="BZ506" s="90"/>
      <c r="CA506" s="90"/>
      <c r="CB506" s="90"/>
      <c r="CC506" s="90"/>
      <c r="CD506" s="90"/>
      <c r="CE506" s="90"/>
      <c r="CF506" s="90"/>
      <c r="CG506" s="90"/>
      <c r="CH506" s="90"/>
      <c r="CI506" s="90"/>
      <c r="CJ506" s="90"/>
      <c r="CK506" s="90"/>
      <c r="CL506" s="90"/>
      <c r="CM506" s="90"/>
      <c r="CN506" s="90"/>
      <c r="CO506" s="90"/>
      <c r="CP506" s="90"/>
      <c r="CQ506" s="90"/>
      <c r="CR506" s="90"/>
      <c r="CS506" s="90"/>
      <c r="CT506" s="90"/>
      <c r="CU506" s="90"/>
      <c r="CV506" s="90"/>
      <c r="CW506" s="90"/>
    </row>
    <row r="507" ht="16.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  <c r="BO507" s="90"/>
      <c r="BP507" s="90"/>
      <c r="BQ507" s="90"/>
      <c r="BR507" s="90"/>
      <c r="BS507" s="90"/>
      <c r="BT507" s="90"/>
      <c r="BU507" s="90"/>
      <c r="BV507" s="90"/>
      <c r="BW507" s="90"/>
      <c r="BX507" s="90"/>
      <c r="BY507" s="90"/>
      <c r="BZ507" s="90"/>
      <c r="CA507" s="90"/>
      <c r="CB507" s="90"/>
      <c r="CC507" s="90"/>
      <c r="CD507" s="90"/>
      <c r="CE507" s="90"/>
      <c r="CF507" s="90"/>
      <c r="CG507" s="90"/>
      <c r="CH507" s="90"/>
      <c r="CI507" s="90"/>
      <c r="CJ507" s="90"/>
      <c r="CK507" s="90"/>
      <c r="CL507" s="90"/>
      <c r="CM507" s="90"/>
      <c r="CN507" s="90"/>
      <c r="CO507" s="90"/>
      <c r="CP507" s="90"/>
      <c r="CQ507" s="90"/>
      <c r="CR507" s="90"/>
      <c r="CS507" s="90"/>
      <c r="CT507" s="90"/>
      <c r="CU507" s="90"/>
      <c r="CV507" s="90"/>
      <c r="CW507" s="90"/>
    </row>
    <row r="508" ht="16.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0"/>
      <c r="BQ508" s="90"/>
      <c r="BR508" s="90"/>
      <c r="BS508" s="90"/>
      <c r="BT508" s="90"/>
      <c r="BU508" s="90"/>
      <c r="BV508" s="90"/>
      <c r="BW508" s="90"/>
      <c r="BX508" s="90"/>
      <c r="BY508" s="90"/>
      <c r="BZ508" s="90"/>
      <c r="CA508" s="90"/>
      <c r="CB508" s="90"/>
      <c r="CC508" s="90"/>
      <c r="CD508" s="90"/>
      <c r="CE508" s="90"/>
      <c r="CF508" s="90"/>
      <c r="CG508" s="90"/>
      <c r="CH508" s="90"/>
      <c r="CI508" s="90"/>
      <c r="CJ508" s="90"/>
      <c r="CK508" s="90"/>
      <c r="CL508" s="90"/>
      <c r="CM508" s="90"/>
      <c r="CN508" s="90"/>
      <c r="CO508" s="90"/>
      <c r="CP508" s="90"/>
      <c r="CQ508" s="90"/>
      <c r="CR508" s="90"/>
      <c r="CS508" s="90"/>
      <c r="CT508" s="90"/>
      <c r="CU508" s="90"/>
      <c r="CV508" s="90"/>
      <c r="CW508" s="90"/>
    </row>
    <row r="509" ht="16.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  <c r="BO509" s="90"/>
      <c r="BP509" s="90"/>
      <c r="BQ509" s="90"/>
      <c r="BR509" s="90"/>
      <c r="BS509" s="90"/>
      <c r="BT509" s="90"/>
      <c r="BU509" s="90"/>
      <c r="BV509" s="90"/>
      <c r="BW509" s="90"/>
      <c r="BX509" s="90"/>
      <c r="BY509" s="90"/>
      <c r="BZ509" s="90"/>
      <c r="CA509" s="90"/>
      <c r="CB509" s="90"/>
      <c r="CC509" s="90"/>
      <c r="CD509" s="90"/>
      <c r="CE509" s="90"/>
      <c r="CF509" s="90"/>
      <c r="CG509" s="90"/>
      <c r="CH509" s="90"/>
      <c r="CI509" s="90"/>
      <c r="CJ509" s="90"/>
      <c r="CK509" s="90"/>
      <c r="CL509" s="90"/>
      <c r="CM509" s="90"/>
      <c r="CN509" s="90"/>
      <c r="CO509" s="90"/>
      <c r="CP509" s="90"/>
      <c r="CQ509" s="90"/>
      <c r="CR509" s="90"/>
      <c r="CS509" s="90"/>
      <c r="CT509" s="90"/>
      <c r="CU509" s="90"/>
      <c r="CV509" s="90"/>
      <c r="CW509" s="90"/>
    </row>
    <row r="510" ht="16.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0"/>
      <c r="BQ510" s="90"/>
      <c r="BR510" s="90"/>
      <c r="BS510" s="90"/>
      <c r="BT510" s="90"/>
      <c r="BU510" s="90"/>
      <c r="BV510" s="90"/>
      <c r="BW510" s="90"/>
      <c r="BX510" s="90"/>
      <c r="BY510" s="90"/>
      <c r="BZ510" s="90"/>
      <c r="CA510" s="90"/>
      <c r="CB510" s="90"/>
      <c r="CC510" s="90"/>
      <c r="CD510" s="90"/>
      <c r="CE510" s="90"/>
      <c r="CF510" s="90"/>
      <c r="CG510" s="90"/>
      <c r="CH510" s="90"/>
      <c r="CI510" s="90"/>
      <c r="CJ510" s="90"/>
      <c r="CK510" s="90"/>
      <c r="CL510" s="90"/>
      <c r="CM510" s="90"/>
      <c r="CN510" s="90"/>
      <c r="CO510" s="90"/>
      <c r="CP510" s="90"/>
      <c r="CQ510" s="90"/>
      <c r="CR510" s="90"/>
      <c r="CS510" s="90"/>
      <c r="CT510" s="90"/>
      <c r="CU510" s="90"/>
      <c r="CV510" s="90"/>
      <c r="CW510" s="90"/>
    </row>
    <row r="511" ht="16.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  <c r="BO511" s="90"/>
      <c r="BP511" s="90"/>
      <c r="BQ511" s="90"/>
      <c r="BR511" s="90"/>
      <c r="BS511" s="90"/>
      <c r="BT511" s="90"/>
      <c r="BU511" s="90"/>
      <c r="BV511" s="90"/>
      <c r="BW511" s="90"/>
      <c r="BX511" s="90"/>
      <c r="BY511" s="90"/>
      <c r="BZ511" s="90"/>
      <c r="CA511" s="90"/>
      <c r="CB511" s="90"/>
      <c r="CC511" s="90"/>
      <c r="CD511" s="90"/>
      <c r="CE511" s="90"/>
      <c r="CF511" s="90"/>
      <c r="CG511" s="90"/>
      <c r="CH511" s="90"/>
      <c r="CI511" s="90"/>
      <c r="CJ511" s="90"/>
      <c r="CK511" s="90"/>
      <c r="CL511" s="90"/>
      <c r="CM511" s="90"/>
      <c r="CN511" s="90"/>
      <c r="CO511" s="90"/>
      <c r="CP511" s="90"/>
      <c r="CQ511" s="90"/>
      <c r="CR511" s="90"/>
      <c r="CS511" s="90"/>
      <c r="CT511" s="90"/>
      <c r="CU511" s="90"/>
      <c r="CV511" s="90"/>
      <c r="CW511" s="90"/>
    </row>
    <row r="512" ht="16.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0"/>
      <c r="BQ512" s="90"/>
      <c r="BR512" s="90"/>
      <c r="BS512" s="90"/>
      <c r="BT512" s="90"/>
      <c r="BU512" s="90"/>
      <c r="BV512" s="90"/>
      <c r="BW512" s="90"/>
      <c r="BX512" s="90"/>
      <c r="BY512" s="90"/>
      <c r="BZ512" s="90"/>
      <c r="CA512" s="90"/>
      <c r="CB512" s="90"/>
      <c r="CC512" s="90"/>
      <c r="CD512" s="90"/>
      <c r="CE512" s="90"/>
      <c r="CF512" s="90"/>
      <c r="CG512" s="90"/>
      <c r="CH512" s="90"/>
      <c r="CI512" s="90"/>
      <c r="CJ512" s="90"/>
      <c r="CK512" s="90"/>
      <c r="CL512" s="90"/>
      <c r="CM512" s="90"/>
      <c r="CN512" s="90"/>
      <c r="CO512" s="90"/>
      <c r="CP512" s="90"/>
      <c r="CQ512" s="90"/>
      <c r="CR512" s="90"/>
      <c r="CS512" s="90"/>
      <c r="CT512" s="90"/>
      <c r="CU512" s="90"/>
      <c r="CV512" s="90"/>
      <c r="CW512" s="90"/>
    </row>
    <row r="513" ht="16.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90"/>
      <c r="BQ513" s="90"/>
      <c r="BR513" s="90"/>
      <c r="BS513" s="90"/>
      <c r="BT513" s="90"/>
      <c r="BU513" s="90"/>
      <c r="BV513" s="90"/>
      <c r="BW513" s="90"/>
      <c r="BX513" s="90"/>
      <c r="BY513" s="90"/>
      <c r="BZ513" s="90"/>
      <c r="CA513" s="90"/>
      <c r="CB513" s="90"/>
      <c r="CC513" s="90"/>
      <c r="CD513" s="90"/>
      <c r="CE513" s="90"/>
      <c r="CF513" s="90"/>
      <c r="CG513" s="90"/>
      <c r="CH513" s="90"/>
      <c r="CI513" s="90"/>
      <c r="CJ513" s="90"/>
      <c r="CK513" s="90"/>
      <c r="CL513" s="90"/>
      <c r="CM513" s="90"/>
      <c r="CN513" s="90"/>
      <c r="CO513" s="90"/>
      <c r="CP513" s="90"/>
      <c r="CQ513" s="90"/>
      <c r="CR513" s="90"/>
      <c r="CS513" s="90"/>
      <c r="CT513" s="90"/>
      <c r="CU513" s="90"/>
      <c r="CV513" s="90"/>
      <c r="CW513" s="90"/>
    </row>
    <row r="514" ht="16.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90"/>
      <c r="CG514" s="90"/>
      <c r="CH514" s="90"/>
      <c r="CI514" s="90"/>
      <c r="CJ514" s="90"/>
      <c r="CK514" s="90"/>
      <c r="CL514" s="90"/>
      <c r="CM514" s="90"/>
      <c r="CN514" s="90"/>
      <c r="CO514" s="90"/>
      <c r="CP514" s="90"/>
      <c r="CQ514" s="90"/>
      <c r="CR514" s="90"/>
      <c r="CS514" s="90"/>
      <c r="CT514" s="90"/>
      <c r="CU514" s="90"/>
      <c r="CV514" s="90"/>
      <c r="CW514" s="90"/>
    </row>
    <row r="515" ht="16.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90"/>
      <c r="CG515" s="90"/>
      <c r="CH515" s="90"/>
      <c r="CI515" s="90"/>
      <c r="CJ515" s="90"/>
      <c r="CK515" s="90"/>
      <c r="CL515" s="90"/>
      <c r="CM515" s="90"/>
      <c r="CN515" s="90"/>
      <c r="CO515" s="90"/>
      <c r="CP515" s="90"/>
      <c r="CQ515" s="90"/>
      <c r="CR515" s="90"/>
      <c r="CS515" s="90"/>
      <c r="CT515" s="90"/>
      <c r="CU515" s="90"/>
      <c r="CV515" s="90"/>
      <c r="CW515" s="90"/>
    </row>
    <row r="516" ht="16.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90"/>
      <c r="CG516" s="90"/>
      <c r="CH516" s="90"/>
      <c r="CI516" s="90"/>
      <c r="CJ516" s="90"/>
      <c r="CK516" s="90"/>
      <c r="CL516" s="90"/>
      <c r="CM516" s="90"/>
      <c r="CN516" s="90"/>
      <c r="CO516" s="90"/>
      <c r="CP516" s="90"/>
      <c r="CQ516" s="90"/>
      <c r="CR516" s="90"/>
      <c r="CS516" s="90"/>
      <c r="CT516" s="90"/>
      <c r="CU516" s="90"/>
      <c r="CV516" s="90"/>
      <c r="CW516" s="90"/>
    </row>
    <row r="517" ht="16.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  <c r="BO517" s="90"/>
      <c r="BP517" s="90"/>
      <c r="BQ517" s="90"/>
      <c r="BR517" s="90"/>
      <c r="BS517" s="90"/>
      <c r="BT517" s="90"/>
      <c r="BU517" s="90"/>
      <c r="BV517" s="90"/>
      <c r="BW517" s="90"/>
      <c r="BX517" s="90"/>
      <c r="BY517" s="90"/>
      <c r="BZ517" s="90"/>
      <c r="CA517" s="90"/>
      <c r="CB517" s="90"/>
      <c r="CC517" s="90"/>
      <c r="CD517" s="90"/>
      <c r="CE517" s="90"/>
      <c r="CF517" s="90"/>
      <c r="CG517" s="90"/>
      <c r="CH517" s="90"/>
      <c r="CI517" s="90"/>
      <c r="CJ517" s="90"/>
      <c r="CK517" s="90"/>
      <c r="CL517" s="90"/>
      <c r="CM517" s="90"/>
      <c r="CN517" s="90"/>
      <c r="CO517" s="90"/>
      <c r="CP517" s="90"/>
      <c r="CQ517" s="90"/>
      <c r="CR517" s="90"/>
      <c r="CS517" s="90"/>
      <c r="CT517" s="90"/>
      <c r="CU517" s="90"/>
      <c r="CV517" s="90"/>
      <c r="CW517" s="90"/>
    </row>
    <row r="518" ht="16.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0"/>
      <c r="BQ518" s="90"/>
      <c r="BR518" s="90"/>
      <c r="BS518" s="90"/>
      <c r="BT518" s="90"/>
      <c r="BU518" s="90"/>
      <c r="BV518" s="90"/>
      <c r="BW518" s="90"/>
      <c r="BX518" s="90"/>
      <c r="BY518" s="90"/>
      <c r="BZ518" s="90"/>
      <c r="CA518" s="90"/>
      <c r="CB518" s="90"/>
      <c r="CC518" s="90"/>
      <c r="CD518" s="90"/>
      <c r="CE518" s="90"/>
      <c r="CF518" s="90"/>
      <c r="CG518" s="90"/>
      <c r="CH518" s="90"/>
      <c r="CI518" s="90"/>
      <c r="CJ518" s="90"/>
      <c r="CK518" s="90"/>
      <c r="CL518" s="90"/>
      <c r="CM518" s="90"/>
      <c r="CN518" s="90"/>
      <c r="CO518" s="90"/>
      <c r="CP518" s="90"/>
      <c r="CQ518" s="90"/>
      <c r="CR518" s="90"/>
      <c r="CS518" s="90"/>
      <c r="CT518" s="90"/>
      <c r="CU518" s="90"/>
      <c r="CV518" s="90"/>
      <c r="CW518" s="90"/>
    </row>
    <row r="519" ht="16.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  <c r="CN519" s="90"/>
      <c r="CO519" s="90"/>
      <c r="CP519" s="90"/>
      <c r="CQ519" s="90"/>
      <c r="CR519" s="90"/>
      <c r="CS519" s="90"/>
      <c r="CT519" s="90"/>
      <c r="CU519" s="90"/>
      <c r="CV519" s="90"/>
      <c r="CW519" s="90"/>
    </row>
    <row r="520" ht="16.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0"/>
      <c r="BQ520" s="90"/>
      <c r="BR520" s="90"/>
      <c r="BS520" s="90"/>
      <c r="BT520" s="90"/>
      <c r="BU520" s="90"/>
      <c r="BV520" s="90"/>
      <c r="BW520" s="90"/>
      <c r="BX520" s="90"/>
      <c r="BY520" s="90"/>
      <c r="BZ520" s="90"/>
      <c r="CA520" s="90"/>
      <c r="CB520" s="90"/>
      <c r="CC520" s="90"/>
      <c r="CD520" s="90"/>
      <c r="CE520" s="90"/>
      <c r="CF520" s="90"/>
      <c r="CG520" s="90"/>
      <c r="CH520" s="90"/>
      <c r="CI520" s="90"/>
      <c r="CJ520" s="90"/>
      <c r="CK520" s="90"/>
      <c r="CL520" s="90"/>
      <c r="CM520" s="90"/>
      <c r="CN520" s="90"/>
      <c r="CO520" s="90"/>
      <c r="CP520" s="90"/>
      <c r="CQ520" s="90"/>
      <c r="CR520" s="90"/>
      <c r="CS520" s="90"/>
      <c r="CT520" s="90"/>
      <c r="CU520" s="90"/>
      <c r="CV520" s="90"/>
      <c r="CW520" s="90"/>
    </row>
    <row r="521" ht="16.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  <c r="BO521" s="90"/>
      <c r="BP521" s="90"/>
      <c r="BQ521" s="90"/>
      <c r="BR521" s="90"/>
      <c r="BS521" s="90"/>
      <c r="BT521" s="90"/>
      <c r="BU521" s="90"/>
      <c r="BV521" s="90"/>
      <c r="BW521" s="90"/>
      <c r="BX521" s="90"/>
      <c r="BY521" s="90"/>
      <c r="BZ521" s="90"/>
      <c r="CA521" s="90"/>
      <c r="CB521" s="90"/>
      <c r="CC521" s="90"/>
      <c r="CD521" s="90"/>
      <c r="CE521" s="90"/>
      <c r="CF521" s="90"/>
      <c r="CG521" s="90"/>
      <c r="CH521" s="90"/>
      <c r="CI521" s="90"/>
      <c r="CJ521" s="90"/>
      <c r="CK521" s="90"/>
      <c r="CL521" s="90"/>
      <c r="CM521" s="90"/>
      <c r="CN521" s="90"/>
      <c r="CO521" s="90"/>
      <c r="CP521" s="90"/>
      <c r="CQ521" s="90"/>
      <c r="CR521" s="90"/>
      <c r="CS521" s="90"/>
      <c r="CT521" s="90"/>
      <c r="CU521" s="90"/>
      <c r="CV521" s="90"/>
      <c r="CW521" s="90"/>
    </row>
    <row r="522" ht="16.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0"/>
      <c r="BQ522" s="90"/>
      <c r="BR522" s="90"/>
      <c r="BS522" s="90"/>
      <c r="BT522" s="90"/>
      <c r="BU522" s="90"/>
      <c r="BV522" s="90"/>
      <c r="BW522" s="90"/>
      <c r="BX522" s="90"/>
      <c r="BY522" s="90"/>
      <c r="BZ522" s="90"/>
      <c r="CA522" s="90"/>
      <c r="CB522" s="90"/>
      <c r="CC522" s="90"/>
      <c r="CD522" s="90"/>
      <c r="CE522" s="90"/>
      <c r="CF522" s="90"/>
      <c r="CG522" s="90"/>
      <c r="CH522" s="90"/>
      <c r="CI522" s="90"/>
      <c r="CJ522" s="90"/>
      <c r="CK522" s="90"/>
      <c r="CL522" s="90"/>
      <c r="CM522" s="90"/>
      <c r="CN522" s="90"/>
      <c r="CO522" s="90"/>
      <c r="CP522" s="90"/>
      <c r="CQ522" s="90"/>
      <c r="CR522" s="90"/>
      <c r="CS522" s="90"/>
      <c r="CT522" s="90"/>
      <c r="CU522" s="90"/>
      <c r="CV522" s="90"/>
      <c r="CW522" s="90"/>
    </row>
    <row r="523" ht="16.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  <c r="BO523" s="90"/>
      <c r="BP523" s="90"/>
      <c r="BQ523" s="90"/>
      <c r="BR523" s="90"/>
      <c r="BS523" s="90"/>
      <c r="BT523" s="90"/>
      <c r="BU523" s="90"/>
      <c r="BV523" s="90"/>
      <c r="BW523" s="90"/>
      <c r="BX523" s="90"/>
      <c r="BY523" s="90"/>
      <c r="BZ523" s="90"/>
      <c r="CA523" s="90"/>
      <c r="CB523" s="90"/>
      <c r="CC523" s="90"/>
      <c r="CD523" s="90"/>
      <c r="CE523" s="90"/>
      <c r="CF523" s="90"/>
      <c r="CG523" s="90"/>
      <c r="CH523" s="90"/>
      <c r="CI523" s="90"/>
      <c r="CJ523" s="90"/>
      <c r="CK523" s="90"/>
      <c r="CL523" s="90"/>
      <c r="CM523" s="90"/>
      <c r="CN523" s="90"/>
      <c r="CO523" s="90"/>
      <c r="CP523" s="90"/>
      <c r="CQ523" s="90"/>
      <c r="CR523" s="90"/>
      <c r="CS523" s="90"/>
      <c r="CT523" s="90"/>
      <c r="CU523" s="90"/>
      <c r="CV523" s="90"/>
      <c r="CW523" s="90"/>
    </row>
    <row r="524" ht="16.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0"/>
      <c r="BQ524" s="90"/>
      <c r="BR524" s="90"/>
      <c r="BS524" s="90"/>
      <c r="BT524" s="90"/>
      <c r="BU524" s="90"/>
      <c r="BV524" s="90"/>
      <c r="BW524" s="90"/>
      <c r="BX524" s="90"/>
      <c r="BY524" s="90"/>
      <c r="BZ524" s="90"/>
      <c r="CA524" s="90"/>
      <c r="CB524" s="90"/>
      <c r="CC524" s="90"/>
      <c r="CD524" s="90"/>
      <c r="CE524" s="90"/>
      <c r="CF524" s="90"/>
      <c r="CG524" s="90"/>
      <c r="CH524" s="90"/>
      <c r="CI524" s="90"/>
      <c r="CJ524" s="90"/>
      <c r="CK524" s="90"/>
      <c r="CL524" s="90"/>
      <c r="CM524" s="90"/>
      <c r="CN524" s="90"/>
      <c r="CO524" s="90"/>
      <c r="CP524" s="90"/>
      <c r="CQ524" s="90"/>
      <c r="CR524" s="90"/>
      <c r="CS524" s="90"/>
      <c r="CT524" s="90"/>
      <c r="CU524" s="90"/>
      <c r="CV524" s="90"/>
      <c r="CW524" s="90"/>
    </row>
    <row r="525" ht="16.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90"/>
      <c r="BQ525" s="90"/>
      <c r="BR525" s="90"/>
      <c r="BS525" s="90"/>
      <c r="BT525" s="90"/>
      <c r="BU525" s="90"/>
      <c r="BV525" s="90"/>
      <c r="BW525" s="90"/>
      <c r="BX525" s="90"/>
      <c r="BY525" s="90"/>
      <c r="BZ525" s="90"/>
      <c r="CA525" s="90"/>
      <c r="CB525" s="90"/>
      <c r="CC525" s="90"/>
      <c r="CD525" s="90"/>
      <c r="CE525" s="90"/>
      <c r="CF525" s="90"/>
      <c r="CG525" s="90"/>
      <c r="CH525" s="90"/>
      <c r="CI525" s="90"/>
      <c r="CJ525" s="90"/>
      <c r="CK525" s="90"/>
      <c r="CL525" s="90"/>
      <c r="CM525" s="90"/>
      <c r="CN525" s="90"/>
      <c r="CO525" s="90"/>
      <c r="CP525" s="90"/>
      <c r="CQ525" s="90"/>
      <c r="CR525" s="90"/>
      <c r="CS525" s="90"/>
      <c r="CT525" s="90"/>
      <c r="CU525" s="90"/>
      <c r="CV525" s="90"/>
      <c r="CW525" s="90"/>
    </row>
    <row r="526" ht="16.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0"/>
      <c r="BS526" s="90"/>
      <c r="BT526" s="90"/>
      <c r="BU526" s="90"/>
      <c r="BV526" s="90"/>
      <c r="BW526" s="90"/>
      <c r="BX526" s="90"/>
      <c r="BY526" s="90"/>
      <c r="BZ526" s="90"/>
      <c r="CA526" s="90"/>
      <c r="CB526" s="90"/>
      <c r="CC526" s="90"/>
      <c r="CD526" s="90"/>
      <c r="CE526" s="90"/>
      <c r="CF526" s="90"/>
      <c r="CG526" s="90"/>
      <c r="CH526" s="90"/>
      <c r="CI526" s="90"/>
      <c r="CJ526" s="90"/>
      <c r="CK526" s="90"/>
      <c r="CL526" s="90"/>
      <c r="CM526" s="90"/>
      <c r="CN526" s="90"/>
      <c r="CO526" s="90"/>
      <c r="CP526" s="90"/>
      <c r="CQ526" s="90"/>
      <c r="CR526" s="90"/>
      <c r="CS526" s="90"/>
      <c r="CT526" s="90"/>
      <c r="CU526" s="90"/>
      <c r="CV526" s="90"/>
      <c r="CW526" s="90"/>
    </row>
    <row r="527" ht="16.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  <c r="CN527" s="90"/>
      <c r="CO527" s="90"/>
      <c r="CP527" s="90"/>
      <c r="CQ527" s="90"/>
      <c r="CR527" s="90"/>
      <c r="CS527" s="90"/>
      <c r="CT527" s="90"/>
      <c r="CU527" s="90"/>
      <c r="CV527" s="90"/>
      <c r="CW527" s="90"/>
    </row>
    <row r="528" ht="16.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0"/>
      <c r="BQ528" s="90"/>
      <c r="BR528" s="90"/>
      <c r="BS528" s="90"/>
      <c r="BT528" s="90"/>
      <c r="BU528" s="90"/>
      <c r="BV528" s="90"/>
      <c r="BW528" s="90"/>
      <c r="BX528" s="90"/>
      <c r="BY528" s="90"/>
      <c r="BZ528" s="90"/>
      <c r="CA528" s="90"/>
      <c r="CB528" s="90"/>
      <c r="CC528" s="90"/>
      <c r="CD528" s="90"/>
      <c r="CE528" s="90"/>
      <c r="CF528" s="90"/>
      <c r="CG528" s="90"/>
      <c r="CH528" s="90"/>
      <c r="CI528" s="90"/>
      <c r="CJ528" s="90"/>
      <c r="CK528" s="90"/>
      <c r="CL528" s="90"/>
      <c r="CM528" s="90"/>
      <c r="CN528" s="90"/>
      <c r="CO528" s="90"/>
      <c r="CP528" s="90"/>
      <c r="CQ528" s="90"/>
      <c r="CR528" s="90"/>
      <c r="CS528" s="90"/>
      <c r="CT528" s="90"/>
      <c r="CU528" s="90"/>
      <c r="CV528" s="90"/>
      <c r="CW528" s="90"/>
    </row>
    <row r="529" ht="16.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  <c r="BO529" s="90"/>
      <c r="BP529" s="90"/>
      <c r="BQ529" s="90"/>
      <c r="BR529" s="90"/>
      <c r="BS529" s="90"/>
      <c r="BT529" s="90"/>
      <c r="BU529" s="90"/>
      <c r="BV529" s="90"/>
      <c r="BW529" s="90"/>
      <c r="BX529" s="90"/>
      <c r="BY529" s="90"/>
      <c r="BZ529" s="90"/>
      <c r="CA529" s="90"/>
      <c r="CB529" s="90"/>
      <c r="CC529" s="90"/>
      <c r="CD529" s="90"/>
      <c r="CE529" s="90"/>
      <c r="CF529" s="90"/>
      <c r="CG529" s="90"/>
      <c r="CH529" s="90"/>
      <c r="CI529" s="90"/>
      <c r="CJ529" s="90"/>
      <c r="CK529" s="90"/>
      <c r="CL529" s="90"/>
      <c r="CM529" s="90"/>
      <c r="CN529" s="90"/>
      <c r="CO529" s="90"/>
      <c r="CP529" s="90"/>
      <c r="CQ529" s="90"/>
      <c r="CR529" s="90"/>
      <c r="CS529" s="90"/>
      <c r="CT529" s="90"/>
      <c r="CU529" s="90"/>
      <c r="CV529" s="90"/>
      <c r="CW529" s="90"/>
    </row>
    <row r="530" ht="16.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0"/>
      <c r="BQ530" s="90"/>
      <c r="BR530" s="90"/>
      <c r="BS530" s="90"/>
      <c r="BT530" s="90"/>
      <c r="BU530" s="90"/>
      <c r="BV530" s="90"/>
      <c r="BW530" s="90"/>
      <c r="BX530" s="90"/>
      <c r="BY530" s="90"/>
      <c r="BZ530" s="90"/>
      <c r="CA530" s="90"/>
      <c r="CB530" s="90"/>
      <c r="CC530" s="90"/>
      <c r="CD530" s="90"/>
      <c r="CE530" s="90"/>
      <c r="CF530" s="90"/>
      <c r="CG530" s="90"/>
      <c r="CH530" s="90"/>
      <c r="CI530" s="90"/>
      <c r="CJ530" s="90"/>
      <c r="CK530" s="90"/>
      <c r="CL530" s="90"/>
      <c r="CM530" s="90"/>
      <c r="CN530" s="90"/>
      <c r="CO530" s="90"/>
      <c r="CP530" s="90"/>
      <c r="CQ530" s="90"/>
      <c r="CR530" s="90"/>
      <c r="CS530" s="90"/>
      <c r="CT530" s="90"/>
      <c r="CU530" s="90"/>
      <c r="CV530" s="90"/>
      <c r="CW530" s="90"/>
    </row>
    <row r="531" ht="16.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90"/>
      <c r="BQ531" s="90"/>
      <c r="BR531" s="90"/>
      <c r="BS531" s="90"/>
      <c r="BT531" s="90"/>
      <c r="BU531" s="90"/>
      <c r="BV531" s="90"/>
      <c r="BW531" s="90"/>
      <c r="BX531" s="90"/>
      <c r="BY531" s="90"/>
      <c r="BZ531" s="90"/>
      <c r="CA531" s="90"/>
      <c r="CB531" s="90"/>
      <c r="CC531" s="90"/>
      <c r="CD531" s="90"/>
      <c r="CE531" s="90"/>
      <c r="CF531" s="90"/>
      <c r="CG531" s="90"/>
      <c r="CH531" s="90"/>
      <c r="CI531" s="90"/>
      <c r="CJ531" s="90"/>
      <c r="CK531" s="90"/>
      <c r="CL531" s="90"/>
      <c r="CM531" s="90"/>
      <c r="CN531" s="90"/>
      <c r="CO531" s="90"/>
      <c r="CP531" s="90"/>
      <c r="CQ531" s="90"/>
      <c r="CR531" s="90"/>
      <c r="CS531" s="90"/>
      <c r="CT531" s="90"/>
      <c r="CU531" s="90"/>
      <c r="CV531" s="90"/>
      <c r="CW531" s="90"/>
    </row>
    <row r="532" ht="16.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0"/>
      <c r="BQ532" s="90"/>
      <c r="BR532" s="90"/>
      <c r="BS532" s="90"/>
      <c r="BT532" s="90"/>
      <c r="BU532" s="90"/>
      <c r="BV532" s="90"/>
      <c r="BW532" s="90"/>
      <c r="BX532" s="90"/>
      <c r="BY532" s="90"/>
      <c r="BZ532" s="90"/>
      <c r="CA532" s="90"/>
      <c r="CB532" s="90"/>
      <c r="CC532" s="90"/>
      <c r="CD532" s="90"/>
      <c r="CE532" s="90"/>
      <c r="CF532" s="90"/>
      <c r="CG532" s="90"/>
      <c r="CH532" s="90"/>
      <c r="CI532" s="90"/>
      <c r="CJ532" s="90"/>
      <c r="CK532" s="90"/>
      <c r="CL532" s="90"/>
      <c r="CM532" s="90"/>
      <c r="CN532" s="90"/>
      <c r="CO532" s="90"/>
      <c r="CP532" s="90"/>
      <c r="CQ532" s="90"/>
      <c r="CR532" s="90"/>
      <c r="CS532" s="90"/>
      <c r="CT532" s="90"/>
      <c r="CU532" s="90"/>
      <c r="CV532" s="90"/>
      <c r="CW532" s="90"/>
    </row>
    <row r="533" ht="16.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  <c r="BO533" s="90"/>
      <c r="BP533" s="90"/>
      <c r="BQ533" s="90"/>
      <c r="BR533" s="90"/>
      <c r="BS533" s="90"/>
      <c r="BT533" s="90"/>
      <c r="BU533" s="90"/>
      <c r="BV533" s="90"/>
      <c r="BW533" s="90"/>
      <c r="BX533" s="90"/>
      <c r="BY533" s="90"/>
      <c r="BZ533" s="90"/>
      <c r="CA533" s="90"/>
      <c r="CB533" s="90"/>
      <c r="CC533" s="90"/>
      <c r="CD533" s="90"/>
      <c r="CE533" s="90"/>
      <c r="CF533" s="90"/>
      <c r="CG533" s="90"/>
      <c r="CH533" s="90"/>
      <c r="CI533" s="90"/>
      <c r="CJ533" s="90"/>
      <c r="CK533" s="90"/>
      <c r="CL533" s="90"/>
      <c r="CM533" s="90"/>
      <c r="CN533" s="90"/>
      <c r="CO533" s="90"/>
      <c r="CP533" s="90"/>
      <c r="CQ533" s="90"/>
      <c r="CR533" s="90"/>
      <c r="CS533" s="90"/>
      <c r="CT533" s="90"/>
      <c r="CU533" s="90"/>
      <c r="CV533" s="90"/>
      <c r="CW533" s="90"/>
    </row>
    <row r="534" ht="16.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0"/>
      <c r="BS534" s="90"/>
      <c r="BT534" s="90"/>
      <c r="BU534" s="90"/>
      <c r="BV534" s="90"/>
      <c r="BW534" s="90"/>
      <c r="BX534" s="90"/>
      <c r="BY534" s="90"/>
      <c r="BZ534" s="90"/>
      <c r="CA534" s="90"/>
      <c r="CB534" s="90"/>
      <c r="CC534" s="90"/>
      <c r="CD534" s="90"/>
      <c r="CE534" s="90"/>
      <c r="CF534" s="90"/>
      <c r="CG534" s="90"/>
      <c r="CH534" s="90"/>
      <c r="CI534" s="90"/>
      <c r="CJ534" s="90"/>
      <c r="CK534" s="90"/>
      <c r="CL534" s="90"/>
      <c r="CM534" s="90"/>
      <c r="CN534" s="90"/>
      <c r="CO534" s="90"/>
      <c r="CP534" s="90"/>
      <c r="CQ534" s="90"/>
      <c r="CR534" s="90"/>
      <c r="CS534" s="90"/>
      <c r="CT534" s="90"/>
      <c r="CU534" s="90"/>
      <c r="CV534" s="90"/>
      <c r="CW534" s="90"/>
    </row>
    <row r="535" ht="16.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  <c r="BO535" s="90"/>
      <c r="BP535" s="90"/>
      <c r="BQ535" s="90"/>
      <c r="BR535" s="90"/>
      <c r="BS535" s="90"/>
      <c r="BT535" s="90"/>
      <c r="BU535" s="90"/>
      <c r="BV535" s="90"/>
      <c r="BW535" s="90"/>
      <c r="BX535" s="90"/>
      <c r="BY535" s="90"/>
      <c r="BZ535" s="90"/>
      <c r="CA535" s="90"/>
      <c r="CB535" s="90"/>
      <c r="CC535" s="90"/>
      <c r="CD535" s="90"/>
      <c r="CE535" s="90"/>
      <c r="CF535" s="90"/>
      <c r="CG535" s="90"/>
      <c r="CH535" s="90"/>
      <c r="CI535" s="90"/>
      <c r="CJ535" s="90"/>
      <c r="CK535" s="90"/>
      <c r="CL535" s="90"/>
      <c r="CM535" s="90"/>
      <c r="CN535" s="90"/>
      <c r="CO535" s="90"/>
      <c r="CP535" s="90"/>
      <c r="CQ535" s="90"/>
      <c r="CR535" s="90"/>
      <c r="CS535" s="90"/>
      <c r="CT535" s="90"/>
      <c r="CU535" s="90"/>
      <c r="CV535" s="90"/>
      <c r="CW535" s="90"/>
    </row>
    <row r="536" ht="16.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0"/>
      <c r="BS536" s="90"/>
      <c r="BT536" s="90"/>
      <c r="BU536" s="90"/>
      <c r="BV536" s="90"/>
      <c r="BW536" s="90"/>
      <c r="BX536" s="90"/>
      <c r="BY536" s="90"/>
      <c r="BZ536" s="90"/>
      <c r="CA536" s="90"/>
      <c r="CB536" s="90"/>
      <c r="CC536" s="90"/>
      <c r="CD536" s="90"/>
      <c r="CE536" s="90"/>
      <c r="CF536" s="90"/>
      <c r="CG536" s="90"/>
      <c r="CH536" s="90"/>
      <c r="CI536" s="90"/>
      <c r="CJ536" s="90"/>
      <c r="CK536" s="90"/>
      <c r="CL536" s="90"/>
      <c r="CM536" s="90"/>
      <c r="CN536" s="90"/>
      <c r="CO536" s="90"/>
      <c r="CP536" s="90"/>
      <c r="CQ536" s="90"/>
      <c r="CR536" s="90"/>
      <c r="CS536" s="90"/>
      <c r="CT536" s="90"/>
      <c r="CU536" s="90"/>
      <c r="CV536" s="90"/>
      <c r="CW536" s="90"/>
    </row>
    <row r="537" ht="16.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90"/>
      <c r="CB537" s="90"/>
      <c r="CC537" s="90"/>
      <c r="CD537" s="90"/>
      <c r="CE537" s="90"/>
      <c r="CF537" s="90"/>
      <c r="CG537" s="90"/>
      <c r="CH537" s="90"/>
      <c r="CI537" s="90"/>
      <c r="CJ537" s="90"/>
      <c r="CK537" s="90"/>
      <c r="CL537" s="90"/>
      <c r="CM537" s="90"/>
      <c r="CN537" s="90"/>
      <c r="CO537" s="90"/>
      <c r="CP537" s="90"/>
      <c r="CQ537" s="90"/>
      <c r="CR537" s="90"/>
      <c r="CS537" s="90"/>
      <c r="CT537" s="90"/>
      <c r="CU537" s="90"/>
      <c r="CV537" s="90"/>
      <c r="CW537" s="90"/>
    </row>
    <row r="538" ht="16.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0"/>
      <c r="BQ538" s="90"/>
      <c r="BR538" s="90"/>
      <c r="BS538" s="90"/>
      <c r="BT538" s="90"/>
      <c r="BU538" s="90"/>
      <c r="BV538" s="90"/>
      <c r="BW538" s="90"/>
      <c r="BX538" s="90"/>
      <c r="BY538" s="90"/>
      <c r="BZ538" s="90"/>
      <c r="CA538" s="90"/>
      <c r="CB538" s="90"/>
      <c r="CC538" s="90"/>
      <c r="CD538" s="90"/>
      <c r="CE538" s="90"/>
      <c r="CF538" s="90"/>
      <c r="CG538" s="90"/>
      <c r="CH538" s="90"/>
      <c r="CI538" s="90"/>
      <c r="CJ538" s="90"/>
      <c r="CK538" s="90"/>
      <c r="CL538" s="90"/>
      <c r="CM538" s="90"/>
      <c r="CN538" s="90"/>
      <c r="CO538" s="90"/>
      <c r="CP538" s="90"/>
      <c r="CQ538" s="90"/>
      <c r="CR538" s="90"/>
      <c r="CS538" s="90"/>
      <c r="CT538" s="90"/>
      <c r="CU538" s="90"/>
      <c r="CV538" s="90"/>
      <c r="CW538" s="90"/>
    </row>
    <row r="539" ht="16.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  <c r="BO539" s="90"/>
      <c r="BP539" s="90"/>
      <c r="BQ539" s="90"/>
      <c r="BR539" s="90"/>
      <c r="BS539" s="90"/>
      <c r="BT539" s="90"/>
      <c r="BU539" s="90"/>
      <c r="BV539" s="90"/>
      <c r="BW539" s="90"/>
      <c r="BX539" s="90"/>
      <c r="BY539" s="90"/>
      <c r="BZ539" s="90"/>
      <c r="CA539" s="90"/>
      <c r="CB539" s="90"/>
      <c r="CC539" s="90"/>
      <c r="CD539" s="90"/>
      <c r="CE539" s="90"/>
      <c r="CF539" s="90"/>
      <c r="CG539" s="90"/>
      <c r="CH539" s="90"/>
      <c r="CI539" s="90"/>
      <c r="CJ539" s="90"/>
      <c r="CK539" s="90"/>
      <c r="CL539" s="90"/>
      <c r="CM539" s="90"/>
      <c r="CN539" s="90"/>
      <c r="CO539" s="90"/>
      <c r="CP539" s="90"/>
      <c r="CQ539" s="90"/>
      <c r="CR539" s="90"/>
      <c r="CS539" s="90"/>
      <c r="CT539" s="90"/>
      <c r="CU539" s="90"/>
      <c r="CV539" s="90"/>
      <c r="CW539" s="90"/>
    </row>
    <row r="540" ht="16.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0"/>
      <c r="BS540" s="90"/>
      <c r="BT540" s="90"/>
      <c r="BU540" s="90"/>
      <c r="BV540" s="90"/>
      <c r="BW540" s="90"/>
      <c r="BX540" s="90"/>
      <c r="BY540" s="90"/>
      <c r="BZ540" s="90"/>
      <c r="CA540" s="90"/>
      <c r="CB540" s="90"/>
      <c r="CC540" s="90"/>
      <c r="CD540" s="90"/>
      <c r="CE540" s="90"/>
      <c r="CF540" s="90"/>
      <c r="CG540" s="90"/>
      <c r="CH540" s="90"/>
      <c r="CI540" s="90"/>
      <c r="CJ540" s="90"/>
      <c r="CK540" s="90"/>
      <c r="CL540" s="90"/>
      <c r="CM540" s="90"/>
      <c r="CN540" s="90"/>
      <c r="CO540" s="90"/>
      <c r="CP540" s="90"/>
      <c r="CQ540" s="90"/>
      <c r="CR540" s="90"/>
      <c r="CS540" s="90"/>
      <c r="CT540" s="90"/>
      <c r="CU540" s="90"/>
      <c r="CV540" s="90"/>
      <c r="CW540" s="90"/>
    </row>
    <row r="541" ht="16.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  <c r="BO541" s="90"/>
      <c r="BP541" s="90"/>
      <c r="BQ541" s="90"/>
      <c r="BR541" s="90"/>
      <c r="BS541" s="90"/>
      <c r="BT541" s="90"/>
      <c r="BU541" s="90"/>
      <c r="BV541" s="90"/>
      <c r="BW541" s="90"/>
      <c r="BX541" s="90"/>
      <c r="BY541" s="90"/>
      <c r="BZ541" s="90"/>
      <c r="CA541" s="90"/>
      <c r="CB541" s="90"/>
      <c r="CC541" s="90"/>
      <c r="CD541" s="90"/>
      <c r="CE541" s="90"/>
      <c r="CF541" s="90"/>
      <c r="CG541" s="90"/>
      <c r="CH541" s="90"/>
      <c r="CI541" s="90"/>
      <c r="CJ541" s="90"/>
      <c r="CK541" s="90"/>
      <c r="CL541" s="90"/>
      <c r="CM541" s="90"/>
      <c r="CN541" s="90"/>
      <c r="CO541" s="90"/>
      <c r="CP541" s="90"/>
      <c r="CQ541" s="90"/>
      <c r="CR541" s="90"/>
      <c r="CS541" s="90"/>
      <c r="CT541" s="90"/>
      <c r="CU541" s="90"/>
      <c r="CV541" s="90"/>
      <c r="CW541" s="90"/>
    </row>
    <row r="542" ht="16.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0"/>
      <c r="BQ542" s="90"/>
      <c r="BR542" s="90"/>
      <c r="BS542" s="90"/>
      <c r="BT542" s="90"/>
      <c r="BU542" s="90"/>
      <c r="BV542" s="90"/>
      <c r="BW542" s="90"/>
      <c r="BX542" s="90"/>
      <c r="BY542" s="90"/>
      <c r="BZ542" s="90"/>
      <c r="CA542" s="90"/>
      <c r="CB542" s="90"/>
      <c r="CC542" s="90"/>
      <c r="CD542" s="90"/>
      <c r="CE542" s="90"/>
      <c r="CF542" s="90"/>
      <c r="CG542" s="90"/>
      <c r="CH542" s="90"/>
      <c r="CI542" s="90"/>
      <c r="CJ542" s="90"/>
      <c r="CK542" s="90"/>
      <c r="CL542" s="90"/>
      <c r="CM542" s="90"/>
      <c r="CN542" s="90"/>
      <c r="CO542" s="90"/>
      <c r="CP542" s="90"/>
      <c r="CQ542" s="90"/>
      <c r="CR542" s="90"/>
      <c r="CS542" s="90"/>
      <c r="CT542" s="90"/>
      <c r="CU542" s="90"/>
      <c r="CV542" s="90"/>
      <c r="CW542" s="90"/>
    </row>
    <row r="543" ht="16.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90"/>
      <c r="CB543" s="90"/>
      <c r="CC543" s="90"/>
      <c r="CD543" s="90"/>
      <c r="CE543" s="90"/>
      <c r="CF543" s="90"/>
      <c r="CG543" s="90"/>
      <c r="CH543" s="90"/>
      <c r="CI543" s="90"/>
      <c r="CJ543" s="90"/>
      <c r="CK543" s="90"/>
      <c r="CL543" s="90"/>
      <c r="CM543" s="90"/>
      <c r="CN543" s="90"/>
      <c r="CO543" s="90"/>
      <c r="CP543" s="90"/>
      <c r="CQ543" s="90"/>
      <c r="CR543" s="90"/>
      <c r="CS543" s="90"/>
      <c r="CT543" s="90"/>
      <c r="CU543" s="90"/>
      <c r="CV543" s="90"/>
      <c r="CW543" s="90"/>
    </row>
    <row r="544" ht="16.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0"/>
      <c r="BQ544" s="90"/>
      <c r="BR544" s="90"/>
      <c r="BS544" s="90"/>
      <c r="BT544" s="90"/>
      <c r="BU544" s="90"/>
      <c r="BV544" s="90"/>
      <c r="BW544" s="90"/>
      <c r="BX544" s="90"/>
      <c r="BY544" s="90"/>
      <c r="BZ544" s="90"/>
      <c r="CA544" s="90"/>
      <c r="CB544" s="90"/>
      <c r="CC544" s="90"/>
      <c r="CD544" s="90"/>
      <c r="CE544" s="90"/>
      <c r="CF544" s="90"/>
      <c r="CG544" s="90"/>
      <c r="CH544" s="90"/>
      <c r="CI544" s="90"/>
      <c r="CJ544" s="90"/>
      <c r="CK544" s="90"/>
      <c r="CL544" s="90"/>
      <c r="CM544" s="90"/>
      <c r="CN544" s="90"/>
      <c r="CO544" s="90"/>
      <c r="CP544" s="90"/>
      <c r="CQ544" s="90"/>
      <c r="CR544" s="90"/>
      <c r="CS544" s="90"/>
      <c r="CT544" s="90"/>
      <c r="CU544" s="90"/>
      <c r="CV544" s="90"/>
      <c r="CW544" s="90"/>
    </row>
    <row r="545" ht="16.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  <c r="BO545" s="90"/>
      <c r="BP545" s="90"/>
      <c r="BQ545" s="90"/>
      <c r="BR545" s="90"/>
      <c r="BS545" s="90"/>
      <c r="BT545" s="90"/>
      <c r="BU545" s="90"/>
      <c r="BV545" s="90"/>
      <c r="BW545" s="90"/>
      <c r="BX545" s="90"/>
      <c r="BY545" s="90"/>
      <c r="BZ545" s="90"/>
      <c r="CA545" s="90"/>
      <c r="CB545" s="90"/>
      <c r="CC545" s="90"/>
      <c r="CD545" s="90"/>
      <c r="CE545" s="90"/>
      <c r="CF545" s="90"/>
      <c r="CG545" s="90"/>
      <c r="CH545" s="90"/>
      <c r="CI545" s="90"/>
      <c r="CJ545" s="90"/>
      <c r="CK545" s="90"/>
      <c r="CL545" s="90"/>
      <c r="CM545" s="90"/>
      <c r="CN545" s="90"/>
      <c r="CO545" s="90"/>
      <c r="CP545" s="90"/>
      <c r="CQ545" s="90"/>
      <c r="CR545" s="90"/>
      <c r="CS545" s="90"/>
      <c r="CT545" s="90"/>
      <c r="CU545" s="90"/>
      <c r="CV545" s="90"/>
      <c r="CW545" s="90"/>
    </row>
    <row r="546" ht="16.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0"/>
      <c r="BS546" s="90"/>
      <c r="BT546" s="90"/>
      <c r="BU546" s="90"/>
      <c r="BV546" s="90"/>
      <c r="BW546" s="90"/>
      <c r="BX546" s="90"/>
      <c r="BY546" s="90"/>
      <c r="BZ546" s="90"/>
      <c r="CA546" s="90"/>
      <c r="CB546" s="90"/>
      <c r="CC546" s="90"/>
      <c r="CD546" s="90"/>
      <c r="CE546" s="90"/>
      <c r="CF546" s="90"/>
      <c r="CG546" s="90"/>
      <c r="CH546" s="90"/>
      <c r="CI546" s="90"/>
      <c r="CJ546" s="90"/>
      <c r="CK546" s="90"/>
      <c r="CL546" s="90"/>
      <c r="CM546" s="90"/>
      <c r="CN546" s="90"/>
      <c r="CO546" s="90"/>
      <c r="CP546" s="90"/>
      <c r="CQ546" s="90"/>
      <c r="CR546" s="90"/>
      <c r="CS546" s="90"/>
      <c r="CT546" s="90"/>
      <c r="CU546" s="90"/>
      <c r="CV546" s="90"/>
      <c r="CW546" s="90"/>
    </row>
    <row r="547" ht="16.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  <c r="BO547" s="90"/>
      <c r="BP547" s="90"/>
      <c r="BQ547" s="90"/>
      <c r="BR547" s="90"/>
      <c r="BS547" s="90"/>
      <c r="BT547" s="90"/>
      <c r="BU547" s="90"/>
      <c r="BV547" s="90"/>
      <c r="BW547" s="90"/>
      <c r="BX547" s="90"/>
      <c r="BY547" s="90"/>
      <c r="BZ547" s="90"/>
      <c r="CA547" s="90"/>
      <c r="CB547" s="90"/>
      <c r="CC547" s="90"/>
      <c r="CD547" s="90"/>
      <c r="CE547" s="90"/>
      <c r="CF547" s="90"/>
      <c r="CG547" s="90"/>
      <c r="CH547" s="90"/>
      <c r="CI547" s="90"/>
      <c r="CJ547" s="90"/>
      <c r="CK547" s="90"/>
      <c r="CL547" s="90"/>
      <c r="CM547" s="90"/>
      <c r="CN547" s="90"/>
      <c r="CO547" s="90"/>
      <c r="CP547" s="90"/>
      <c r="CQ547" s="90"/>
      <c r="CR547" s="90"/>
      <c r="CS547" s="90"/>
      <c r="CT547" s="90"/>
      <c r="CU547" s="90"/>
      <c r="CV547" s="90"/>
      <c r="CW547" s="90"/>
    </row>
    <row r="548" ht="16.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0"/>
      <c r="BQ548" s="90"/>
      <c r="BR548" s="90"/>
      <c r="BS548" s="90"/>
      <c r="BT548" s="90"/>
      <c r="BU548" s="90"/>
      <c r="BV548" s="90"/>
      <c r="BW548" s="90"/>
      <c r="BX548" s="90"/>
      <c r="BY548" s="90"/>
      <c r="BZ548" s="90"/>
      <c r="CA548" s="90"/>
      <c r="CB548" s="90"/>
      <c r="CC548" s="90"/>
      <c r="CD548" s="90"/>
      <c r="CE548" s="90"/>
      <c r="CF548" s="90"/>
      <c r="CG548" s="90"/>
      <c r="CH548" s="90"/>
      <c r="CI548" s="90"/>
      <c r="CJ548" s="90"/>
      <c r="CK548" s="90"/>
      <c r="CL548" s="90"/>
      <c r="CM548" s="90"/>
      <c r="CN548" s="90"/>
      <c r="CO548" s="90"/>
      <c r="CP548" s="90"/>
      <c r="CQ548" s="90"/>
      <c r="CR548" s="90"/>
      <c r="CS548" s="90"/>
      <c r="CT548" s="90"/>
      <c r="CU548" s="90"/>
      <c r="CV548" s="90"/>
      <c r="CW548" s="90"/>
    </row>
    <row r="549" ht="16.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  <c r="CN549" s="90"/>
      <c r="CO549" s="90"/>
      <c r="CP549" s="90"/>
      <c r="CQ549" s="90"/>
      <c r="CR549" s="90"/>
      <c r="CS549" s="90"/>
      <c r="CT549" s="90"/>
      <c r="CU549" s="90"/>
      <c r="CV549" s="90"/>
      <c r="CW549" s="90"/>
    </row>
    <row r="550" ht="16.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0"/>
      <c r="BQ550" s="90"/>
      <c r="BR550" s="90"/>
      <c r="BS550" s="90"/>
      <c r="BT550" s="90"/>
      <c r="BU550" s="90"/>
      <c r="BV550" s="90"/>
      <c r="BW550" s="90"/>
      <c r="BX550" s="90"/>
      <c r="BY550" s="90"/>
      <c r="BZ550" s="90"/>
      <c r="CA550" s="90"/>
      <c r="CB550" s="90"/>
      <c r="CC550" s="90"/>
      <c r="CD550" s="90"/>
      <c r="CE550" s="90"/>
      <c r="CF550" s="90"/>
      <c r="CG550" s="90"/>
      <c r="CH550" s="90"/>
      <c r="CI550" s="90"/>
      <c r="CJ550" s="90"/>
      <c r="CK550" s="90"/>
      <c r="CL550" s="90"/>
      <c r="CM550" s="90"/>
      <c r="CN550" s="90"/>
      <c r="CO550" s="90"/>
      <c r="CP550" s="90"/>
      <c r="CQ550" s="90"/>
      <c r="CR550" s="90"/>
      <c r="CS550" s="90"/>
      <c r="CT550" s="90"/>
      <c r="CU550" s="90"/>
      <c r="CV550" s="90"/>
      <c r="CW550" s="90"/>
    </row>
    <row r="551" ht="16.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  <c r="BO551" s="90"/>
      <c r="BP551" s="90"/>
      <c r="BQ551" s="90"/>
      <c r="BR551" s="90"/>
      <c r="BS551" s="90"/>
      <c r="BT551" s="90"/>
      <c r="BU551" s="90"/>
      <c r="BV551" s="90"/>
      <c r="BW551" s="90"/>
      <c r="BX551" s="90"/>
      <c r="BY551" s="90"/>
      <c r="BZ551" s="90"/>
      <c r="CA551" s="90"/>
      <c r="CB551" s="90"/>
      <c r="CC551" s="90"/>
      <c r="CD551" s="90"/>
      <c r="CE551" s="90"/>
      <c r="CF551" s="90"/>
      <c r="CG551" s="90"/>
      <c r="CH551" s="90"/>
      <c r="CI551" s="90"/>
      <c r="CJ551" s="90"/>
      <c r="CK551" s="90"/>
      <c r="CL551" s="90"/>
      <c r="CM551" s="90"/>
      <c r="CN551" s="90"/>
      <c r="CO551" s="90"/>
      <c r="CP551" s="90"/>
      <c r="CQ551" s="90"/>
      <c r="CR551" s="90"/>
      <c r="CS551" s="90"/>
      <c r="CT551" s="90"/>
      <c r="CU551" s="90"/>
      <c r="CV551" s="90"/>
      <c r="CW551" s="90"/>
    </row>
    <row r="552" ht="16.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0"/>
      <c r="BQ552" s="90"/>
      <c r="BR552" s="90"/>
      <c r="BS552" s="90"/>
      <c r="BT552" s="90"/>
      <c r="BU552" s="90"/>
      <c r="BV552" s="90"/>
      <c r="BW552" s="90"/>
      <c r="BX552" s="90"/>
      <c r="BY552" s="90"/>
      <c r="BZ552" s="90"/>
      <c r="CA552" s="90"/>
      <c r="CB552" s="90"/>
      <c r="CC552" s="90"/>
      <c r="CD552" s="90"/>
      <c r="CE552" s="90"/>
      <c r="CF552" s="90"/>
      <c r="CG552" s="90"/>
      <c r="CH552" s="90"/>
      <c r="CI552" s="90"/>
      <c r="CJ552" s="90"/>
      <c r="CK552" s="90"/>
      <c r="CL552" s="90"/>
      <c r="CM552" s="90"/>
      <c r="CN552" s="90"/>
      <c r="CO552" s="90"/>
      <c r="CP552" s="90"/>
      <c r="CQ552" s="90"/>
      <c r="CR552" s="90"/>
      <c r="CS552" s="90"/>
      <c r="CT552" s="90"/>
      <c r="CU552" s="90"/>
      <c r="CV552" s="90"/>
      <c r="CW552" s="90"/>
    </row>
    <row r="553" ht="16.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  <c r="BO553" s="90"/>
      <c r="BP553" s="90"/>
      <c r="BQ553" s="90"/>
      <c r="BR553" s="90"/>
      <c r="BS553" s="90"/>
      <c r="BT553" s="90"/>
      <c r="BU553" s="90"/>
      <c r="BV553" s="90"/>
      <c r="BW553" s="90"/>
      <c r="BX553" s="90"/>
      <c r="BY553" s="90"/>
      <c r="BZ553" s="90"/>
      <c r="CA553" s="90"/>
      <c r="CB553" s="90"/>
      <c r="CC553" s="90"/>
      <c r="CD553" s="90"/>
      <c r="CE553" s="90"/>
      <c r="CF553" s="90"/>
      <c r="CG553" s="90"/>
      <c r="CH553" s="90"/>
      <c r="CI553" s="90"/>
      <c r="CJ553" s="90"/>
      <c r="CK553" s="90"/>
      <c r="CL553" s="90"/>
      <c r="CM553" s="90"/>
      <c r="CN553" s="90"/>
      <c r="CO553" s="90"/>
      <c r="CP553" s="90"/>
      <c r="CQ553" s="90"/>
      <c r="CR553" s="90"/>
      <c r="CS553" s="90"/>
      <c r="CT553" s="90"/>
      <c r="CU553" s="90"/>
      <c r="CV553" s="90"/>
      <c r="CW553" s="90"/>
    </row>
    <row r="554" ht="16.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0"/>
      <c r="BQ554" s="90"/>
      <c r="BR554" s="90"/>
      <c r="BS554" s="90"/>
      <c r="BT554" s="90"/>
      <c r="BU554" s="90"/>
      <c r="BV554" s="90"/>
      <c r="BW554" s="90"/>
      <c r="BX554" s="90"/>
      <c r="BY554" s="90"/>
      <c r="BZ554" s="90"/>
      <c r="CA554" s="90"/>
      <c r="CB554" s="90"/>
      <c r="CC554" s="90"/>
      <c r="CD554" s="90"/>
      <c r="CE554" s="90"/>
      <c r="CF554" s="90"/>
      <c r="CG554" s="90"/>
      <c r="CH554" s="90"/>
      <c r="CI554" s="90"/>
      <c r="CJ554" s="90"/>
      <c r="CK554" s="90"/>
      <c r="CL554" s="90"/>
      <c r="CM554" s="90"/>
      <c r="CN554" s="90"/>
      <c r="CO554" s="90"/>
      <c r="CP554" s="90"/>
      <c r="CQ554" s="90"/>
      <c r="CR554" s="90"/>
      <c r="CS554" s="90"/>
      <c r="CT554" s="90"/>
      <c r="CU554" s="90"/>
      <c r="CV554" s="90"/>
      <c r="CW554" s="90"/>
    </row>
    <row r="555" ht="16.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  <c r="BO555" s="90"/>
      <c r="BP555" s="90"/>
      <c r="BQ555" s="90"/>
      <c r="BR555" s="90"/>
      <c r="BS555" s="90"/>
      <c r="BT555" s="90"/>
      <c r="BU555" s="90"/>
      <c r="BV555" s="90"/>
      <c r="BW555" s="90"/>
      <c r="BX555" s="90"/>
      <c r="BY555" s="90"/>
      <c r="BZ555" s="90"/>
      <c r="CA555" s="90"/>
      <c r="CB555" s="90"/>
      <c r="CC555" s="90"/>
      <c r="CD555" s="90"/>
      <c r="CE555" s="90"/>
      <c r="CF555" s="90"/>
      <c r="CG555" s="90"/>
      <c r="CH555" s="90"/>
      <c r="CI555" s="90"/>
      <c r="CJ555" s="90"/>
      <c r="CK555" s="90"/>
      <c r="CL555" s="90"/>
      <c r="CM555" s="90"/>
      <c r="CN555" s="90"/>
      <c r="CO555" s="90"/>
      <c r="CP555" s="90"/>
      <c r="CQ555" s="90"/>
      <c r="CR555" s="90"/>
      <c r="CS555" s="90"/>
      <c r="CT555" s="90"/>
      <c r="CU555" s="90"/>
      <c r="CV555" s="90"/>
      <c r="CW555" s="90"/>
    </row>
    <row r="556" ht="16.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0"/>
      <c r="BQ556" s="90"/>
      <c r="BR556" s="90"/>
      <c r="BS556" s="90"/>
      <c r="BT556" s="90"/>
      <c r="BU556" s="90"/>
      <c r="BV556" s="90"/>
      <c r="BW556" s="90"/>
      <c r="BX556" s="90"/>
      <c r="BY556" s="90"/>
      <c r="BZ556" s="90"/>
      <c r="CA556" s="90"/>
      <c r="CB556" s="90"/>
      <c r="CC556" s="90"/>
      <c r="CD556" s="90"/>
      <c r="CE556" s="90"/>
      <c r="CF556" s="90"/>
      <c r="CG556" s="90"/>
      <c r="CH556" s="90"/>
      <c r="CI556" s="90"/>
      <c r="CJ556" s="90"/>
      <c r="CK556" s="90"/>
      <c r="CL556" s="90"/>
      <c r="CM556" s="90"/>
      <c r="CN556" s="90"/>
      <c r="CO556" s="90"/>
      <c r="CP556" s="90"/>
      <c r="CQ556" s="90"/>
      <c r="CR556" s="90"/>
      <c r="CS556" s="90"/>
      <c r="CT556" s="90"/>
      <c r="CU556" s="90"/>
      <c r="CV556" s="90"/>
      <c r="CW556" s="90"/>
    </row>
    <row r="557" ht="16.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  <c r="BO557" s="90"/>
      <c r="BP557" s="90"/>
      <c r="BQ557" s="90"/>
      <c r="BR557" s="90"/>
      <c r="BS557" s="90"/>
      <c r="BT557" s="90"/>
      <c r="BU557" s="90"/>
      <c r="BV557" s="90"/>
      <c r="BW557" s="90"/>
      <c r="BX557" s="90"/>
      <c r="BY557" s="90"/>
      <c r="BZ557" s="90"/>
      <c r="CA557" s="90"/>
      <c r="CB557" s="90"/>
      <c r="CC557" s="90"/>
      <c r="CD557" s="90"/>
      <c r="CE557" s="90"/>
      <c r="CF557" s="90"/>
      <c r="CG557" s="90"/>
      <c r="CH557" s="90"/>
      <c r="CI557" s="90"/>
      <c r="CJ557" s="90"/>
      <c r="CK557" s="90"/>
      <c r="CL557" s="90"/>
      <c r="CM557" s="90"/>
      <c r="CN557" s="90"/>
      <c r="CO557" s="90"/>
      <c r="CP557" s="90"/>
      <c r="CQ557" s="90"/>
      <c r="CR557" s="90"/>
      <c r="CS557" s="90"/>
      <c r="CT557" s="90"/>
      <c r="CU557" s="90"/>
      <c r="CV557" s="90"/>
      <c r="CW557" s="90"/>
    </row>
    <row r="558" ht="16.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0"/>
      <c r="BQ558" s="90"/>
      <c r="BR558" s="90"/>
      <c r="BS558" s="90"/>
      <c r="BT558" s="90"/>
      <c r="BU558" s="90"/>
      <c r="BV558" s="90"/>
      <c r="BW558" s="90"/>
      <c r="BX558" s="90"/>
      <c r="BY558" s="90"/>
      <c r="BZ558" s="90"/>
      <c r="CA558" s="90"/>
      <c r="CB558" s="90"/>
      <c r="CC558" s="90"/>
      <c r="CD558" s="90"/>
      <c r="CE558" s="90"/>
      <c r="CF558" s="90"/>
      <c r="CG558" s="90"/>
      <c r="CH558" s="90"/>
      <c r="CI558" s="90"/>
      <c r="CJ558" s="90"/>
      <c r="CK558" s="90"/>
      <c r="CL558" s="90"/>
      <c r="CM558" s="90"/>
      <c r="CN558" s="90"/>
      <c r="CO558" s="90"/>
      <c r="CP558" s="90"/>
      <c r="CQ558" s="90"/>
      <c r="CR558" s="90"/>
      <c r="CS558" s="90"/>
      <c r="CT558" s="90"/>
      <c r="CU558" s="90"/>
      <c r="CV558" s="90"/>
      <c r="CW558" s="90"/>
    </row>
    <row r="559" ht="16.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  <c r="BO559" s="90"/>
      <c r="BP559" s="90"/>
      <c r="BQ559" s="90"/>
      <c r="BR559" s="90"/>
      <c r="BS559" s="90"/>
      <c r="BT559" s="90"/>
      <c r="BU559" s="90"/>
      <c r="BV559" s="90"/>
      <c r="BW559" s="90"/>
      <c r="BX559" s="90"/>
      <c r="BY559" s="90"/>
      <c r="BZ559" s="90"/>
      <c r="CA559" s="90"/>
      <c r="CB559" s="90"/>
      <c r="CC559" s="90"/>
      <c r="CD559" s="90"/>
      <c r="CE559" s="90"/>
      <c r="CF559" s="90"/>
      <c r="CG559" s="90"/>
      <c r="CH559" s="90"/>
      <c r="CI559" s="90"/>
      <c r="CJ559" s="90"/>
      <c r="CK559" s="90"/>
      <c r="CL559" s="90"/>
      <c r="CM559" s="90"/>
      <c r="CN559" s="90"/>
      <c r="CO559" s="90"/>
      <c r="CP559" s="90"/>
      <c r="CQ559" s="90"/>
      <c r="CR559" s="90"/>
      <c r="CS559" s="90"/>
      <c r="CT559" s="90"/>
      <c r="CU559" s="90"/>
      <c r="CV559" s="90"/>
      <c r="CW559" s="90"/>
    </row>
    <row r="560" ht="16.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0"/>
      <c r="BQ560" s="90"/>
      <c r="BR560" s="90"/>
      <c r="BS560" s="90"/>
      <c r="BT560" s="90"/>
      <c r="BU560" s="90"/>
      <c r="BV560" s="90"/>
      <c r="BW560" s="90"/>
      <c r="BX560" s="90"/>
      <c r="BY560" s="90"/>
      <c r="BZ560" s="90"/>
      <c r="CA560" s="90"/>
      <c r="CB560" s="90"/>
      <c r="CC560" s="90"/>
      <c r="CD560" s="90"/>
      <c r="CE560" s="90"/>
      <c r="CF560" s="90"/>
      <c r="CG560" s="90"/>
      <c r="CH560" s="90"/>
      <c r="CI560" s="90"/>
      <c r="CJ560" s="90"/>
      <c r="CK560" s="90"/>
      <c r="CL560" s="90"/>
      <c r="CM560" s="90"/>
      <c r="CN560" s="90"/>
      <c r="CO560" s="90"/>
      <c r="CP560" s="90"/>
      <c r="CQ560" s="90"/>
      <c r="CR560" s="90"/>
      <c r="CS560" s="90"/>
      <c r="CT560" s="90"/>
      <c r="CU560" s="90"/>
      <c r="CV560" s="90"/>
      <c r="CW560" s="90"/>
    </row>
    <row r="561" ht="16.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90"/>
      <c r="BQ561" s="90"/>
      <c r="BR561" s="90"/>
      <c r="BS561" s="90"/>
      <c r="BT561" s="90"/>
      <c r="BU561" s="90"/>
      <c r="BV561" s="90"/>
      <c r="BW561" s="90"/>
      <c r="BX561" s="90"/>
      <c r="BY561" s="90"/>
      <c r="BZ561" s="90"/>
      <c r="CA561" s="90"/>
      <c r="CB561" s="90"/>
      <c r="CC561" s="90"/>
      <c r="CD561" s="90"/>
      <c r="CE561" s="90"/>
      <c r="CF561" s="90"/>
      <c r="CG561" s="90"/>
      <c r="CH561" s="90"/>
      <c r="CI561" s="90"/>
      <c r="CJ561" s="90"/>
      <c r="CK561" s="90"/>
      <c r="CL561" s="90"/>
      <c r="CM561" s="90"/>
      <c r="CN561" s="90"/>
      <c r="CO561" s="90"/>
      <c r="CP561" s="90"/>
      <c r="CQ561" s="90"/>
      <c r="CR561" s="90"/>
      <c r="CS561" s="90"/>
      <c r="CT561" s="90"/>
      <c r="CU561" s="90"/>
      <c r="CV561" s="90"/>
      <c r="CW561" s="90"/>
    </row>
    <row r="562" ht="16.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0"/>
      <c r="BQ562" s="90"/>
      <c r="BR562" s="90"/>
      <c r="BS562" s="90"/>
      <c r="BT562" s="90"/>
      <c r="BU562" s="90"/>
      <c r="BV562" s="90"/>
      <c r="BW562" s="90"/>
      <c r="BX562" s="90"/>
      <c r="BY562" s="90"/>
      <c r="BZ562" s="90"/>
      <c r="CA562" s="90"/>
      <c r="CB562" s="90"/>
      <c r="CC562" s="90"/>
      <c r="CD562" s="90"/>
      <c r="CE562" s="90"/>
      <c r="CF562" s="90"/>
      <c r="CG562" s="90"/>
      <c r="CH562" s="90"/>
      <c r="CI562" s="90"/>
      <c r="CJ562" s="90"/>
      <c r="CK562" s="90"/>
      <c r="CL562" s="90"/>
      <c r="CM562" s="90"/>
      <c r="CN562" s="90"/>
      <c r="CO562" s="90"/>
      <c r="CP562" s="90"/>
      <c r="CQ562" s="90"/>
      <c r="CR562" s="90"/>
      <c r="CS562" s="90"/>
      <c r="CT562" s="90"/>
      <c r="CU562" s="90"/>
      <c r="CV562" s="90"/>
      <c r="CW562" s="90"/>
    </row>
    <row r="563" ht="16.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  <c r="BO563" s="90"/>
      <c r="BP563" s="90"/>
      <c r="BQ563" s="90"/>
      <c r="BR563" s="90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  <c r="CN563" s="90"/>
      <c r="CO563" s="90"/>
      <c r="CP563" s="90"/>
      <c r="CQ563" s="90"/>
      <c r="CR563" s="90"/>
      <c r="CS563" s="90"/>
      <c r="CT563" s="90"/>
      <c r="CU563" s="90"/>
      <c r="CV563" s="90"/>
      <c r="CW563" s="90"/>
    </row>
    <row r="564" ht="16.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0"/>
      <c r="BQ564" s="90"/>
      <c r="BR564" s="90"/>
      <c r="BS564" s="90"/>
      <c r="BT564" s="90"/>
      <c r="BU564" s="90"/>
      <c r="BV564" s="90"/>
      <c r="BW564" s="90"/>
      <c r="BX564" s="90"/>
      <c r="BY564" s="90"/>
      <c r="BZ564" s="90"/>
      <c r="CA564" s="90"/>
      <c r="CB564" s="90"/>
      <c r="CC564" s="90"/>
      <c r="CD564" s="90"/>
      <c r="CE564" s="90"/>
      <c r="CF564" s="90"/>
      <c r="CG564" s="90"/>
      <c r="CH564" s="90"/>
      <c r="CI564" s="90"/>
      <c r="CJ564" s="90"/>
      <c r="CK564" s="90"/>
      <c r="CL564" s="90"/>
      <c r="CM564" s="90"/>
      <c r="CN564" s="90"/>
      <c r="CO564" s="90"/>
      <c r="CP564" s="90"/>
      <c r="CQ564" s="90"/>
      <c r="CR564" s="90"/>
      <c r="CS564" s="90"/>
      <c r="CT564" s="90"/>
      <c r="CU564" s="90"/>
      <c r="CV564" s="90"/>
      <c r="CW564" s="90"/>
    </row>
    <row r="565" ht="16.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  <c r="BO565" s="90"/>
      <c r="BP565" s="90"/>
      <c r="BQ565" s="90"/>
      <c r="BR565" s="90"/>
      <c r="BS565" s="90"/>
      <c r="BT565" s="90"/>
      <c r="BU565" s="90"/>
      <c r="BV565" s="90"/>
      <c r="BW565" s="90"/>
      <c r="BX565" s="90"/>
      <c r="BY565" s="90"/>
      <c r="BZ565" s="90"/>
      <c r="CA565" s="90"/>
      <c r="CB565" s="90"/>
      <c r="CC565" s="90"/>
      <c r="CD565" s="90"/>
      <c r="CE565" s="90"/>
      <c r="CF565" s="90"/>
      <c r="CG565" s="90"/>
      <c r="CH565" s="90"/>
      <c r="CI565" s="90"/>
      <c r="CJ565" s="90"/>
      <c r="CK565" s="90"/>
      <c r="CL565" s="90"/>
      <c r="CM565" s="90"/>
      <c r="CN565" s="90"/>
      <c r="CO565" s="90"/>
      <c r="CP565" s="90"/>
      <c r="CQ565" s="90"/>
      <c r="CR565" s="90"/>
      <c r="CS565" s="90"/>
      <c r="CT565" s="90"/>
      <c r="CU565" s="90"/>
      <c r="CV565" s="90"/>
      <c r="CW565" s="90"/>
    </row>
    <row r="566" ht="16.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0"/>
      <c r="BQ566" s="90"/>
      <c r="BR566" s="90"/>
      <c r="BS566" s="90"/>
      <c r="BT566" s="90"/>
      <c r="BU566" s="90"/>
      <c r="BV566" s="90"/>
      <c r="BW566" s="90"/>
      <c r="BX566" s="90"/>
      <c r="BY566" s="90"/>
      <c r="BZ566" s="90"/>
      <c r="CA566" s="90"/>
      <c r="CB566" s="90"/>
      <c r="CC566" s="90"/>
      <c r="CD566" s="90"/>
      <c r="CE566" s="90"/>
      <c r="CF566" s="90"/>
      <c r="CG566" s="90"/>
      <c r="CH566" s="90"/>
      <c r="CI566" s="90"/>
      <c r="CJ566" s="90"/>
      <c r="CK566" s="90"/>
      <c r="CL566" s="90"/>
      <c r="CM566" s="90"/>
      <c r="CN566" s="90"/>
      <c r="CO566" s="90"/>
      <c r="CP566" s="90"/>
      <c r="CQ566" s="90"/>
      <c r="CR566" s="90"/>
      <c r="CS566" s="90"/>
      <c r="CT566" s="90"/>
      <c r="CU566" s="90"/>
      <c r="CV566" s="90"/>
      <c r="CW566" s="90"/>
    </row>
    <row r="567" ht="16.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  <c r="BO567" s="90"/>
      <c r="BP567" s="90"/>
      <c r="BQ567" s="90"/>
      <c r="BR567" s="90"/>
      <c r="BS567" s="90"/>
      <c r="BT567" s="90"/>
      <c r="BU567" s="90"/>
      <c r="BV567" s="90"/>
      <c r="BW567" s="90"/>
      <c r="BX567" s="90"/>
      <c r="BY567" s="90"/>
      <c r="BZ567" s="90"/>
      <c r="CA567" s="90"/>
      <c r="CB567" s="90"/>
      <c r="CC567" s="90"/>
      <c r="CD567" s="90"/>
      <c r="CE567" s="90"/>
      <c r="CF567" s="90"/>
      <c r="CG567" s="90"/>
      <c r="CH567" s="90"/>
      <c r="CI567" s="90"/>
      <c r="CJ567" s="90"/>
      <c r="CK567" s="90"/>
      <c r="CL567" s="90"/>
      <c r="CM567" s="90"/>
      <c r="CN567" s="90"/>
      <c r="CO567" s="90"/>
      <c r="CP567" s="90"/>
      <c r="CQ567" s="90"/>
      <c r="CR567" s="90"/>
      <c r="CS567" s="90"/>
      <c r="CT567" s="90"/>
      <c r="CU567" s="90"/>
      <c r="CV567" s="90"/>
      <c r="CW567" s="90"/>
    </row>
    <row r="568" ht="16.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0"/>
      <c r="BQ568" s="90"/>
      <c r="BR568" s="90"/>
      <c r="BS568" s="90"/>
      <c r="BT568" s="90"/>
      <c r="BU568" s="90"/>
      <c r="BV568" s="90"/>
      <c r="BW568" s="90"/>
      <c r="BX568" s="90"/>
      <c r="BY568" s="90"/>
      <c r="BZ568" s="90"/>
      <c r="CA568" s="90"/>
      <c r="CB568" s="90"/>
      <c r="CC568" s="90"/>
      <c r="CD568" s="90"/>
      <c r="CE568" s="90"/>
      <c r="CF568" s="90"/>
      <c r="CG568" s="90"/>
      <c r="CH568" s="90"/>
      <c r="CI568" s="90"/>
      <c r="CJ568" s="90"/>
      <c r="CK568" s="90"/>
      <c r="CL568" s="90"/>
      <c r="CM568" s="90"/>
      <c r="CN568" s="90"/>
      <c r="CO568" s="90"/>
      <c r="CP568" s="90"/>
      <c r="CQ568" s="90"/>
      <c r="CR568" s="90"/>
      <c r="CS568" s="90"/>
      <c r="CT568" s="90"/>
      <c r="CU568" s="90"/>
      <c r="CV568" s="90"/>
      <c r="CW568" s="90"/>
    </row>
    <row r="569" ht="16.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  <c r="BO569" s="90"/>
      <c r="BP569" s="90"/>
      <c r="BQ569" s="90"/>
      <c r="BR569" s="90"/>
      <c r="BS569" s="90"/>
      <c r="BT569" s="90"/>
      <c r="BU569" s="90"/>
      <c r="BV569" s="90"/>
      <c r="BW569" s="90"/>
      <c r="BX569" s="90"/>
      <c r="BY569" s="90"/>
      <c r="BZ569" s="90"/>
      <c r="CA569" s="90"/>
      <c r="CB569" s="90"/>
      <c r="CC569" s="90"/>
      <c r="CD569" s="90"/>
      <c r="CE569" s="90"/>
      <c r="CF569" s="90"/>
      <c r="CG569" s="90"/>
      <c r="CH569" s="90"/>
      <c r="CI569" s="90"/>
      <c r="CJ569" s="90"/>
      <c r="CK569" s="90"/>
      <c r="CL569" s="90"/>
      <c r="CM569" s="90"/>
      <c r="CN569" s="90"/>
      <c r="CO569" s="90"/>
      <c r="CP569" s="90"/>
      <c r="CQ569" s="90"/>
      <c r="CR569" s="90"/>
      <c r="CS569" s="90"/>
      <c r="CT569" s="90"/>
      <c r="CU569" s="90"/>
      <c r="CV569" s="90"/>
      <c r="CW569" s="90"/>
    </row>
    <row r="570" ht="16.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0"/>
      <c r="BQ570" s="90"/>
      <c r="BR570" s="90"/>
      <c r="BS570" s="90"/>
      <c r="BT570" s="90"/>
      <c r="BU570" s="90"/>
      <c r="BV570" s="90"/>
      <c r="BW570" s="90"/>
      <c r="BX570" s="90"/>
      <c r="BY570" s="90"/>
      <c r="BZ570" s="90"/>
      <c r="CA570" s="90"/>
      <c r="CB570" s="90"/>
      <c r="CC570" s="90"/>
      <c r="CD570" s="90"/>
      <c r="CE570" s="90"/>
      <c r="CF570" s="90"/>
      <c r="CG570" s="90"/>
      <c r="CH570" s="90"/>
      <c r="CI570" s="90"/>
      <c r="CJ570" s="90"/>
      <c r="CK570" s="90"/>
      <c r="CL570" s="90"/>
      <c r="CM570" s="90"/>
      <c r="CN570" s="90"/>
      <c r="CO570" s="90"/>
      <c r="CP570" s="90"/>
      <c r="CQ570" s="90"/>
      <c r="CR570" s="90"/>
      <c r="CS570" s="90"/>
      <c r="CT570" s="90"/>
      <c r="CU570" s="90"/>
      <c r="CV570" s="90"/>
      <c r="CW570" s="90"/>
    </row>
    <row r="571" ht="16.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  <c r="BO571" s="90"/>
      <c r="BP571" s="90"/>
      <c r="BQ571" s="90"/>
      <c r="BR571" s="90"/>
      <c r="BS571" s="90"/>
      <c r="BT571" s="90"/>
      <c r="BU571" s="90"/>
      <c r="BV571" s="90"/>
      <c r="BW571" s="90"/>
      <c r="BX571" s="90"/>
      <c r="BY571" s="90"/>
      <c r="BZ571" s="90"/>
      <c r="CA571" s="90"/>
      <c r="CB571" s="90"/>
      <c r="CC571" s="90"/>
      <c r="CD571" s="90"/>
      <c r="CE571" s="90"/>
      <c r="CF571" s="90"/>
      <c r="CG571" s="90"/>
      <c r="CH571" s="90"/>
      <c r="CI571" s="90"/>
      <c r="CJ571" s="90"/>
      <c r="CK571" s="90"/>
      <c r="CL571" s="90"/>
      <c r="CM571" s="90"/>
      <c r="CN571" s="90"/>
      <c r="CO571" s="90"/>
      <c r="CP571" s="90"/>
      <c r="CQ571" s="90"/>
      <c r="CR571" s="90"/>
      <c r="CS571" s="90"/>
      <c r="CT571" s="90"/>
      <c r="CU571" s="90"/>
      <c r="CV571" s="90"/>
      <c r="CW571" s="90"/>
    </row>
    <row r="572" ht="16.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0"/>
      <c r="BQ572" s="90"/>
      <c r="BR572" s="90"/>
      <c r="BS572" s="90"/>
      <c r="BT572" s="90"/>
      <c r="BU572" s="90"/>
      <c r="BV572" s="90"/>
      <c r="BW572" s="90"/>
      <c r="BX572" s="90"/>
      <c r="BY572" s="90"/>
      <c r="BZ572" s="90"/>
      <c r="CA572" s="90"/>
      <c r="CB572" s="90"/>
      <c r="CC572" s="90"/>
      <c r="CD572" s="90"/>
      <c r="CE572" s="90"/>
      <c r="CF572" s="90"/>
      <c r="CG572" s="90"/>
      <c r="CH572" s="90"/>
      <c r="CI572" s="90"/>
      <c r="CJ572" s="90"/>
      <c r="CK572" s="90"/>
      <c r="CL572" s="90"/>
      <c r="CM572" s="90"/>
      <c r="CN572" s="90"/>
      <c r="CO572" s="90"/>
      <c r="CP572" s="90"/>
      <c r="CQ572" s="90"/>
      <c r="CR572" s="90"/>
      <c r="CS572" s="90"/>
      <c r="CT572" s="90"/>
      <c r="CU572" s="90"/>
      <c r="CV572" s="90"/>
      <c r="CW572" s="90"/>
    </row>
    <row r="573" ht="16.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  <c r="BO573" s="90"/>
      <c r="BP573" s="90"/>
      <c r="BQ573" s="90"/>
      <c r="BR573" s="90"/>
      <c r="BS573" s="90"/>
      <c r="BT573" s="90"/>
      <c r="BU573" s="90"/>
      <c r="BV573" s="90"/>
      <c r="BW573" s="90"/>
      <c r="BX573" s="90"/>
      <c r="BY573" s="90"/>
      <c r="BZ573" s="90"/>
      <c r="CA573" s="90"/>
      <c r="CB573" s="90"/>
      <c r="CC573" s="90"/>
      <c r="CD573" s="90"/>
      <c r="CE573" s="90"/>
      <c r="CF573" s="90"/>
      <c r="CG573" s="90"/>
      <c r="CH573" s="90"/>
      <c r="CI573" s="90"/>
      <c r="CJ573" s="90"/>
      <c r="CK573" s="90"/>
      <c r="CL573" s="90"/>
      <c r="CM573" s="90"/>
      <c r="CN573" s="90"/>
      <c r="CO573" s="90"/>
      <c r="CP573" s="90"/>
      <c r="CQ573" s="90"/>
      <c r="CR573" s="90"/>
      <c r="CS573" s="90"/>
      <c r="CT573" s="90"/>
      <c r="CU573" s="90"/>
      <c r="CV573" s="90"/>
      <c r="CW573" s="90"/>
    </row>
    <row r="574" ht="16.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0"/>
      <c r="BQ574" s="90"/>
      <c r="BR574" s="90"/>
      <c r="BS574" s="90"/>
      <c r="BT574" s="90"/>
      <c r="BU574" s="90"/>
      <c r="BV574" s="90"/>
      <c r="BW574" s="90"/>
      <c r="BX574" s="90"/>
      <c r="BY574" s="90"/>
      <c r="BZ574" s="90"/>
      <c r="CA574" s="90"/>
      <c r="CB574" s="90"/>
      <c r="CC574" s="90"/>
      <c r="CD574" s="90"/>
      <c r="CE574" s="90"/>
      <c r="CF574" s="90"/>
      <c r="CG574" s="90"/>
      <c r="CH574" s="90"/>
      <c r="CI574" s="90"/>
      <c r="CJ574" s="90"/>
      <c r="CK574" s="90"/>
      <c r="CL574" s="90"/>
      <c r="CM574" s="90"/>
      <c r="CN574" s="90"/>
      <c r="CO574" s="90"/>
      <c r="CP574" s="90"/>
      <c r="CQ574" s="90"/>
      <c r="CR574" s="90"/>
      <c r="CS574" s="90"/>
      <c r="CT574" s="90"/>
      <c r="CU574" s="90"/>
      <c r="CV574" s="90"/>
      <c r="CW574" s="90"/>
    </row>
    <row r="575" ht="16.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  <c r="BO575" s="90"/>
      <c r="BP575" s="90"/>
      <c r="BQ575" s="90"/>
      <c r="BR575" s="90"/>
      <c r="BS575" s="90"/>
      <c r="BT575" s="90"/>
      <c r="BU575" s="90"/>
      <c r="BV575" s="90"/>
      <c r="BW575" s="90"/>
      <c r="BX575" s="90"/>
      <c r="BY575" s="90"/>
      <c r="BZ575" s="90"/>
      <c r="CA575" s="90"/>
      <c r="CB575" s="90"/>
      <c r="CC575" s="90"/>
      <c r="CD575" s="90"/>
      <c r="CE575" s="90"/>
      <c r="CF575" s="90"/>
      <c r="CG575" s="90"/>
      <c r="CH575" s="90"/>
      <c r="CI575" s="90"/>
      <c r="CJ575" s="90"/>
      <c r="CK575" s="90"/>
      <c r="CL575" s="90"/>
      <c r="CM575" s="90"/>
      <c r="CN575" s="90"/>
      <c r="CO575" s="90"/>
      <c r="CP575" s="90"/>
      <c r="CQ575" s="90"/>
      <c r="CR575" s="90"/>
      <c r="CS575" s="90"/>
      <c r="CT575" s="90"/>
      <c r="CU575" s="90"/>
      <c r="CV575" s="90"/>
      <c r="CW575" s="90"/>
    </row>
    <row r="576" ht="16.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0"/>
      <c r="BQ576" s="90"/>
      <c r="BR576" s="90"/>
      <c r="BS576" s="90"/>
      <c r="BT576" s="90"/>
      <c r="BU576" s="90"/>
      <c r="BV576" s="90"/>
      <c r="BW576" s="90"/>
      <c r="BX576" s="90"/>
      <c r="BY576" s="90"/>
      <c r="BZ576" s="90"/>
      <c r="CA576" s="90"/>
      <c r="CB576" s="90"/>
      <c r="CC576" s="90"/>
      <c r="CD576" s="90"/>
      <c r="CE576" s="90"/>
      <c r="CF576" s="90"/>
      <c r="CG576" s="90"/>
      <c r="CH576" s="90"/>
      <c r="CI576" s="90"/>
      <c r="CJ576" s="90"/>
      <c r="CK576" s="90"/>
      <c r="CL576" s="90"/>
      <c r="CM576" s="90"/>
      <c r="CN576" s="90"/>
      <c r="CO576" s="90"/>
      <c r="CP576" s="90"/>
      <c r="CQ576" s="90"/>
      <c r="CR576" s="90"/>
      <c r="CS576" s="90"/>
      <c r="CT576" s="90"/>
      <c r="CU576" s="90"/>
      <c r="CV576" s="90"/>
      <c r="CW576" s="90"/>
    </row>
    <row r="577" ht="16.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  <c r="BO577" s="90"/>
      <c r="BP577" s="90"/>
      <c r="BQ577" s="90"/>
      <c r="BR577" s="90"/>
      <c r="BS577" s="90"/>
      <c r="BT577" s="90"/>
      <c r="BU577" s="90"/>
      <c r="BV577" s="90"/>
      <c r="BW577" s="90"/>
      <c r="BX577" s="90"/>
      <c r="BY577" s="90"/>
      <c r="BZ577" s="90"/>
      <c r="CA577" s="90"/>
      <c r="CB577" s="90"/>
      <c r="CC577" s="90"/>
      <c r="CD577" s="90"/>
      <c r="CE577" s="90"/>
      <c r="CF577" s="90"/>
      <c r="CG577" s="90"/>
      <c r="CH577" s="90"/>
      <c r="CI577" s="90"/>
      <c r="CJ577" s="90"/>
      <c r="CK577" s="90"/>
      <c r="CL577" s="90"/>
      <c r="CM577" s="90"/>
      <c r="CN577" s="90"/>
      <c r="CO577" s="90"/>
      <c r="CP577" s="90"/>
      <c r="CQ577" s="90"/>
      <c r="CR577" s="90"/>
      <c r="CS577" s="90"/>
      <c r="CT577" s="90"/>
      <c r="CU577" s="90"/>
      <c r="CV577" s="90"/>
      <c r="CW577" s="90"/>
    </row>
    <row r="578" ht="16.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0"/>
      <c r="BQ578" s="90"/>
      <c r="BR578" s="90"/>
      <c r="BS578" s="90"/>
      <c r="BT578" s="90"/>
      <c r="BU578" s="90"/>
      <c r="BV578" s="90"/>
      <c r="BW578" s="90"/>
      <c r="BX578" s="90"/>
      <c r="BY578" s="90"/>
      <c r="BZ578" s="90"/>
      <c r="CA578" s="90"/>
      <c r="CB578" s="90"/>
      <c r="CC578" s="90"/>
      <c r="CD578" s="90"/>
      <c r="CE578" s="90"/>
      <c r="CF578" s="90"/>
      <c r="CG578" s="90"/>
      <c r="CH578" s="90"/>
      <c r="CI578" s="90"/>
      <c r="CJ578" s="90"/>
      <c r="CK578" s="90"/>
      <c r="CL578" s="90"/>
      <c r="CM578" s="90"/>
      <c r="CN578" s="90"/>
      <c r="CO578" s="90"/>
      <c r="CP578" s="90"/>
      <c r="CQ578" s="90"/>
      <c r="CR578" s="90"/>
      <c r="CS578" s="90"/>
      <c r="CT578" s="90"/>
      <c r="CU578" s="90"/>
      <c r="CV578" s="90"/>
      <c r="CW578" s="90"/>
    </row>
    <row r="579" ht="16.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  <c r="BO579" s="90"/>
      <c r="BP579" s="90"/>
      <c r="BQ579" s="90"/>
      <c r="BR579" s="90"/>
      <c r="BS579" s="90"/>
      <c r="BT579" s="90"/>
      <c r="BU579" s="90"/>
      <c r="BV579" s="90"/>
      <c r="BW579" s="90"/>
      <c r="BX579" s="90"/>
      <c r="BY579" s="90"/>
      <c r="BZ579" s="90"/>
      <c r="CA579" s="90"/>
      <c r="CB579" s="90"/>
      <c r="CC579" s="90"/>
      <c r="CD579" s="90"/>
      <c r="CE579" s="90"/>
      <c r="CF579" s="90"/>
      <c r="CG579" s="90"/>
      <c r="CH579" s="90"/>
      <c r="CI579" s="90"/>
      <c r="CJ579" s="90"/>
      <c r="CK579" s="90"/>
      <c r="CL579" s="90"/>
      <c r="CM579" s="90"/>
      <c r="CN579" s="90"/>
      <c r="CO579" s="90"/>
      <c r="CP579" s="90"/>
      <c r="CQ579" s="90"/>
      <c r="CR579" s="90"/>
      <c r="CS579" s="90"/>
      <c r="CT579" s="90"/>
      <c r="CU579" s="90"/>
      <c r="CV579" s="90"/>
      <c r="CW579" s="90"/>
    </row>
    <row r="580" ht="16.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0"/>
      <c r="BS580" s="90"/>
      <c r="BT580" s="90"/>
      <c r="BU580" s="90"/>
      <c r="BV580" s="90"/>
      <c r="BW580" s="90"/>
      <c r="BX580" s="90"/>
      <c r="BY580" s="90"/>
      <c r="BZ580" s="90"/>
      <c r="CA580" s="90"/>
      <c r="CB580" s="90"/>
      <c r="CC580" s="90"/>
      <c r="CD580" s="90"/>
      <c r="CE580" s="90"/>
      <c r="CF580" s="90"/>
      <c r="CG580" s="90"/>
      <c r="CH580" s="90"/>
      <c r="CI580" s="90"/>
      <c r="CJ580" s="90"/>
      <c r="CK580" s="90"/>
      <c r="CL580" s="90"/>
      <c r="CM580" s="90"/>
      <c r="CN580" s="90"/>
      <c r="CO580" s="90"/>
      <c r="CP580" s="90"/>
      <c r="CQ580" s="90"/>
      <c r="CR580" s="90"/>
      <c r="CS580" s="90"/>
      <c r="CT580" s="90"/>
      <c r="CU580" s="90"/>
      <c r="CV580" s="90"/>
      <c r="CW580" s="90"/>
    </row>
    <row r="581" ht="16.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  <c r="CN581" s="90"/>
      <c r="CO581" s="90"/>
      <c r="CP581" s="90"/>
      <c r="CQ581" s="90"/>
      <c r="CR581" s="90"/>
      <c r="CS581" s="90"/>
      <c r="CT581" s="90"/>
      <c r="CU581" s="90"/>
      <c r="CV581" s="90"/>
      <c r="CW581" s="90"/>
    </row>
    <row r="582" ht="16.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0"/>
      <c r="BQ582" s="90"/>
      <c r="BR582" s="90"/>
      <c r="BS582" s="90"/>
      <c r="BT582" s="90"/>
      <c r="BU582" s="90"/>
      <c r="BV582" s="90"/>
      <c r="BW582" s="90"/>
      <c r="BX582" s="90"/>
      <c r="BY582" s="90"/>
      <c r="BZ582" s="90"/>
      <c r="CA582" s="90"/>
      <c r="CB582" s="90"/>
      <c r="CC582" s="90"/>
      <c r="CD582" s="90"/>
      <c r="CE582" s="90"/>
      <c r="CF582" s="90"/>
      <c r="CG582" s="90"/>
      <c r="CH582" s="90"/>
      <c r="CI582" s="90"/>
      <c r="CJ582" s="90"/>
      <c r="CK582" s="90"/>
      <c r="CL582" s="90"/>
      <c r="CM582" s="90"/>
      <c r="CN582" s="90"/>
      <c r="CO582" s="90"/>
      <c r="CP582" s="90"/>
      <c r="CQ582" s="90"/>
      <c r="CR582" s="90"/>
      <c r="CS582" s="90"/>
      <c r="CT582" s="90"/>
      <c r="CU582" s="90"/>
      <c r="CV582" s="90"/>
      <c r="CW582" s="90"/>
    </row>
    <row r="583" ht="16.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  <c r="CN583" s="90"/>
      <c r="CO583" s="90"/>
      <c r="CP583" s="90"/>
      <c r="CQ583" s="90"/>
      <c r="CR583" s="90"/>
      <c r="CS583" s="90"/>
      <c r="CT583" s="90"/>
      <c r="CU583" s="90"/>
      <c r="CV583" s="90"/>
      <c r="CW583" s="90"/>
    </row>
    <row r="584" ht="16.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0"/>
      <c r="BQ584" s="90"/>
      <c r="BR584" s="90"/>
      <c r="BS584" s="90"/>
      <c r="BT584" s="90"/>
      <c r="BU584" s="90"/>
      <c r="BV584" s="90"/>
      <c r="BW584" s="90"/>
      <c r="BX584" s="90"/>
      <c r="BY584" s="90"/>
      <c r="BZ584" s="90"/>
      <c r="CA584" s="90"/>
      <c r="CB584" s="90"/>
      <c r="CC584" s="90"/>
      <c r="CD584" s="90"/>
      <c r="CE584" s="90"/>
      <c r="CF584" s="90"/>
      <c r="CG584" s="90"/>
      <c r="CH584" s="90"/>
      <c r="CI584" s="90"/>
      <c r="CJ584" s="90"/>
      <c r="CK584" s="90"/>
      <c r="CL584" s="90"/>
      <c r="CM584" s="90"/>
      <c r="CN584" s="90"/>
      <c r="CO584" s="90"/>
      <c r="CP584" s="90"/>
      <c r="CQ584" s="90"/>
      <c r="CR584" s="90"/>
      <c r="CS584" s="90"/>
      <c r="CT584" s="90"/>
      <c r="CU584" s="90"/>
      <c r="CV584" s="90"/>
      <c r="CW584" s="90"/>
    </row>
    <row r="585" ht="16.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  <c r="BO585" s="90"/>
      <c r="BP585" s="90"/>
      <c r="BQ585" s="90"/>
      <c r="BR585" s="90"/>
      <c r="BS585" s="90"/>
      <c r="BT585" s="90"/>
      <c r="BU585" s="90"/>
      <c r="BV585" s="90"/>
      <c r="BW585" s="90"/>
      <c r="BX585" s="90"/>
      <c r="BY585" s="90"/>
      <c r="BZ585" s="90"/>
      <c r="CA585" s="90"/>
      <c r="CB585" s="90"/>
      <c r="CC585" s="90"/>
      <c r="CD585" s="90"/>
      <c r="CE585" s="90"/>
      <c r="CF585" s="90"/>
      <c r="CG585" s="90"/>
      <c r="CH585" s="90"/>
      <c r="CI585" s="90"/>
      <c r="CJ585" s="90"/>
      <c r="CK585" s="90"/>
      <c r="CL585" s="90"/>
      <c r="CM585" s="90"/>
      <c r="CN585" s="90"/>
      <c r="CO585" s="90"/>
      <c r="CP585" s="90"/>
      <c r="CQ585" s="90"/>
      <c r="CR585" s="90"/>
      <c r="CS585" s="90"/>
      <c r="CT585" s="90"/>
      <c r="CU585" s="90"/>
      <c r="CV585" s="90"/>
      <c r="CW585" s="90"/>
    </row>
    <row r="586" ht="16.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0"/>
      <c r="BQ586" s="90"/>
      <c r="BR586" s="90"/>
      <c r="BS586" s="90"/>
      <c r="BT586" s="90"/>
      <c r="BU586" s="90"/>
      <c r="BV586" s="90"/>
      <c r="BW586" s="90"/>
      <c r="BX586" s="90"/>
      <c r="BY586" s="90"/>
      <c r="BZ586" s="90"/>
      <c r="CA586" s="90"/>
      <c r="CB586" s="90"/>
      <c r="CC586" s="90"/>
      <c r="CD586" s="90"/>
      <c r="CE586" s="90"/>
      <c r="CF586" s="90"/>
      <c r="CG586" s="90"/>
      <c r="CH586" s="90"/>
      <c r="CI586" s="90"/>
      <c r="CJ586" s="90"/>
      <c r="CK586" s="90"/>
      <c r="CL586" s="90"/>
      <c r="CM586" s="90"/>
      <c r="CN586" s="90"/>
      <c r="CO586" s="90"/>
      <c r="CP586" s="90"/>
      <c r="CQ586" s="90"/>
      <c r="CR586" s="90"/>
      <c r="CS586" s="90"/>
      <c r="CT586" s="90"/>
      <c r="CU586" s="90"/>
      <c r="CV586" s="90"/>
      <c r="CW586" s="90"/>
    </row>
    <row r="587" ht="16.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  <c r="BO587" s="90"/>
      <c r="BP587" s="90"/>
      <c r="BQ587" s="90"/>
      <c r="BR587" s="90"/>
      <c r="BS587" s="90"/>
      <c r="BT587" s="90"/>
      <c r="BU587" s="90"/>
      <c r="BV587" s="90"/>
      <c r="BW587" s="90"/>
      <c r="BX587" s="90"/>
      <c r="BY587" s="90"/>
      <c r="BZ587" s="90"/>
      <c r="CA587" s="90"/>
      <c r="CB587" s="90"/>
      <c r="CC587" s="90"/>
      <c r="CD587" s="90"/>
      <c r="CE587" s="90"/>
      <c r="CF587" s="90"/>
      <c r="CG587" s="90"/>
      <c r="CH587" s="90"/>
      <c r="CI587" s="90"/>
      <c r="CJ587" s="90"/>
      <c r="CK587" s="90"/>
      <c r="CL587" s="90"/>
      <c r="CM587" s="90"/>
      <c r="CN587" s="90"/>
      <c r="CO587" s="90"/>
      <c r="CP587" s="90"/>
      <c r="CQ587" s="90"/>
      <c r="CR587" s="90"/>
      <c r="CS587" s="90"/>
      <c r="CT587" s="90"/>
      <c r="CU587" s="90"/>
      <c r="CV587" s="90"/>
      <c r="CW587" s="90"/>
    </row>
    <row r="588" ht="16.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0"/>
      <c r="BQ588" s="90"/>
      <c r="BR588" s="90"/>
      <c r="BS588" s="90"/>
      <c r="BT588" s="90"/>
      <c r="BU588" s="90"/>
      <c r="BV588" s="90"/>
      <c r="BW588" s="90"/>
      <c r="BX588" s="90"/>
      <c r="BY588" s="90"/>
      <c r="BZ588" s="90"/>
      <c r="CA588" s="90"/>
      <c r="CB588" s="90"/>
      <c r="CC588" s="90"/>
      <c r="CD588" s="90"/>
      <c r="CE588" s="90"/>
      <c r="CF588" s="90"/>
      <c r="CG588" s="90"/>
      <c r="CH588" s="90"/>
      <c r="CI588" s="90"/>
      <c r="CJ588" s="90"/>
      <c r="CK588" s="90"/>
      <c r="CL588" s="90"/>
      <c r="CM588" s="90"/>
      <c r="CN588" s="90"/>
      <c r="CO588" s="90"/>
      <c r="CP588" s="90"/>
      <c r="CQ588" s="90"/>
      <c r="CR588" s="90"/>
      <c r="CS588" s="90"/>
      <c r="CT588" s="90"/>
      <c r="CU588" s="90"/>
      <c r="CV588" s="90"/>
      <c r="CW588" s="90"/>
    </row>
    <row r="589" ht="16.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90"/>
    </row>
    <row r="590" ht="16.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0"/>
      <c r="BS590" s="90"/>
      <c r="BT590" s="90"/>
      <c r="BU590" s="90"/>
      <c r="BV590" s="90"/>
      <c r="BW590" s="90"/>
      <c r="BX590" s="90"/>
      <c r="BY590" s="90"/>
      <c r="BZ590" s="90"/>
      <c r="CA590" s="90"/>
      <c r="CB590" s="90"/>
      <c r="CC590" s="90"/>
      <c r="CD590" s="90"/>
      <c r="CE590" s="90"/>
      <c r="CF590" s="90"/>
      <c r="CG590" s="90"/>
      <c r="CH590" s="90"/>
      <c r="CI590" s="90"/>
      <c r="CJ590" s="90"/>
      <c r="CK590" s="90"/>
      <c r="CL590" s="90"/>
      <c r="CM590" s="90"/>
      <c r="CN590" s="90"/>
      <c r="CO590" s="90"/>
      <c r="CP590" s="90"/>
      <c r="CQ590" s="90"/>
      <c r="CR590" s="90"/>
      <c r="CS590" s="90"/>
      <c r="CT590" s="90"/>
      <c r="CU590" s="90"/>
      <c r="CV590" s="90"/>
      <c r="CW590" s="90"/>
    </row>
    <row r="591" ht="16.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  <c r="BO591" s="90"/>
      <c r="BP591" s="90"/>
      <c r="BQ591" s="90"/>
      <c r="BR591" s="90"/>
      <c r="BS591" s="90"/>
      <c r="BT591" s="90"/>
      <c r="BU591" s="90"/>
      <c r="BV591" s="90"/>
      <c r="BW591" s="90"/>
      <c r="BX591" s="90"/>
      <c r="BY591" s="90"/>
      <c r="BZ591" s="90"/>
      <c r="CA591" s="90"/>
      <c r="CB591" s="90"/>
      <c r="CC591" s="90"/>
      <c r="CD591" s="90"/>
      <c r="CE591" s="90"/>
      <c r="CF591" s="90"/>
      <c r="CG591" s="90"/>
      <c r="CH591" s="90"/>
      <c r="CI591" s="90"/>
      <c r="CJ591" s="90"/>
      <c r="CK591" s="90"/>
      <c r="CL591" s="90"/>
      <c r="CM591" s="90"/>
      <c r="CN591" s="90"/>
      <c r="CO591" s="90"/>
      <c r="CP591" s="90"/>
      <c r="CQ591" s="90"/>
      <c r="CR591" s="90"/>
      <c r="CS591" s="90"/>
      <c r="CT591" s="90"/>
      <c r="CU591" s="90"/>
      <c r="CV591" s="90"/>
      <c r="CW591" s="90"/>
    </row>
    <row r="592" ht="16.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0"/>
      <c r="BQ592" s="90"/>
      <c r="BR592" s="90"/>
      <c r="BS592" s="90"/>
      <c r="BT592" s="90"/>
      <c r="BU592" s="90"/>
      <c r="BV592" s="90"/>
      <c r="BW592" s="90"/>
      <c r="BX592" s="90"/>
      <c r="BY592" s="90"/>
      <c r="BZ592" s="90"/>
      <c r="CA592" s="90"/>
      <c r="CB592" s="90"/>
      <c r="CC592" s="90"/>
      <c r="CD592" s="90"/>
      <c r="CE592" s="90"/>
      <c r="CF592" s="90"/>
      <c r="CG592" s="90"/>
      <c r="CH592" s="90"/>
      <c r="CI592" s="90"/>
      <c r="CJ592" s="90"/>
      <c r="CK592" s="90"/>
      <c r="CL592" s="90"/>
      <c r="CM592" s="90"/>
      <c r="CN592" s="90"/>
      <c r="CO592" s="90"/>
      <c r="CP592" s="90"/>
      <c r="CQ592" s="90"/>
      <c r="CR592" s="90"/>
      <c r="CS592" s="90"/>
      <c r="CT592" s="90"/>
      <c r="CU592" s="90"/>
      <c r="CV592" s="90"/>
      <c r="CW592" s="90"/>
    </row>
    <row r="593" ht="16.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  <c r="BO593" s="90"/>
      <c r="BP593" s="90"/>
      <c r="BQ593" s="90"/>
      <c r="BR593" s="90"/>
      <c r="BS593" s="90"/>
      <c r="BT593" s="90"/>
      <c r="BU593" s="90"/>
      <c r="BV593" s="90"/>
      <c r="BW593" s="90"/>
      <c r="BX593" s="90"/>
      <c r="BY593" s="90"/>
      <c r="BZ593" s="90"/>
      <c r="CA593" s="90"/>
      <c r="CB593" s="90"/>
      <c r="CC593" s="90"/>
      <c r="CD593" s="90"/>
      <c r="CE593" s="90"/>
      <c r="CF593" s="90"/>
      <c r="CG593" s="90"/>
      <c r="CH593" s="90"/>
      <c r="CI593" s="90"/>
      <c r="CJ593" s="90"/>
      <c r="CK593" s="90"/>
      <c r="CL593" s="90"/>
      <c r="CM593" s="90"/>
      <c r="CN593" s="90"/>
      <c r="CO593" s="90"/>
      <c r="CP593" s="90"/>
      <c r="CQ593" s="90"/>
      <c r="CR593" s="90"/>
      <c r="CS593" s="90"/>
      <c r="CT593" s="90"/>
      <c r="CU593" s="90"/>
      <c r="CV593" s="90"/>
      <c r="CW593" s="90"/>
    </row>
    <row r="594" ht="16.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0"/>
      <c r="BQ594" s="90"/>
      <c r="BR594" s="90"/>
      <c r="BS594" s="90"/>
      <c r="BT594" s="90"/>
      <c r="BU594" s="90"/>
      <c r="BV594" s="90"/>
      <c r="BW594" s="90"/>
      <c r="BX594" s="90"/>
      <c r="BY594" s="90"/>
      <c r="BZ594" s="90"/>
      <c r="CA594" s="90"/>
      <c r="CB594" s="90"/>
      <c r="CC594" s="90"/>
      <c r="CD594" s="90"/>
      <c r="CE594" s="90"/>
      <c r="CF594" s="90"/>
      <c r="CG594" s="90"/>
      <c r="CH594" s="90"/>
      <c r="CI594" s="90"/>
      <c r="CJ594" s="90"/>
      <c r="CK594" s="90"/>
      <c r="CL594" s="90"/>
      <c r="CM594" s="90"/>
      <c r="CN594" s="90"/>
      <c r="CO594" s="90"/>
      <c r="CP594" s="90"/>
      <c r="CQ594" s="90"/>
      <c r="CR594" s="90"/>
      <c r="CS594" s="90"/>
      <c r="CT594" s="90"/>
      <c r="CU594" s="90"/>
      <c r="CV594" s="90"/>
      <c r="CW594" s="90"/>
    </row>
    <row r="595" ht="16.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  <c r="BO595" s="90"/>
      <c r="BP595" s="90"/>
      <c r="BQ595" s="90"/>
      <c r="BR595" s="90"/>
      <c r="BS595" s="90"/>
      <c r="BT595" s="90"/>
      <c r="BU595" s="90"/>
      <c r="BV595" s="90"/>
      <c r="BW595" s="90"/>
      <c r="BX595" s="90"/>
      <c r="BY595" s="90"/>
      <c r="BZ595" s="90"/>
      <c r="CA595" s="90"/>
      <c r="CB595" s="90"/>
      <c r="CC595" s="90"/>
      <c r="CD595" s="90"/>
      <c r="CE595" s="90"/>
      <c r="CF595" s="90"/>
      <c r="CG595" s="90"/>
      <c r="CH595" s="90"/>
      <c r="CI595" s="90"/>
      <c r="CJ595" s="90"/>
      <c r="CK595" s="90"/>
      <c r="CL595" s="90"/>
      <c r="CM595" s="90"/>
      <c r="CN595" s="90"/>
      <c r="CO595" s="90"/>
      <c r="CP595" s="90"/>
      <c r="CQ595" s="90"/>
      <c r="CR595" s="90"/>
      <c r="CS595" s="90"/>
      <c r="CT595" s="90"/>
      <c r="CU595" s="90"/>
      <c r="CV595" s="90"/>
      <c r="CW595" s="90"/>
    </row>
    <row r="596" ht="16.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0"/>
      <c r="BQ596" s="90"/>
      <c r="BR596" s="90"/>
      <c r="BS596" s="90"/>
      <c r="BT596" s="90"/>
      <c r="BU596" s="90"/>
      <c r="BV596" s="90"/>
      <c r="BW596" s="90"/>
      <c r="BX596" s="90"/>
      <c r="BY596" s="90"/>
      <c r="BZ596" s="90"/>
      <c r="CA596" s="90"/>
      <c r="CB596" s="90"/>
      <c r="CC596" s="90"/>
      <c r="CD596" s="90"/>
      <c r="CE596" s="90"/>
      <c r="CF596" s="90"/>
      <c r="CG596" s="90"/>
      <c r="CH596" s="90"/>
      <c r="CI596" s="90"/>
      <c r="CJ596" s="90"/>
      <c r="CK596" s="90"/>
      <c r="CL596" s="90"/>
      <c r="CM596" s="90"/>
      <c r="CN596" s="90"/>
      <c r="CO596" s="90"/>
      <c r="CP596" s="90"/>
      <c r="CQ596" s="90"/>
      <c r="CR596" s="90"/>
      <c r="CS596" s="90"/>
      <c r="CT596" s="90"/>
      <c r="CU596" s="90"/>
      <c r="CV596" s="90"/>
      <c r="CW596" s="90"/>
    </row>
    <row r="597" ht="16.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  <c r="BO597" s="90"/>
      <c r="BP597" s="90"/>
      <c r="BQ597" s="90"/>
      <c r="BR597" s="90"/>
      <c r="BS597" s="90"/>
      <c r="BT597" s="90"/>
      <c r="BU597" s="90"/>
      <c r="BV597" s="90"/>
      <c r="BW597" s="90"/>
      <c r="BX597" s="90"/>
      <c r="BY597" s="90"/>
      <c r="BZ597" s="90"/>
      <c r="CA597" s="90"/>
      <c r="CB597" s="90"/>
      <c r="CC597" s="90"/>
      <c r="CD597" s="90"/>
      <c r="CE597" s="90"/>
      <c r="CF597" s="90"/>
      <c r="CG597" s="90"/>
      <c r="CH597" s="90"/>
      <c r="CI597" s="90"/>
      <c r="CJ597" s="90"/>
      <c r="CK597" s="90"/>
      <c r="CL597" s="90"/>
      <c r="CM597" s="90"/>
      <c r="CN597" s="90"/>
      <c r="CO597" s="90"/>
      <c r="CP597" s="90"/>
      <c r="CQ597" s="90"/>
      <c r="CR597" s="90"/>
      <c r="CS597" s="90"/>
      <c r="CT597" s="90"/>
      <c r="CU597" s="90"/>
      <c r="CV597" s="90"/>
      <c r="CW597" s="90"/>
    </row>
    <row r="598" ht="16.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0"/>
      <c r="BQ598" s="90"/>
      <c r="BR598" s="90"/>
      <c r="BS598" s="90"/>
      <c r="BT598" s="90"/>
      <c r="BU598" s="90"/>
      <c r="BV598" s="90"/>
      <c r="BW598" s="90"/>
      <c r="BX598" s="90"/>
      <c r="BY598" s="90"/>
      <c r="BZ598" s="90"/>
      <c r="CA598" s="90"/>
      <c r="CB598" s="90"/>
      <c r="CC598" s="90"/>
      <c r="CD598" s="90"/>
      <c r="CE598" s="90"/>
      <c r="CF598" s="90"/>
      <c r="CG598" s="90"/>
      <c r="CH598" s="90"/>
      <c r="CI598" s="90"/>
      <c r="CJ598" s="90"/>
      <c r="CK598" s="90"/>
      <c r="CL598" s="90"/>
      <c r="CM598" s="90"/>
      <c r="CN598" s="90"/>
      <c r="CO598" s="90"/>
      <c r="CP598" s="90"/>
      <c r="CQ598" s="90"/>
      <c r="CR598" s="90"/>
      <c r="CS598" s="90"/>
      <c r="CT598" s="90"/>
      <c r="CU598" s="90"/>
      <c r="CV598" s="90"/>
      <c r="CW598" s="90"/>
    </row>
    <row r="599" ht="16.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  <c r="BO599" s="90"/>
      <c r="BP599" s="90"/>
      <c r="BQ599" s="90"/>
      <c r="BR599" s="90"/>
      <c r="BS599" s="90"/>
      <c r="BT599" s="90"/>
      <c r="BU599" s="90"/>
      <c r="BV599" s="90"/>
      <c r="BW599" s="90"/>
      <c r="BX599" s="90"/>
      <c r="BY599" s="90"/>
      <c r="BZ599" s="90"/>
      <c r="CA599" s="90"/>
      <c r="CB599" s="90"/>
      <c r="CC599" s="90"/>
      <c r="CD599" s="90"/>
      <c r="CE599" s="90"/>
      <c r="CF599" s="90"/>
      <c r="CG599" s="90"/>
      <c r="CH599" s="90"/>
      <c r="CI599" s="90"/>
      <c r="CJ599" s="90"/>
      <c r="CK599" s="90"/>
      <c r="CL599" s="90"/>
      <c r="CM599" s="90"/>
      <c r="CN599" s="90"/>
      <c r="CO599" s="90"/>
      <c r="CP599" s="90"/>
      <c r="CQ599" s="90"/>
      <c r="CR599" s="90"/>
      <c r="CS599" s="90"/>
      <c r="CT599" s="90"/>
      <c r="CU599" s="90"/>
      <c r="CV599" s="90"/>
      <c r="CW599" s="90"/>
    </row>
    <row r="600" ht="16.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0"/>
      <c r="BQ600" s="90"/>
      <c r="BR600" s="90"/>
      <c r="BS600" s="90"/>
      <c r="BT600" s="90"/>
      <c r="BU600" s="90"/>
      <c r="BV600" s="90"/>
      <c r="BW600" s="90"/>
      <c r="BX600" s="90"/>
      <c r="BY600" s="90"/>
      <c r="BZ600" s="90"/>
      <c r="CA600" s="90"/>
      <c r="CB600" s="90"/>
      <c r="CC600" s="90"/>
      <c r="CD600" s="90"/>
      <c r="CE600" s="90"/>
      <c r="CF600" s="90"/>
      <c r="CG600" s="90"/>
      <c r="CH600" s="90"/>
      <c r="CI600" s="90"/>
      <c r="CJ600" s="90"/>
      <c r="CK600" s="90"/>
      <c r="CL600" s="90"/>
      <c r="CM600" s="90"/>
      <c r="CN600" s="90"/>
      <c r="CO600" s="90"/>
      <c r="CP600" s="90"/>
      <c r="CQ600" s="90"/>
      <c r="CR600" s="90"/>
      <c r="CS600" s="90"/>
      <c r="CT600" s="90"/>
      <c r="CU600" s="90"/>
      <c r="CV600" s="90"/>
      <c r="CW600" s="90"/>
    </row>
    <row r="601" ht="16.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  <c r="BO601" s="90"/>
      <c r="BP601" s="90"/>
      <c r="BQ601" s="90"/>
      <c r="BR601" s="90"/>
      <c r="BS601" s="90"/>
      <c r="BT601" s="90"/>
      <c r="BU601" s="90"/>
      <c r="BV601" s="90"/>
      <c r="BW601" s="90"/>
      <c r="BX601" s="90"/>
      <c r="BY601" s="90"/>
      <c r="BZ601" s="90"/>
      <c r="CA601" s="90"/>
      <c r="CB601" s="90"/>
      <c r="CC601" s="90"/>
      <c r="CD601" s="90"/>
      <c r="CE601" s="90"/>
      <c r="CF601" s="90"/>
      <c r="CG601" s="90"/>
      <c r="CH601" s="90"/>
      <c r="CI601" s="90"/>
      <c r="CJ601" s="90"/>
      <c r="CK601" s="90"/>
      <c r="CL601" s="90"/>
      <c r="CM601" s="90"/>
      <c r="CN601" s="90"/>
      <c r="CO601" s="90"/>
      <c r="CP601" s="90"/>
      <c r="CQ601" s="90"/>
      <c r="CR601" s="90"/>
      <c r="CS601" s="90"/>
      <c r="CT601" s="90"/>
      <c r="CU601" s="90"/>
      <c r="CV601" s="90"/>
      <c r="CW601" s="90"/>
    </row>
    <row r="602" ht="16.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0"/>
      <c r="BQ602" s="90"/>
      <c r="BR602" s="90"/>
      <c r="BS602" s="90"/>
      <c r="BT602" s="90"/>
      <c r="BU602" s="90"/>
      <c r="BV602" s="90"/>
      <c r="BW602" s="90"/>
      <c r="BX602" s="90"/>
      <c r="BY602" s="90"/>
      <c r="BZ602" s="90"/>
      <c r="CA602" s="90"/>
      <c r="CB602" s="90"/>
      <c r="CC602" s="90"/>
      <c r="CD602" s="90"/>
      <c r="CE602" s="90"/>
      <c r="CF602" s="90"/>
      <c r="CG602" s="90"/>
      <c r="CH602" s="90"/>
      <c r="CI602" s="90"/>
      <c r="CJ602" s="90"/>
      <c r="CK602" s="90"/>
      <c r="CL602" s="90"/>
      <c r="CM602" s="90"/>
      <c r="CN602" s="90"/>
      <c r="CO602" s="90"/>
      <c r="CP602" s="90"/>
      <c r="CQ602" s="90"/>
      <c r="CR602" s="90"/>
      <c r="CS602" s="90"/>
      <c r="CT602" s="90"/>
      <c r="CU602" s="90"/>
      <c r="CV602" s="90"/>
      <c r="CW602" s="90"/>
    </row>
    <row r="603" ht="16.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  <c r="BO603" s="90"/>
      <c r="BP603" s="90"/>
      <c r="BQ603" s="90"/>
      <c r="BR603" s="90"/>
      <c r="BS603" s="90"/>
      <c r="BT603" s="90"/>
      <c r="BU603" s="90"/>
      <c r="BV603" s="90"/>
      <c r="BW603" s="90"/>
      <c r="BX603" s="90"/>
      <c r="BY603" s="90"/>
      <c r="BZ603" s="90"/>
      <c r="CA603" s="90"/>
      <c r="CB603" s="90"/>
      <c r="CC603" s="90"/>
      <c r="CD603" s="90"/>
      <c r="CE603" s="90"/>
      <c r="CF603" s="90"/>
      <c r="CG603" s="90"/>
      <c r="CH603" s="90"/>
      <c r="CI603" s="90"/>
      <c r="CJ603" s="90"/>
      <c r="CK603" s="90"/>
      <c r="CL603" s="90"/>
      <c r="CM603" s="90"/>
      <c r="CN603" s="90"/>
      <c r="CO603" s="90"/>
      <c r="CP603" s="90"/>
      <c r="CQ603" s="90"/>
      <c r="CR603" s="90"/>
      <c r="CS603" s="90"/>
      <c r="CT603" s="90"/>
      <c r="CU603" s="90"/>
      <c r="CV603" s="90"/>
      <c r="CW603" s="90"/>
    </row>
    <row r="604" ht="16.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0"/>
      <c r="BQ604" s="90"/>
      <c r="BR604" s="90"/>
      <c r="BS604" s="90"/>
      <c r="BT604" s="90"/>
      <c r="BU604" s="90"/>
      <c r="BV604" s="90"/>
      <c r="BW604" s="90"/>
      <c r="BX604" s="90"/>
      <c r="BY604" s="90"/>
      <c r="BZ604" s="90"/>
      <c r="CA604" s="90"/>
      <c r="CB604" s="90"/>
      <c r="CC604" s="90"/>
      <c r="CD604" s="90"/>
      <c r="CE604" s="90"/>
      <c r="CF604" s="90"/>
      <c r="CG604" s="90"/>
      <c r="CH604" s="90"/>
      <c r="CI604" s="90"/>
      <c r="CJ604" s="90"/>
      <c r="CK604" s="90"/>
      <c r="CL604" s="90"/>
      <c r="CM604" s="90"/>
      <c r="CN604" s="90"/>
      <c r="CO604" s="90"/>
      <c r="CP604" s="90"/>
      <c r="CQ604" s="90"/>
      <c r="CR604" s="90"/>
      <c r="CS604" s="90"/>
      <c r="CT604" s="90"/>
      <c r="CU604" s="90"/>
      <c r="CV604" s="90"/>
      <c r="CW604" s="90"/>
    </row>
    <row r="605" ht="16.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  <c r="CN605" s="90"/>
      <c r="CO605" s="90"/>
      <c r="CP605" s="90"/>
      <c r="CQ605" s="90"/>
      <c r="CR605" s="90"/>
      <c r="CS605" s="90"/>
      <c r="CT605" s="90"/>
      <c r="CU605" s="90"/>
      <c r="CV605" s="90"/>
      <c r="CW605" s="90"/>
    </row>
    <row r="606" ht="16.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0"/>
      <c r="BQ606" s="90"/>
      <c r="BR606" s="90"/>
      <c r="BS606" s="90"/>
      <c r="BT606" s="90"/>
      <c r="BU606" s="90"/>
      <c r="BV606" s="90"/>
      <c r="BW606" s="90"/>
      <c r="BX606" s="90"/>
      <c r="BY606" s="90"/>
      <c r="BZ606" s="90"/>
      <c r="CA606" s="90"/>
      <c r="CB606" s="90"/>
      <c r="CC606" s="90"/>
      <c r="CD606" s="90"/>
      <c r="CE606" s="90"/>
      <c r="CF606" s="90"/>
      <c r="CG606" s="90"/>
      <c r="CH606" s="90"/>
      <c r="CI606" s="90"/>
      <c r="CJ606" s="90"/>
      <c r="CK606" s="90"/>
      <c r="CL606" s="90"/>
      <c r="CM606" s="90"/>
      <c r="CN606" s="90"/>
      <c r="CO606" s="90"/>
      <c r="CP606" s="90"/>
      <c r="CQ606" s="90"/>
      <c r="CR606" s="90"/>
      <c r="CS606" s="90"/>
      <c r="CT606" s="90"/>
      <c r="CU606" s="90"/>
      <c r="CV606" s="90"/>
      <c r="CW606" s="90"/>
    </row>
    <row r="607" ht="16.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  <c r="BO607" s="90"/>
      <c r="BP607" s="90"/>
      <c r="BQ607" s="90"/>
      <c r="BR607" s="90"/>
      <c r="BS607" s="90"/>
      <c r="BT607" s="90"/>
      <c r="BU607" s="90"/>
      <c r="BV607" s="90"/>
      <c r="BW607" s="90"/>
      <c r="BX607" s="90"/>
      <c r="BY607" s="90"/>
      <c r="BZ607" s="90"/>
      <c r="CA607" s="90"/>
      <c r="CB607" s="90"/>
      <c r="CC607" s="90"/>
      <c r="CD607" s="90"/>
      <c r="CE607" s="90"/>
      <c r="CF607" s="90"/>
      <c r="CG607" s="90"/>
      <c r="CH607" s="90"/>
      <c r="CI607" s="90"/>
      <c r="CJ607" s="90"/>
      <c r="CK607" s="90"/>
      <c r="CL607" s="90"/>
      <c r="CM607" s="90"/>
      <c r="CN607" s="90"/>
      <c r="CO607" s="90"/>
      <c r="CP607" s="90"/>
      <c r="CQ607" s="90"/>
      <c r="CR607" s="90"/>
      <c r="CS607" s="90"/>
      <c r="CT607" s="90"/>
      <c r="CU607" s="90"/>
      <c r="CV607" s="90"/>
      <c r="CW607" s="90"/>
    </row>
    <row r="608" ht="16.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0"/>
      <c r="BQ608" s="90"/>
      <c r="BR608" s="90"/>
      <c r="BS608" s="90"/>
      <c r="BT608" s="90"/>
      <c r="BU608" s="90"/>
      <c r="BV608" s="90"/>
      <c r="BW608" s="90"/>
      <c r="BX608" s="90"/>
      <c r="BY608" s="90"/>
      <c r="BZ608" s="90"/>
      <c r="CA608" s="90"/>
      <c r="CB608" s="90"/>
      <c r="CC608" s="90"/>
      <c r="CD608" s="90"/>
      <c r="CE608" s="90"/>
      <c r="CF608" s="90"/>
      <c r="CG608" s="90"/>
      <c r="CH608" s="90"/>
      <c r="CI608" s="90"/>
      <c r="CJ608" s="90"/>
      <c r="CK608" s="90"/>
      <c r="CL608" s="90"/>
      <c r="CM608" s="90"/>
      <c r="CN608" s="90"/>
      <c r="CO608" s="90"/>
      <c r="CP608" s="90"/>
      <c r="CQ608" s="90"/>
      <c r="CR608" s="90"/>
      <c r="CS608" s="90"/>
      <c r="CT608" s="90"/>
      <c r="CU608" s="90"/>
      <c r="CV608" s="90"/>
      <c r="CW608" s="90"/>
    </row>
    <row r="609" ht="16.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  <c r="BO609" s="90"/>
      <c r="BP609" s="90"/>
      <c r="BQ609" s="90"/>
      <c r="BR609" s="90"/>
      <c r="BS609" s="90"/>
      <c r="BT609" s="90"/>
      <c r="BU609" s="90"/>
      <c r="BV609" s="90"/>
      <c r="BW609" s="90"/>
      <c r="BX609" s="90"/>
      <c r="BY609" s="90"/>
      <c r="BZ609" s="90"/>
      <c r="CA609" s="90"/>
      <c r="CB609" s="90"/>
      <c r="CC609" s="90"/>
      <c r="CD609" s="90"/>
      <c r="CE609" s="90"/>
      <c r="CF609" s="90"/>
      <c r="CG609" s="90"/>
      <c r="CH609" s="90"/>
      <c r="CI609" s="90"/>
      <c r="CJ609" s="90"/>
      <c r="CK609" s="90"/>
      <c r="CL609" s="90"/>
      <c r="CM609" s="90"/>
      <c r="CN609" s="90"/>
      <c r="CO609" s="90"/>
      <c r="CP609" s="90"/>
      <c r="CQ609" s="90"/>
      <c r="CR609" s="90"/>
      <c r="CS609" s="90"/>
      <c r="CT609" s="90"/>
      <c r="CU609" s="90"/>
      <c r="CV609" s="90"/>
      <c r="CW609" s="90"/>
    </row>
    <row r="610" ht="16.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0"/>
      <c r="BQ610" s="90"/>
      <c r="BR610" s="90"/>
      <c r="BS610" s="90"/>
      <c r="BT610" s="90"/>
      <c r="BU610" s="90"/>
      <c r="BV610" s="90"/>
      <c r="BW610" s="90"/>
      <c r="BX610" s="90"/>
      <c r="BY610" s="90"/>
      <c r="BZ610" s="90"/>
      <c r="CA610" s="90"/>
      <c r="CB610" s="90"/>
      <c r="CC610" s="90"/>
      <c r="CD610" s="90"/>
      <c r="CE610" s="90"/>
      <c r="CF610" s="90"/>
      <c r="CG610" s="90"/>
      <c r="CH610" s="90"/>
      <c r="CI610" s="90"/>
      <c r="CJ610" s="90"/>
      <c r="CK610" s="90"/>
      <c r="CL610" s="90"/>
      <c r="CM610" s="90"/>
      <c r="CN610" s="90"/>
      <c r="CO610" s="90"/>
      <c r="CP610" s="90"/>
      <c r="CQ610" s="90"/>
      <c r="CR610" s="90"/>
      <c r="CS610" s="90"/>
      <c r="CT610" s="90"/>
      <c r="CU610" s="90"/>
      <c r="CV610" s="90"/>
      <c r="CW610" s="90"/>
    </row>
    <row r="611" ht="16.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  <c r="BO611" s="90"/>
      <c r="BP611" s="90"/>
      <c r="BQ611" s="90"/>
      <c r="BR611" s="90"/>
      <c r="BS611" s="90"/>
      <c r="BT611" s="90"/>
      <c r="BU611" s="90"/>
      <c r="BV611" s="90"/>
      <c r="BW611" s="90"/>
      <c r="BX611" s="90"/>
      <c r="BY611" s="90"/>
      <c r="BZ611" s="90"/>
      <c r="CA611" s="90"/>
      <c r="CB611" s="90"/>
      <c r="CC611" s="90"/>
      <c r="CD611" s="90"/>
      <c r="CE611" s="90"/>
      <c r="CF611" s="90"/>
      <c r="CG611" s="90"/>
      <c r="CH611" s="90"/>
      <c r="CI611" s="90"/>
      <c r="CJ611" s="90"/>
      <c r="CK611" s="90"/>
      <c r="CL611" s="90"/>
      <c r="CM611" s="90"/>
      <c r="CN611" s="90"/>
      <c r="CO611" s="90"/>
      <c r="CP611" s="90"/>
      <c r="CQ611" s="90"/>
      <c r="CR611" s="90"/>
      <c r="CS611" s="90"/>
      <c r="CT611" s="90"/>
      <c r="CU611" s="90"/>
      <c r="CV611" s="90"/>
      <c r="CW611" s="90"/>
    </row>
    <row r="612" ht="16.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0"/>
      <c r="BQ612" s="90"/>
      <c r="BR612" s="90"/>
      <c r="BS612" s="90"/>
      <c r="BT612" s="90"/>
      <c r="BU612" s="90"/>
      <c r="BV612" s="90"/>
      <c r="BW612" s="90"/>
      <c r="BX612" s="90"/>
      <c r="BY612" s="90"/>
      <c r="BZ612" s="90"/>
      <c r="CA612" s="90"/>
      <c r="CB612" s="90"/>
      <c r="CC612" s="90"/>
      <c r="CD612" s="90"/>
      <c r="CE612" s="90"/>
      <c r="CF612" s="90"/>
      <c r="CG612" s="90"/>
      <c r="CH612" s="90"/>
      <c r="CI612" s="90"/>
      <c r="CJ612" s="90"/>
      <c r="CK612" s="90"/>
      <c r="CL612" s="90"/>
      <c r="CM612" s="90"/>
      <c r="CN612" s="90"/>
      <c r="CO612" s="90"/>
      <c r="CP612" s="90"/>
      <c r="CQ612" s="90"/>
      <c r="CR612" s="90"/>
      <c r="CS612" s="90"/>
      <c r="CT612" s="90"/>
      <c r="CU612" s="90"/>
      <c r="CV612" s="90"/>
      <c r="CW612" s="90"/>
    </row>
    <row r="613" ht="16.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  <c r="BO613" s="90"/>
      <c r="BP613" s="90"/>
      <c r="BQ613" s="90"/>
      <c r="BR613" s="90"/>
      <c r="BS613" s="90"/>
      <c r="BT613" s="90"/>
      <c r="BU613" s="90"/>
      <c r="BV613" s="90"/>
      <c r="BW613" s="90"/>
      <c r="BX613" s="90"/>
      <c r="BY613" s="90"/>
      <c r="BZ613" s="90"/>
      <c r="CA613" s="90"/>
      <c r="CB613" s="90"/>
      <c r="CC613" s="90"/>
      <c r="CD613" s="90"/>
      <c r="CE613" s="90"/>
      <c r="CF613" s="90"/>
      <c r="CG613" s="90"/>
      <c r="CH613" s="90"/>
      <c r="CI613" s="90"/>
      <c r="CJ613" s="90"/>
      <c r="CK613" s="90"/>
      <c r="CL613" s="90"/>
      <c r="CM613" s="90"/>
      <c r="CN613" s="90"/>
      <c r="CO613" s="90"/>
      <c r="CP613" s="90"/>
      <c r="CQ613" s="90"/>
      <c r="CR613" s="90"/>
      <c r="CS613" s="90"/>
      <c r="CT613" s="90"/>
      <c r="CU613" s="90"/>
      <c r="CV613" s="90"/>
      <c r="CW613" s="90"/>
    </row>
    <row r="614" ht="16.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0"/>
      <c r="BS614" s="90"/>
      <c r="BT614" s="90"/>
      <c r="BU614" s="90"/>
      <c r="BV614" s="90"/>
      <c r="BW614" s="90"/>
      <c r="BX614" s="90"/>
      <c r="BY614" s="90"/>
      <c r="BZ614" s="90"/>
      <c r="CA614" s="90"/>
      <c r="CB614" s="90"/>
      <c r="CC614" s="90"/>
      <c r="CD614" s="90"/>
      <c r="CE614" s="90"/>
      <c r="CF614" s="90"/>
      <c r="CG614" s="90"/>
      <c r="CH614" s="90"/>
      <c r="CI614" s="90"/>
      <c r="CJ614" s="90"/>
      <c r="CK614" s="90"/>
      <c r="CL614" s="90"/>
      <c r="CM614" s="90"/>
      <c r="CN614" s="90"/>
      <c r="CO614" s="90"/>
      <c r="CP614" s="90"/>
      <c r="CQ614" s="90"/>
      <c r="CR614" s="90"/>
      <c r="CS614" s="90"/>
      <c r="CT614" s="90"/>
      <c r="CU614" s="90"/>
      <c r="CV614" s="90"/>
      <c r="CW614" s="90"/>
    </row>
    <row r="615" ht="16.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  <c r="BO615" s="90"/>
      <c r="BP615" s="90"/>
      <c r="BQ615" s="90"/>
      <c r="BR615" s="90"/>
      <c r="BS615" s="90"/>
      <c r="BT615" s="90"/>
      <c r="BU615" s="90"/>
      <c r="BV615" s="90"/>
      <c r="BW615" s="90"/>
      <c r="BX615" s="90"/>
      <c r="BY615" s="90"/>
      <c r="BZ615" s="90"/>
      <c r="CA615" s="90"/>
      <c r="CB615" s="90"/>
      <c r="CC615" s="90"/>
      <c r="CD615" s="90"/>
      <c r="CE615" s="90"/>
      <c r="CF615" s="90"/>
      <c r="CG615" s="90"/>
      <c r="CH615" s="90"/>
      <c r="CI615" s="90"/>
      <c r="CJ615" s="90"/>
      <c r="CK615" s="90"/>
      <c r="CL615" s="90"/>
      <c r="CM615" s="90"/>
      <c r="CN615" s="90"/>
      <c r="CO615" s="90"/>
      <c r="CP615" s="90"/>
      <c r="CQ615" s="90"/>
      <c r="CR615" s="90"/>
      <c r="CS615" s="90"/>
      <c r="CT615" s="90"/>
      <c r="CU615" s="90"/>
      <c r="CV615" s="90"/>
      <c r="CW615" s="90"/>
    </row>
    <row r="616" ht="16.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0"/>
      <c r="BQ616" s="90"/>
      <c r="BR616" s="90"/>
      <c r="BS616" s="90"/>
      <c r="BT616" s="90"/>
      <c r="BU616" s="90"/>
      <c r="BV616" s="90"/>
      <c r="BW616" s="90"/>
      <c r="BX616" s="90"/>
      <c r="BY616" s="90"/>
      <c r="BZ616" s="90"/>
      <c r="CA616" s="90"/>
      <c r="CB616" s="90"/>
      <c r="CC616" s="90"/>
      <c r="CD616" s="90"/>
      <c r="CE616" s="90"/>
      <c r="CF616" s="90"/>
      <c r="CG616" s="90"/>
      <c r="CH616" s="90"/>
      <c r="CI616" s="90"/>
      <c r="CJ616" s="90"/>
      <c r="CK616" s="90"/>
      <c r="CL616" s="90"/>
      <c r="CM616" s="90"/>
      <c r="CN616" s="90"/>
      <c r="CO616" s="90"/>
      <c r="CP616" s="90"/>
      <c r="CQ616" s="90"/>
      <c r="CR616" s="90"/>
      <c r="CS616" s="90"/>
      <c r="CT616" s="90"/>
      <c r="CU616" s="90"/>
      <c r="CV616" s="90"/>
      <c r="CW616" s="90"/>
    </row>
    <row r="617" ht="16.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  <c r="BK617" s="90"/>
      <c r="BL617" s="90"/>
      <c r="BM617" s="90"/>
      <c r="BN617" s="90"/>
      <c r="BO617" s="90"/>
      <c r="BP617" s="90"/>
      <c r="BQ617" s="90"/>
      <c r="BR617" s="90"/>
      <c r="BS617" s="90"/>
      <c r="BT617" s="90"/>
      <c r="BU617" s="90"/>
      <c r="BV617" s="90"/>
      <c r="BW617" s="90"/>
      <c r="BX617" s="90"/>
      <c r="BY617" s="90"/>
      <c r="BZ617" s="90"/>
      <c r="CA617" s="90"/>
      <c r="CB617" s="90"/>
      <c r="CC617" s="90"/>
      <c r="CD617" s="90"/>
      <c r="CE617" s="90"/>
      <c r="CF617" s="90"/>
      <c r="CG617" s="90"/>
      <c r="CH617" s="90"/>
      <c r="CI617" s="90"/>
      <c r="CJ617" s="90"/>
      <c r="CK617" s="90"/>
      <c r="CL617" s="90"/>
      <c r="CM617" s="90"/>
      <c r="CN617" s="90"/>
      <c r="CO617" s="90"/>
      <c r="CP617" s="90"/>
      <c r="CQ617" s="90"/>
      <c r="CR617" s="90"/>
      <c r="CS617" s="90"/>
      <c r="CT617" s="90"/>
      <c r="CU617" s="90"/>
      <c r="CV617" s="90"/>
      <c r="CW617" s="90"/>
    </row>
    <row r="618" ht="16.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0"/>
      <c r="BQ618" s="90"/>
      <c r="BR618" s="90"/>
      <c r="BS618" s="90"/>
      <c r="BT618" s="90"/>
      <c r="BU618" s="90"/>
      <c r="BV618" s="90"/>
      <c r="BW618" s="90"/>
      <c r="BX618" s="90"/>
      <c r="BY618" s="90"/>
      <c r="BZ618" s="90"/>
      <c r="CA618" s="90"/>
      <c r="CB618" s="90"/>
      <c r="CC618" s="90"/>
      <c r="CD618" s="90"/>
      <c r="CE618" s="90"/>
      <c r="CF618" s="90"/>
      <c r="CG618" s="90"/>
      <c r="CH618" s="90"/>
      <c r="CI618" s="90"/>
      <c r="CJ618" s="90"/>
      <c r="CK618" s="90"/>
      <c r="CL618" s="90"/>
      <c r="CM618" s="90"/>
      <c r="CN618" s="90"/>
      <c r="CO618" s="90"/>
      <c r="CP618" s="90"/>
      <c r="CQ618" s="90"/>
      <c r="CR618" s="90"/>
      <c r="CS618" s="90"/>
      <c r="CT618" s="90"/>
      <c r="CU618" s="90"/>
      <c r="CV618" s="90"/>
      <c r="CW618" s="90"/>
    </row>
    <row r="619" ht="16.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  <c r="BK619" s="90"/>
      <c r="BL619" s="90"/>
      <c r="BM619" s="90"/>
      <c r="BN619" s="90"/>
      <c r="BO619" s="90"/>
      <c r="BP619" s="90"/>
      <c r="BQ619" s="90"/>
      <c r="BR619" s="90"/>
      <c r="BS619" s="90"/>
      <c r="BT619" s="90"/>
      <c r="BU619" s="90"/>
      <c r="BV619" s="90"/>
      <c r="BW619" s="90"/>
      <c r="BX619" s="90"/>
      <c r="BY619" s="90"/>
      <c r="BZ619" s="90"/>
      <c r="CA619" s="90"/>
      <c r="CB619" s="90"/>
      <c r="CC619" s="90"/>
      <c r="CD619" s="90"/>
      <c r="CE619" s="90"/>
      <c r="CF619" s="90"/>
      <c r="CG619" s="90"/>
      <c r="CH619" s="90"/>
      <c r="CI619" s="90"/>
      <c r="CJ619" s="90"/>
      <c r="CK619" s="90"/>
      <c r="CL619" s="90"/>
      <c r="CM619" s="90"/>
      <c r="CN619" s="90"/>
      <c r="CO619" s="90"/>
      <c r="CP619" s="90"/>
      <c r="CQ619" s="90"/>
      <c r="CR619" s="90"/>
      <c r="CS619" s="90"/>
      <c r="CT619" s="90"/>
      <c r="CU619" s="90"/>
      <c r="CV619" s="90"/>
      <c r="CW619" s="90"/>
    </row>
    <row r="620" ht="16.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0"/>
      <c r="BQ620" s="90"/>
      <c r="BR620" s="90"/>
      <c r="BS620" s="90"/>
      <c r="BT620" s="90"/>
      <c r="BU620" s="90"/>
      <c r="BV620" s="90"/>
      <c r="BW620" s="90"/>
      <c r="BX620" s="90"/>
      <c r="BY620" s="90"/>
      <c r="BZ620" s="90"/>
      <c r="CA620" s="90"/>
      <c r="CB620" s="90"/>
      <c r="CC620" s="90"/>
      <c r="CD620" s="90"/>
      <c r="CE620" s="90"/>
      <c r="CF620" s="90"/>
      <c r="CG620" s="90"/>
      <c r="CH620" s="90"/>
      <c r="CI620" s="90"/>
      <c r="CJ620" s="90"/>
      <c r="CK620" s="90"/>
      <c r="CL620" s="90"/>
      <c r="CM620" s="90"/>
      <c r="CN620" s="90"/>
      <c r="CO620" s="90"/>
      <c r="CP620" s="90"/>
      <c r="CQ620" s="90"/>
      <c r="CR620" s="90"/>
      <c r="CS620" s="90"/>
      <c r="CT620" s="90"/>
      <c r="CU620" s="90"/>
      <c r="CV620" s="90"/>
      <c r="CW620" s="90"/>
    </row>
    <row r="621" ht="16.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  <c r="BK621" s="90"/>
      <c r="BL621" s="90"/>
      <c r="BM621" s="90"/>
      <c r="BN621" s="90"/>
      <c r="BO621" s="90"/>
      <c r="BP621" s="90"/>
      <c r="BQ621" s="90"/>
      <c r="BR621" s="90"/>
      <c r="BS621" s="90"/>
      <c r="BT621" s="90"/>
      <c r="BU621" s="90"/>
      <c r="BV621" s="90"/>
      <c r="BW621" s="90"/>
      <c r="BX621" s="90"/>
      <c r="BY621" s="90"/>
      <c r="BZ621" s="90"/>
      <c r="CA621" s="90"/>
      <c r="CB621" s="90"/>
      <c r="CC621" s="90"/>
      <c r="CD621" s="90"/>
      <c r="CE621" s="90"/>
      <c r="CF621" s="90"/>
      <c r="CG621" s="90"/>
      <c r="CH621" s="90"/>
      <c r="CI621" s="90"/>
      <c r="CJ621" s="90"/>
      <c r="CK621" s="90"/>
      <c r="CL621" s="90"/>
      <c r="CM621" s="90"/>
      <c r="CN621" s="90"/>
      <c r="CO621" s="90"/>
      <c r="CP621" s="90"/>
      <c r="CQ621" s="90"/>
      <c r="CR621" s="90"/>
      <c r="CS621" s="90"/>
      <c r="CT621" s="90"/>
      <c r="CU621" s="90"/>
      <c r="CV621" s="90"/>
      <c r="CW621" s="90"/>
    </row>
    <row r="622" ht="16.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0"/>
      <c r="BQ622" s="90"/>
      <c r="BR622" s="90"/>
      <c r="BS622" s="90"/>
      <c r="BT622" s="90"/>
      <c r="BU622" s="90"/>
      <c r="BV622" s="90"/>
      <c r="BW622" s="90"/>
      <c r="BX622" s="90"/>
      <c r="BY622" s="90"/>
      <c r="BZ622" s="90"/>
      <c r="CA622" s="90"/>
      <c r="CB622" s="90"/>
      <c r="CC622" s="90"/>
      <c r="CD622" s="90"/>
      <c r="CE622" s="90"/>
      <c r="CF622" s="90"/>
      <c r="CG622" s="90"/>
      <c r="CH622" s="90"/>
      <c r="CI622" s="90"/>
      <c r="CJ622" s="90"/>
      <c r="CK622" s="90"/>
      <c r="CL622" s="90"/>
      <c r="CM622" s="90"/>
      <c r="CN622" s="90"/>
      <c r="CO622" s="90"/>
      <c r="CP622" s="90"/>
      <c r="CQ622" s="90"/>
      <c r="CR622" s="90"/>
      <c r="CS622" s="90"/>
      <c r="CT622" s="90"/>
      <c r="CU622" s="90"/>
      <c r="CV622" s="90"/>
      <c r="CW622" s="90"/>
    </row>
    <row r="623" ht="16.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  <c r="BK623" s="90"/>
      <c r="BL623" s="90"/>
      <c r="BM623" s="90"/>
      <c r="BN623" s="90"/>
      <c r="BO623" s="90"/>
      <c r="BP623" s="90"/>
      <c r="BQ623" s="90"/>
      <c r="BR623" s="90"/>
      <c r="BS623" s="90"/>
      <c r="BT623" s="90"/>
      <c r="BU623" s="90"/>
      <c r="BV623" s="90"/>
      <c r="BW623" s="90"/>
      <c r="BX623" s="90"/>
      <c r="BY623" s="90"/>
      <c r="BZ623" s="90"/>
      <c r="CA623" s="90"/>
      <c r="CB623" s="90"/>
      <c r="CC623" s="90"/>
      <c r="CD623" s="90"/>
      <c r="CE623" s="90"/>
      <c r="CF623" s="90"/>
      <c r="CG623" s="90"/>
      <c r="CH623" s="90"/>
      <c r="CI623" s="90"/>
      <c r="CJ623" s="90"/>
      <c r="CK623" s="90"/>
      <c r="CL623" s="90"/>
      <c r="CM623" s="90"/>
      <c r="CN623" s="90"/>
      <c r="CO623" s="90"/>
      <c r="CP623" s="90"/>
      <c r="CQ623" s="90"/>
      <c r="CR623" s="90"/>
      <c r="CS623" s="90"/>
      <c r="CT623" s="90"/>
      <c r="CU623" s="90"/>
      <c r="CV623" s="90"/>
      <c r="CW623" s="90"/>
    </row>
    <row r="624" ht="16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0"/>
      <c r="BS624" s="90"/>
      <c r="BT624" s="90"/>
      <c r="BU624" s="90"/>
      <c r="BV624" s="90"/>
      <c r="BW624" s="90"/>
      <c r="BX624" s="90"/>
      <c r="BY624" s="90"/>
      <c r="BZ624" s="90"/>
      <c r="CA624" s="90"/>
      <c r="CB624" s="90"/>
      <c r="CC624" s="90"/>
      <c r="CD624" s="90"/>
      <c r="CE624" s="90"/>
      <c r="CF624" s="90"/>
      <c r="CG624" s="90"/>
      <c r="CH624" s="90"/>
      <c r="CI624" s="90"/>
      <c r="CJ624" s="90"/>
      <c r="CK624" s="90"/>
      <c r="CL624" s="90"/>
      <c r="CM624" s="90"/>
      <c r="CN624" s="90"/>
      <c r="CO624" s="90"/>
      <c r="CP624" s="90"/>
      <c r="CQ624" s="90"/>
      <c r="CR624" s="90"/>
      <c r="CS624" s="90"/>
      <c r="CT624" s="90"/>
      <c r="CU624" s="90"/>
      <c r="CV624" s="90"/>
      <c r="CW624" s="90"/>
    </row>
    <row r="625" ht="16.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  <c r="BO625" s="90"/>
      <c r="BP625" s="90"/>
      <c r="BQ625" s="90"/>
      <c r="BR625" s="90"/>
      <c r="BS625" s="90"/>
      <c r="BT625" s="90"/>
      <c r="BU625" s="90"/>
      <c r="BV625" s="90"/>
      <c r="BW625" s="90"/>
      <c r="BX625" s="90"/>
      <c r="BY625" s="90"/>
      <c r="BZ625" s="90"/>
      <c r="CA625" s="90"/>
      <c r="CB625" s="90"/>
      <c r="CC625" s="90"/>
      <c r="CD625" s="90"/>
      <c r="CE625" s="90"/>
      <c r="CF625" s="90"/>
      <c r="CG625" s="90"/>
      <c r="CH625" s="90"/>
      <c r="CI625" s="90"/>
      <c r="CJ625" s="90"/>
      <c r="CK625" s="90"/>
      <c r="CL625" s="90"/>
      <c r="CM625" s="90"/>
      <c r="CN625" s="90"/>
      <c r="CO625" s="90"/>
      <c r="CP625" s="90"/>
      <c r="CQ625" s="90"/>
      <c r="CR625" s="90"/>
      <c r="CS625" s="90"/>
      <c r="CT625" s="90"/>
      <c r="CU625" s="90"/>
      <c r="CV625" s="90"/>
      <c r="CW625" s="90"/>
    </row>
    <row r="626" ht="16.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0"/>
      <c r="BQ626" s="90"/>
      <c r="BR626" s="90"/>
      <c r="BS626" s="90"/>
      <c r="BT626" s="90"/>
      <c r="BU626" s="90"/>
      <c r="BV626" s="90"/>
      <c r="BW626" s="90"/>
      <c r="BX626" s="90"/>
      <c r="BY626" s="90"/>
      <c r="BZ626" s="90"/>
      <c r="CA626" s="90"/>
      <c r="CB626" s="90"/>
      <c r="CC626" s="90"/>
      <c r="CD626" s="90"/>
      <c r="CE626" s="90"/>
      <c r="CF626" s="90"/>
      <c r="CG626" s="90"/>
      <c r="CH626" s="90"/>
      <c r="CI626" s="90"/>
      <c r="CJ626" s="90"/>
      <c r="CK626" s="90"/>
      <c r="CL626" s="90"/>
      <c r="CM626" s="90"/>
      <c r="CN626" s="90"/>
      <c r="CO626" s="90"/>
      <c r="CP626" s="90"/>
      <c r="CQ626" s="90"/>
      <c r="CR626" s="90"/>
      <c r="CS626" s="90"/>
      <c r="CT626" s="90"/>
      <c r="CU626" s="90"/>
      <c r="CV626" s="90"/>
      <c r="CW626" s="90"/>
    </row>
    <row r="627" ht="16.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  <c r="BK627" s="90"/>
      <c r="BL627" s="90"/>
      <c r="BM627" s="90"/>
      <c r="BN627" s="90"/>
      <c r="BO627" s="90"/>
      <c r="BP627" s="90"/>
      <c r="BQ627" s="90"/>
      <c r="BR627" s="90"/>
      <c r="BS627" s="90"/>
      <c r="BT627" s="90"/>
      <c r="BU627" s="90"/>
      <c r="BV627" s="90"/>
      <c r="BW627" s="90"/>
      <c r="BX627" s="90"/>
      <c r="BY627" s="90"/>
      <c r="BZ627" s="90"/>
      <c r="CA627" s="90"/>
      <c r="CB627" s="90"/>
      <c r="CC627" s="90"/>
      <c r="CD627" s="90"/>
      <c r="CE627" s="90"/>
      <c r="CF627" s="90"/>
      <c r="CG627" s="90"/>
      <c r="CH627" s="90"/>
      <c r="CI627" s="90"/>
      <c r="CJ627" s="90"/>
      <c r="CK627" s="90"/>
      <c r="CL627" s="90"/>
      <c r="CM627" s="90"/>
      <c r="CN627" s="90"/>
      <c r="CO627" s="90"/>
      <c r="CP627" s="90"/>
      <c r="CQ627" s="90"/>
      <c r="CR627" s="90"/>
      <c r="CS627" s="90"/>
      <c r="CT627" s="90"/>
      <c r="CU627" s="90"/>
      <c r="CV627" s="90"/>
      <c r="CW627" s="90"/>
    </row>
    <row r="628" ht="16.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0"/>
      <c r="BQ628" s="90"/>
      <c r="BR628" s="90"/>
      <c r="BS628" s="90"/>
      <c r="BT628" s="90"/>
      <c r="BU628" s="90"/>
      <c r="BV628" s="90"/>
      <c r="BW628" s="90"/>
      <c r="BX628" s="90"/>
      <c r="BY628" s="90"/>
      <c r="BZ628" s="90"/>
      <c r="CA628" s="90"/>
      <c r="CB628" s="90"/>
      <c r="CC628" s="90"/>
      <c r="CD628" s="90"/>
      <c r="CE628" s="90"/>
      <c r="CF628" s="90"/>
      <c r="CG628" s="90"/>
      <c r="CH628" s="90"/>
      <c r="CI628" s="90"/>
      <c r="CJ628" s="90"/>
      <c r="CK628" s="90"/>
      <c r="CL628" s="90"/>
      <c r="CM628" s="90"/>
      <c r="CN628" s="90"/>
      <c r="CO628" s="90"/>
      <c r="CP628" s="90"/>
      <c r="CQ628" s="90"/>
      <c r="CR628" s="90"/>
      <c r="CS628" s="90"/>
      <c r="CT628" s="90"/>
      <c r="CU628" s="90"/>
      <c r="CV628" s="90"/>
      <c r="CW628" s="90"/>
    </row>
    <row r="629" ht="16.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H629" s="90"/>
      <c r="BI629" s="90"/>
      <c r="BJ629" s="90"/>
      <c r="BK629" s="90"/>
      <c r="BL629" s="90"/>
      <c r="BM629" s="90"/>
      <c r="BN629" s="90"/>
      <c r="BO629" s="90"/>
      <c r="BP629" s="90"/>
      <c r="BQ629" s="90"/>
      <c r="BR629" s="90"/>
      <c r="BS629" s="90"/>
      <c r="BT629" s="90"/>
      <c r="BU629" s="90"/>
      <c r="BV629" s="90"/>
      <c r="BW629" s="90"/>
      <c r="BX629" s="90"/>
      <c r="BY629" s="90"/>
      <c r="BZ629" s="90"/>
      <c r="CA629" s="90"/>
      <c r="CB629" s="90"/>
      <c r="CC629" s="90"/>
      <c r="CD629" s="90"/>
      <c r="CE629" s="90"/>
      <c r="CF629" s="90"/>
      <c r="CG629" s="90"/>
      <c r="CH629" s="90"/>
      <c r="CI629" s="90"/>
      <c r="CJ629" s="90"/>
      <c r="CK629" s="90"/>
      <c r="CL629" s="90"/>
      <c r="CM629" s="90"/>
      <c r="CN629" s="90"/>
      <c r="CO629" s="90"/>
      <c r="CP629" s="90"/>
      <c r="CQ629" s="90"/>
      <c r="CR629" s="90"/>
      <c r="CS629" s="90"/>
      <c r="CT629" s="90"/>
      <c r="CU629" s="90"/>
      <c r="CV629" s="90"/>
      <c r="CW629" s="90"/>
    </row>
    <row r="630" ht="16.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0"/>
      <c r="BQ630" s="90"/>
      <c r="BR630" s="90"/>
      <c r="BS630" s="90"/>
      <c r="BT630" s="90"/>
      <c r="BU630" s="90"/>
      <c r="BV630" s="90"/>
      <c r="BW630" s="90"/>
      <c r="BX630" s="90"/>
      <c r="BY630" s="90"/>
      <c r="BZ630" s="90"/>
      <c r="CA630" s="90"/>
      <c r="CB630" s="90"/>
      <c r="CC630" s="90"/>
      <c r="CD630" s="90"/>
      <c r="CE630" s="90"/>
      <c r="CF630" s="90"/>
      <c r="CG630" s="90"/>
      <c r="CH630" s="90"/>
      <c r="CI630" s="90"/>
      <c r="CJ630" s="90"/>
      <c r="CK630" s="90"/>
      <c r="CL630" s="90"/>
      <c r="CM630" s="90"/>
      <c r="CN630" s="90"/>
      <c r="CO630" s="90"/>
      <c r="CP630" s="90"/>
      <c r="CQ630" s="90"/>
      <c r="CR630" s="90"/>
      <c r="CS630" s="90"/>
      <c r="CT630" s="90"/>
      <c r="CU630" s="90"/>
      <c r="CV630" s="90"/>
      <c r="CW630" s="90"/>
    </row>
    <row r="631" ht="16.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H631" s="90"/>
      <c r="BI631" s="90"/>
      <c r="BJ631" s="90"/>
      <c r="BK631" s="90"/>
      <c r="BL631" s="90"/>
      <c r="BM631" s="90"/>
      <c r="BN631" s="90"/>
      <c r="BO631" s="90"/>
      <c r="BP631" s="90"/>
      <c r="BQ631" s="90"/>
      <c r="BR631" s="90"/>
      <c r="BS631" s="90"/>
      <c r="BT631" s="90"/>
      <c r="BU631" s="90"/>
      <c r="BV631" s="90"/>
      <c r="BW631" s="90"/>
      <c r="BX631" s="90"/>
      <c r="BY631" s="90"/>
      <c r="BZ631" s="90"/>
      <c r="CA631" s="90"/>
      <c r="CB631" s="90"/>
      <c r="CC631" s="90"/>
      <c r="CD631" s="90"/>
      <c r="CE631" s="90"/>
      <c r="CF631" s="90"/>
      <c r="CG631" s="90"/>
      <c r="CH631" s="90"/>
      <c r="CI631" s="90"/>
      <c r="CJ631" s="90"/>
      <c r="CK631" s="90"/>
      <c r="CL631" s="90"/>
      <c r="CM631" s="90"/>
      <c r="CN631" s="90"/>
      <c r="CO631" s="90"/>
      <c r="CP631" s="90"/>
      <c r="CQ631" s="90"/>
      <c r="CR631" s="90"/>
      <c r="CS631" s="90"/>
      <c r="CT631" s="90"/>
      <c r="CU631" s="90"/>
      <c r="CV631" s="90"/>
      <c r="CW631" s="90"/>
    </row>
    <row r="632" ht="16.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0"/>
      <c r="BQ632" s="90"/>
      <c r="BR632" s="90"/>
      <c r="BS632" s="90"/>
      <c r="BT632" s="90"/>
      <c r="BU632" s="90"/>
      <c r="BV632" s="90"/>
      <c r="BW632" s="90"/>
      <c r="BX632" s="90"/>
      <c r="BY632" s="90"/>
      <c r="BZ632" s="90"/>
      <c r="CA632" s="90"/>
      <c r="CB632" s="90"/>
      <c r="CC632" s="90"/>
      <c r="CD632" s="90"/>
      <c r="CE632" s="90"/>
      <c r="CF632" s="90"/>
      <c r="CG632" s="90"/>
      <c r="CH632" s="90"/>
      <c r="CI632" s="90"/>
      <c r="CJ632" s="90"/>
      <c r="CK632" s="90"/>
      <c r="CL632" s="90"/>
      <c r="CM632" s="90"/>
      <c r="CN632" s="90"/>
      <c r="CO632" s="90"/>
      <c r="CP632" s="90"/>
      <c r="CQ632" s="90"/>
      <c r="CR632" s="90"/>
      <c r="CS632" s="90"/>
      <c r="CT632" s="90"/>
      <c r="CU632" s="90"/>
      <c r="CV632" s="90"/>
      <c r="CW632" s="90"/>
    </row>
    <row r="633" ht="16.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  <c r="BK633" s="90"/>
      <c r="BL633" s="90"/>
      <c r="BM633" s="90"/>
      <c r="BN633" s="90"/>
      <c r="BO633" s="90"/>
      <c r="BP633" s="90"/>
      <c r="BQ633" s="90"/>
      <c r="BR633" s="90"/>
      <c r="BS633" s="90"/>
      <c r="BT633" s="90"/>
      <c r="BU633" s="90"/>
      <c r="BV633" s="90"/>
      <c r="BW633" s="90"/>
      <c r="BX633" s="90"/>
      <c r="BY633" s="90"/>
      <c r="BZ633" s="90"/>
      <c r="CA633" s="90"/>
      <c r="CB633" s="90"/>
      <c r="CC633" s="90"/>
      <c r="CD633" s="90"/>
      <c r="CE633" s="90"/>
      <c r="CF633" s="90"/>
      <c r="CG633" s="90"/>
      <c r="CH633" s="90"/>
      <c r="CI633" s="90"/>
      <c r="CJ633" s="90"/>
      <c r="CK633" s="90"/>
      <c r="CL633" s="90"/>
      <c r="CM633" s="90"/>
      <c r="CN633" s="90"/>
      <c r="CO633" s="90"/>
      <c r="CP633" s="90"/>
      <c r="CQ633" s="90"/>
      <c r="CR633" s="90"/>
      <c r="CS633" s="90"/>
      <c r="CT633" s="90"/>
      <c r="CU633" s="90"/>
      <c r="CV633" s="90"/>
      <c r="CW633" s="90"/>
    </row>
    <row r="634" ht="16.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0"/>
      <c r="BQ634" s="90"/>
      <c r="BR634" s="90"/>
      <c r="BS634" s="90"/>
      <c r="BT634" s="90"/>
      <c r="BU634" s="90"/>
      <c r="BV634" s="90"/>
      <c r="BW634" s="90"/>
      <c r="BX634" s="90"/>
      <c r="BY634" s="90"/>
      <c r="BZ634" s="90"/>
      <c r="CA634" s="90"/>
      <c r="CB634" s="90"/>
      <c r="CC634" s="90"/>
      <c r="CD634" s="90"/>
      <c r="CE634" s="90"/>
      <c r="CF634" s="90"/>
      <c r="CG634" s="90"/>
      <c r="CH634" s="90"/>
      <c r="CI634" s="90"/>
      <c r="CJ634" s="90"/>
      <c r="CK634" s="90"/>
      <c r="CL634" s="90"/>
      <c r="CM634" s="90"/>
      <c r="CN634" s="90"/>
      <c r="CO634" s="90"/>
      <c r="CP634" s="90"/>
      <c r="CQ634" s="90"/>
      <c r="CR634" s="90"/>
      <c r="CS634" s="90"/>
      <c r="CT634" s="90"/>
      <c r="CU634" s="90"/>
      <c r="CV634" s="90"/>
      <c r="CW634" s="90"/>
    </row>
    <row r="635" ht="16.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H635" s="90"/>
      <c r="BI635" s="90"/>
      <c r="BJ635" s="90"/>
      <c r="BK635" s="90"/>
      <c r="BL635" s="90"/>
      <c r="BM635" s="90"/>
      <c r="BN635" s="90"/>
      <c r="BO635" s="90"/>
      <c r="BP635" s="90"/>
      <c r="BQ635" s="90"/>
      <c r="BR635" s="90"/>
      <c r="BS635" s="90"/>
      <c r="BT635" s="90"/>
      <c r="BU635" s="90"/>
      <c r="BV635" s="90"/>
      <c r="BW635" s="90"/>
      <c r="BX635" s="90"/>
      <c r="BY635" s="90"/>
      <c r="BZ635" s="90"/>
      <c r="CA635" s="90"/>
      <c r="CB635" s="90"/>
      <c r="CC635" s="90"/>
      <c r="CD635" s="90"/>
      <c r="CE635" s="90"/>
      <c r="CF635" s="90"/>
      <c r="CG635" s="90"/>
      <c r="CH635" s="90"/>
      <c r="CI635" s="90"/>
      <c r="CJ635" s="90"/>
      <c r="CK635" s="90"/>
      <c r="CL635" s="90"/>
      <c r="CM635" s="90"/>
      <c r="CN635" s="90"/>
      <c r="CO635" s="90"/>
      <c r="CP635" s="90"/>
      <c r="CQ635" s="90"/>
      <c r="CR635" s="90"/>
      <c r="CS635" s="90"/>
      <c r="CT635" s="90"/>
      <c r="CU635" s="90"/>
      <c r="CV635" s="90"/>
      <c r="CW635" s="90"/>
    </row>
    <row r="636" ht="16.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0"/>
      <c r="BQ636" s="90"/>
      <c r="BR636" s="90"/>
      <c r="BS636" s="90"/>
      <c r="BT636" s="90"/>
      <c r="BU636" s="90"/>
      <c r="BV636" s="90"/>
      <c r="BW636" s="90"/>
      <c r="BX636" s="90"/>
      <c r="BY636" s="90"/>
      <c r="BZ636" s="90"/>
      <c r="CA636" s="90"/>
      <c r="CB636" s="90"/>
      <c r="CC636" s="90"/>
      <c r="CD636" s="90"/>
      <c r="CE636" s="90"/>
      <c r="CF636" s="90"/>
      <c r="CG636" s="90"/>
      <c r="CH636" s="90"/>
      <c r="CI636" s="90"/>
      <c r="CJ636" s="90"/>
      <c r="CK636" s="90"/>
      <c r="CL636" s="90"/>
      <c r="CM636" s="90"/>
      <c r="CN636" s="90"/>
      <c r="CO636" s="90"/>
      <c r="CP636" s="90"/>
      <c r="CQ636" s="90"/>
      <c r="CR636" s="90"/>
      <c r="CS636" s="90"/>
      <c r="CT636" s="90"/>
      <c r="CU636" s="90"/>
      <c r="CV636" s="90"/>
      <c r="CW636" s="90"/>
    </row>
    <row r="637" ht="16.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H637" s="90"/>
      <c r="BI637" s="90"/>
      <c r="BJ637" s="90"/>
      <c r="BK637" s="90"/>
      <c r="BL637" s="90"/>
      <c r="BM637" s="90"/>
      <c r="BN637" s="90"/>
      <c r="BO637" s="90"/>
      <c r="BP637" s="90"/>
      <c r="BQ637" s="90"/>
      <c r="BR637" s="90"/>
      <c r="BS637" s="90"/>
      <c r="BT637" s="90"/>
      <c r="BU637" s="90"/>
      <c r="BV637" s="90"/>
      <c r="BW637" s="90"/>
      <c r="BX637" s="90"/>
      <c r="BY637" s="90"/>
      <c r="BZ637" s="90"/>
      <c r="CA637" s="90"/>
      <c r="CB637" s="90"/>
      <c r="CC637" s="90"/>
      <c r="CD637" s="90"/>
      <c r="CE637" s="90"/>
      <c r="CF637" s="90"/>
      <c r="CG637" s="90"/>
      <c r="CH637" s="90"/>
      <c r="CI637" s="90"/>
      <c r="CJ637" s="90"/>
      <c r="CK637" s="90"/>
      <c r="CL637" s="90"/>
      <c r="CM637" s="90"/>
      <c r="CN637" s="90"/>
      <c r="CO637" s="90"/>
      <c r="CP637" s="90"/>
      <c r="CQ637" s="90"/>
      <c r="CR637" s="90"/>
      <c r="CS637" s="90"/>
      <c r="CT637" s="90"/>
      <c r="CU637" s="90"/>
      <c r="CV637" s="90"/>
      <c r="CW637" s="90"/>
    </row>
    <row r="638" ht="16.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0"/>
      <c r="BQ638" s="90"/>
      <c r="BR638" s="90"/>
      <c r="BS638" s="90"/>
      <c r="BT638" s="90"/>
      <c r="BU638" s="90"/>
      <c r="BV638" s="90"/>
      <c r="BW638" s="90"/>
      <c r="BX638" s="90"/>
      <c r="BY638" s="90"/>
      <c r="BZ638" s="90"/>
      <c r="CA638" s="90"/>
      <c r="CB638" s="90"/>
      <c r="CC638" s="90"/>
      <c r="CD638" s="90"/>
      <c r="CE638" s="90"/>
      <c r="CF638" s="90"/>
      <c r="CG638" s="90"/>
      <c r="CH638" s="90"/>
      <c r="CI638" s="90"/>
      <c r="CJ638" s="90"/>
      <c r="CK638" s="90"/>
      <c r="CL638" s="90"/>
      <c r="CM638" s="90"/>
      <c r="CN638" s="90"/>
      <c r="CO638" s="90"/>
      <c r="CP638" s="90"/>
      <c r="CQ638" s="90"/>
      <c r="CR638" s="90"/>
      <c r="CS638" s="90"/>
      <c r="CT638" s="90"/>
      <c r="CU638" s="90"/>
      <c r="CV638" s="90"/>
      <c r="CW638" s="90"/>
    </row>
    <row r="639" ht="16.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H639" s="90"/>
      <c r="BI639" s="90"/>
      <c r="BJ639" s="90"/>
      <c r="BK639" s="90"/>
      <c r="BL639" s="90"/>
      <c r="BM639" s="90"/>
      <c r="BN639" s="90"/>
      <c r="BO639" s="90"/>
      <c r="BP639" s="90"/>
      <c r="BQ639" s="90"/>
      <c r="BR639" s="90"/>
      <c r="BS639" s="90"/>
      <c r="BT639" s="90"/>
      <c r="BU639" s="90"/>
      <c r="BV639" s="90"/>
      <c r="BW639" s="90"/>
      <c r="BX639" s="90"/>
      <c r="BY639" s="90"/>
      <c r="BZ639" s="90"/>
      <c r="CA639" s="90"/>
      <c r="CB639" s="90"/>
      <c r="CC639" s="90"/>
      <c r="CD639" s="90"/>
      <c r="CE639" s="90"/>
      <c r="CF639" s="90"/>
      <c r="CG639" s="90"/>
      <c r="CH639" s="90"/>
      <c r="CI639" s="90"/>
      <c r="CJ639" s="90"/>
      <c r="CK639" s="90"/>
      <c r="CL639" s="90"/>
      <c r="CM639" s="90"/>
      <c r="CN639" s="90"/>
      <c r="CO639" s="90"/>
      <c r="CP639" s="90"/>
      <c r="CQ639" s="90"/>
      <c r="CR639" s="90"/>
      <c r="CS639" s="90"/>
      <c r="CT639" s="90"/>
      <c r="CU639" s="90"/>
      <c r="CV639" s="90"/>
      <c r="CW639" s="90"/>
    </row>
    <row r="640" ht="16.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0"/>
      <c r="BQ640" s="90"/>
      <c r="BR640" s="90"/>
      <c r="BS640" s="90"/>
      <c r="BT640" s="90"/>
      <c r="BU640" s="90"/>
      <c r="BV640" s="90"/>
      <c r="BW640" s="90"/>
      <c r="BX640" s="90"/>
      <c r="BY640" s="90"/>
      <c r="BZ640" s="90"/>
      <c r="CA640" s="90"/>
      <c r="CB640" s="90"/>
      <c r="CC640" s="90"/>
      <c r="CD640" s="90"/>
      <c r="CE640" s="90"/>
      <c r="CF640" s="90"/>
      <c r="CG640" s="90"/>
      <c r="CH640" s="90"/>
      <c r="CI640" s="90"/>
      <c r="CJ640" s="90"/>
      <c r="CK640" s="90"/>
      <c r="CL640" s="90"/>
      <c r="CM640" s="90"/>
      <c r="CN640" s="90"/>
      <c r="CO640" s="90"/>
      <c r="CP640" s="90"/>
      <c r="CQ640" s="90"/>
      <c r="CR640" s="90"/>
      <c r="CS640" s="90"/>
      <c r="CT640" s="90"/>
      <c r="CU640" s="90"/>
      <c r="CV640" s="90"/>
      <c r="CW640" s="90"/>
    </row>
    <row r="641" ht="16.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H641" s="90"/>
      <c r="BI641" s="90"/>
      <c r="BJ641" s="90"/>
      <c r="BK641" s="90"/>
      <c r="BL641" s="90"/>
      <c r="BM641" s="90"/>
      <c r="BN641" s="90"/>
      <c r="BO641" s="90"/>
      <c r="BP641" s="90"/>
      <c r="BQ641" s="90"/>
      <c r="BR641" s="90"/>
      <c r="BS641" s="90"/>
      <c r="BT641" s="90"/>
      <c r="BU641" s="90"/>
      <c r="BV641" s="90"/>
      <c r="BW641" s="90"/>
      <c r="BX641" s="90"/>
      <c r="BY641" s="90"/>
      <c r="BZ641" s="90"/>
      <c r="CA641" s="90"/>
      <c r="CB641" s="90"/>
      <c r="CC641" s="90"/>
      <c r="CD641" s="90"/>
      <c r="CE641" s="90"/>
      <c r="CF641" s="90"/>
      <c r="CG641" s="90"/>
      <c r="CH641" s="90"/>
      <c r="CI641" s="90"/>
      <c r="CJ641" s="90"/>
      <c r="CK641" s="90"/>
      <c r="CL641" s="90"/>
      <c r="CM641" s="90"/>
      <c r="CN641" s="90"/>
      <c r="CO641" s="90"/>
      <c r="CP641" s="90"/>
      <c r="CQ641" s="90"/>
      <c r="CR641" s="90"/>
      <c r="CS641" s="90"/>
      <c r="CT641" s="90"/>
      <c r="CU641" s="90"/>
      <c r="CV641" s="90"/>
      <c r="CW641" s="90"/>
    </row>
    <row r="642" ht="16.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0"/>
      <c r="BQ642" s="90"/>
      <c r="BR642" s="90"/>
      <c r="BS642" s="90"/>
      <c r="BT642" s="90"/>
      <c r="BU642" s="90"/>
      <c r="BV642" s="90"/>
      <c r="BW642" s="90"/>
      <c r="BX642" s="90"/>
      <c r="BY642" s="90"/>
      <c r="BZ642" s="90"/>
      <c r="CA642" s="90"/>
      <c r="CB642" s="90"/>
      <c r="CC642" s="90"/>
      <c r="CD642" s="90"/>
      <c r="CE642" s="90"/>
      <c r="CF642" s="90"/>
      <c r="CG642" s="90"/>
      <c r="CH642" s="90"/>
      <c r="CI642" s="90"/>
      <c r="CJ642" s="90"/>
      <c r="CK642" s="90"/>
      <c r="CL642" s="90"/>
      <c r="CM642" s="90"/>
      <c r="CN642" s="90"/>
      <c r="CO642" s="90"/>
      <c r="CP642" s="90"/>
      <c r="CQ642" s="90"/>
      <c r="CR642" s="90"/>
      <c r="CS642" s="90"/>
      <c r="CT642" s="90"/>
      <c r="CU642" s="90"/>
      <c r="CV642" s="90"/>
      <c r="CW642" s="90"/>
    </row>
    <row r="643" ht="16.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H643" s="90"/>
      <c r="BI643" s="90"/>
      <c r="BJ643" s="90"/>
      <c r="BK643" s="90"/>
      <c r="BL643" s="90"/>
      <c r="BM643" s="90"/>
      <c r="BN643" s="90"/>
      <c r="BO643" s="90"/>
      <c r="BP643" s="90"/>
      <c r="BQ643" s="90"/>
      <c r="BR643" s="90"/>
      <c r="BS643" s="90"/>
      <c r="BT643" s="90"/>
      <c r="BU643" s="90"/>
      <c r="BV643" s="90"/>
      <c r="BW643" s="90"/>
      <c r="BX643" s="90"/>
      <c r="BY643" s="90"/>
      <c r="BZ643" s="90"/>
      <c r="CA643" s="90"/>
      <c r="CB643" s="90"/>
      <c r="CC643" s="90"/>
      <c r="CD643" s="90"/>
      <c r="CE643" s="90"/>
      <c r="CF643" s="90"/>
      <c r="CG643" s="90"/>
      <c r="CH643" s="90"/>
      <c r="CI643" s="90"/>
      <c r="CJ643" s="90"/>
      <c r="CK643" s="90"/>
      <c r="CL643" s="90"/>
      <c r="CM643" s="90"/>
      <c r="CN643" s="90"/>
      <c r="CO643" s="90"/>
      <c r="CP643" s="90"/>
      <c r="CQ643" s="90"/>
      <c r="CR643" s="90"/>
      <c r="CS643" s="90"/>
      <c r="CT643" s="90"/>
      <c r="CU643" s="90"/>
      <c r="CV643" s="90"/>
      <c r="CW643" s="90"/>
    </row>
    <row r="644" ht="16.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0"/>
      <c r="BQ644" s="90"/>
      <c r="BR644" s="90"/>
      <c r="BS644" s="90"/>
      <c r="BT644" s="90"/>
      <c r="BU644" s="90"/>
      <c r="BV644" s="90"/>
      <c r="BW644" s="90"/>
      <c r="BX644" s="90"/>
      <c r="BY644" s="90"/>
      <c r="BZ644" s="90"/>
      <c r="CA644" s="90"/>
      <c r="CB644" s="90"/>
      <c r="CC644" s="90"/>
      <c r="CD644" s="90"/>
      <c r="CE644" s="90"/>
      <c r="CF644" s="90"/>
      <c r="CG644" s="90"/>
      <c r="CH644" s="90"/>
      <c r="CI644" s="90"/>
      <c r="CJ644" s="90"/>
      <c r="CK644" s="90"/>
      <c r="CL644" s="90"/>
      <c r="CM644" s="90"/>
      <c r="CN644" s="90"/>
      <c r="CO644" s="90"/>
      <c r="CP644" s="90"/>
      <c r="CQ644" s="90"/>
      <c r="CR644" s="90"/>
      <c r="CS644" s="90"/>
      <c r="CT644" s="90"/>
      <c r="CU644" s="90"/>
      <c r="CV644" s="90"/>
      <c r="CW644" s="90"/>
    </row>
    <row r="645" ht="16.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H645" s="90"/>
      <c r="BI645" s="90"/>
      <c r="BJ645" s="90"/>
      <c r="BK645" s="90"/>
      <c r="BL645" s="90"/>
      <c r="BM645" s="90"/>
      <c r="BN645" s="90"/>
      <c r="BO645" s="90"/>
      <c r="BP645" s="90"/>
      <c r="BQ645" s="90"/>
      <c r="BR645" s="90"/>
      <c r="BS645" s="90"/>
      <c r="BT645" s="90"/>
      <c r="BU645" s="90"/>
      <c r="BV645" s="90"/>
      <c r="BW645" s="90"/>
      <c r="BX645" s="90"/>
      <c r="BY645" s="90"/>
      <c r="BZ645" s="90"/>
      <c r="CA645" s="90"/>
      <c r="CB645" s="90"/>
      <c r="CC645" s="90"/>
      <c r="CD645" s="90"/>
      <c r="CE645" s="90"/>
      <c r="CF645" s="90"/>
      <c r="CG645" s="90"/>
      <c r="CH645" s="90"/>
      <c r="CI645" s="90"/>
      <c r="CJ645" s="90"/>
      <c r="CK645" s="90"/>
      <c r="CL645" s="90"/>
      <c r="CM645" s="90"/>
      <c r="CN645" s="90"/>
      <c r="CO645" s="90"/>
      <c r="CP645" s="90"/>
      <c r="CQ645" s="90"/>
      <c r="CR645" s="90"/>
      <c r="CS645" s="90"/>
      <c r="CT645" s="90"/>
      <c r="CU645" s="90"/>
      <c r="CV645" s="90"/>
      <c r="CW645" s="90"/>
    </row>
    <row r="646" ht="16.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0"/>
      <c r="BQ646" s="90"/>
      <c r="BR646" s="90"/>
      <c r="BS646" s="90"/>
      <c r="BT646" s="90"/>
      <c r="BU646" s="90"/>
      <c r="BV646" s="90"/>
      <c r="BW646" s="90"/>
      <c r="BX646" s="90"/>
      <c r="BY646" s="90"/>
      <c r="BZ646" s="90"/>
      <c r="CA646" s="90"/>
      <c r="CB646" s="90"/>
      <c r="CC646" s="90"/>
      <c r="CD646" s="90"/>
      <c r="CE646" s="90"/>
      <c r="CF646" s="90"/>
      <c r="CG646" s="90"/>
      <c r="CH646" s="90"/>
      <c r="CI646" s="90"/>
      <c r="CJ646" s="90"/>
      <c r="CK646" s="90"/>
      <c r="CL646" s="90"/>
      <c r="CM646" s="90"/>
      <c r="CN646" s="90"/>
      <c r="CO646" s="90"/>
      <c r="CP646" s="90"/>
      <c r="CQ646" s="90"/>
      <c r="CR646" s="90"/>
      <c r="CS646" s="90"/>
      <c r="CT646" s="90"/>
      <c r="CU646" s="90"/>
      <c r="CV646" s="90"/>
      <c r="CW646" s="90"/>
    </row>
    <row r="647" ht="16.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H647" s="90"/>
      <c r="BI647" s="90"/>
      <c r="BJ647" s="90"/>
      <c r="BK647" s="90"/>
      <c r="BL647" s="90"/>
      <c r="BM647" s="90"/>
      <c r="BN647" s="90"/>
      <c r="BO647" s="90"/>
      <c r="BP647" s="90"/>
      <c r="BQ647" s="90"/>
      <c r="BR647" s="90"/>
      <c r="BS647" s="90"/>
      <c r="BT647" s="90"/>
      <c r="BU647" s="90"/>
      <c r="BV647" s="90"/>
      <c r="BW647" s="90"/>
      <c r="BX647" s="90"/>
      <c r="BY647" s="90"/>
      <c r="BZ647" s="90"/>
      <c r="CA647" s="90"/>
      <c r="CB647" s="90"/>
      <c r="CC647" s="90"/>
      <c r="CD647" s="90"/>
      <c r="CE647" s="90"/>
      <c r="CF647" s="90"/>
      <c r="CG647" s="90"/>
      <c r="CH647" s="90"/>
      <c r="CI647" s="90"/>
      <c r="CJ647" s="90"/>
      <c r="CK647" s="90"/>
      <c r="CL647" s="90"/>
      <c r="CM647" s="90"/>
      <c r="CN647" s="90"/>
      <c r="CO647" s="90"/>
      <c r="CP647" s="90"/>
      <c r="CQ647" s="90"/>
      <c r="CR647" s="90"/>
      <c r="CS647" s="90"/>
      <c r="CT647" s="90"/>
      <c r="CU647" s="90"/>
      <c r="CV647" s="90"/>
      <c r="CW647" s="90"/>
    </row>
    <row r="648" ht="16.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0"/>
      <c r="BQ648" s="90"/>
      <c r="BR648" s="90"/>
      <c r="BS648" s="90"/>
      <c r="BT648" s="90"/>
      <c r="BU648" s="90"/>
      <c r="BV648" s="90"/>
      <c r="BW648" s="90"/>
      <c r="BX648" s="90"/>
      <c r="BY648" s="90"/>
      <c r="BZ648" s="90"/>
      <c r="CA648" s="90"/>
      <c r="CB648" s="90"/>
      <c r="CC648" s="90"/>
      <c r="CD648" s="90"/>
      <c r="CE648" s="90"/>
      <c r="CF648" s="90"/>
      <c r="CG648" s="90"/>
      <c r="CH648" s="90"/>
      <c r="CI648" s="90"/>
      <c r="CJ648" s="90"/>
      <c r="CK648" s="90"/>
      <c r="CL648" s="90"/>
      <c r="CM648" s="90"/>
      <c r="CN648" s="90"/>
      <c r="CO648" s="90"/>
      <c r="CP648" s="90"/>
      <c r="CQ648" s="90"/>
      <c r="CR648" s="90"/>
      <c r="CS648" s="90"/>
      <c r="CT648" s="90"/>
      <c r="CU648" s="90"/>
      <c r="CV648" s="90"/>
      <c r="CW648" s="90"/>
    </row>
    <row r="649" ht="16.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H649" s="90"/>
      <c r="BI649" s="90"/>
      <c r="BJ649" s="90"/>
      <c r="BK649" s="90"/>
      <c r="BL649" s="90"/>
      <c r="BM649" s="90"/>
      <c r="BN649" s="90"/>
      <c r="BO649" s="90"/>
      <c r="BP649" s="90"/>
      <c r="BQ649" s="90"/>
      <c r="BR649" s="90"/>
      <c r="BS649" s="90"/>
      <c r="BT649" s="90"/>
      <c r="BU649" s="90"/>
      <c r="BV649" s="90"/>
      <c r="BW649" s="90"/>
      <c r="BX649" s="90"/>
      <c r="BY649" s="90"/>
      <c r="BZ649" s="90"/>
      <c r="CA649" s="90"/>
      <c r="CB649" s="90"/>
      <c r="CC649" s="90"/>
      <c r="CD649" s="90"/>
      <c r="CE649" s="90"/>
      <c r="CF649" s="90"/>
      <c r="CG649" s="90"/>
      <c r="CH649" s="90"/>
      <c r="CI649" s="90"/>
      <c r="CJ649" s="90"/>
      <c r="CK649" s="90"/>
      <c r="CL649" s="90"/>
      <c r="CM649" s="90"/>
      <c r="CN649" s="90"/>
      <c r="CO649" s="90"/>
      <c r="CP649" s="90"/>
      <c r="CQ649" s="90"/>
      <c r="CR649" s="90"/>
      <c r="CS649" s="90"/>
      <c r="CT649" s="90"/>
      <c r="CU649" s="90"/>
      <c r="CV649" s="90"/>
      <c r="CW649" s="90"/>
    </row>
    <row r="650" ht="16.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0"/>
      <c r="BQ650" s="90"/>
      <c r="BR650" s="90"/>
      <c r="BS650" s="90"/>
      <c r="BT650" s="90"/>
      <c r="BU650" s="90"/>
      <c r="BV650" s="90"/>
      <c r="BW650" s="90"/>
      <c r="BX650" s="90"/>
      <c r="BY650" s="90"/>
      <c r="BZ650" s="90"/>
      <c r="CA650" s="90"/>
      <c r="CB650" s="90"/>
      <c r="CC650" s="90"/>
      <c r="CD650" s="90"/>
      <c r="CE650" s="90"/>
      <c r="CF650" s="90"/>
      <c r="CG650" s="90"/>
      <c r="CH650" s="90"/>
      <c r="CI650" s="90"/>
      <c r="CJ650" s="90"/>
      <c r="CK650" s="90"/>
      <c r="CL650" s="90"/>
      <c r="CM650" s="90"/>
      <c r="CN650" s="90"/>
      <c r="CO650" s="90"/>
      <c r="CP650" s="90"/>
      <c r="CQ650" s="90"/>
      <c r="CR650" s="90"/>
      <c r="CS650" s="90"/>
      <c r="CT650" s="90"/>
      <c r="CU650" s="90"/>
      <c r="CV650" s="90"/>
      <c r="CW650" s="90"/>
    </row>
    <row r="651" ht="16.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H651" s="90"/>
      <c r="BI651" s="90"/>
      <c r="BJ651" s="90"/>
      <c r="BK651" s="90"/>
      <c r="BL651" s="90"/>
      <c r="BM651" s="90"/>
      <c r="BN651" s="90"/>
      <c r="BO651" s="90"/>
      <c r="BP651" s="90"/>
      <c r="BQ651" s="90"/>
      <c r="BR651" s="90"/>
      <c r="BS651" s="90"/>
      <c r="BT651" s="90"/>
      <c r="BU651" s="90"/>
      <c r="BV651" s="90"/>
      <c r="BW651" s="90"/>
      <c r="BX651" s="90"/>
      <c r="BY651" s="90"/>
      <c r="BZ651" s="90"/>
      <c r="CA651" s="90"/>
      <c r="CB651" s="90"/>
      <c r="CC651" s="90"/>
      <c r="CD651" s="90"/>
      <c r="CE651" s="90"/>
      <c r="CF651" s="90"/>
      <c r="CG651" s="90"/>
      <c r="CH651" s="90"/>
      <c r="CI651" s="90"/>
      <c r="CJ651" s="90"/>
      <c r="CK651" s="90"/>
      <c r="CL651" s="90"/>
      <c r="CM651" s="90"/>
      <c r="CN651" s="90"/>
      <c r="CO651" s="90"/>
      <c r="CP651" s="90"/>
      <c r="CQ651" s="90"/>
      <c r="CR651" s="90"/>
      <c r="CS651" s="90"/>
      <c r="CT651" s="90"/>
      <c r="CU651" s="90"/>
      <c r="CV651" s="90"/>
      <c r="CW651" s="90"/>
    </row>
    <row r="652" ht="16.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0"/>
      <c r="BQ652" s="90"/>
      <c r="BR652" s="90"/>
      <c r="BS652" s="90"/>
      <c r="BT652" s="90"/>
      <c r="BU652" s="90"/>
      <c r="BV652" s="90"/>
      <c r="BW652" s="90"/>
      <c r="BX652" s="90"/>
      <c r="BY652" s="90"/>
      <c r="BZ652" s="90"/>
      <c r="CA652" s="90"/>
      <c r="CB652" s="90"/>
      <c r="CC652" s="90"/>
      <c r="CD652" s="90"/>
      <c r="CE652" s="90"/>
      <c r="CF652" s="90"/>
      <c r="CG652" s="90"/>
      <c r="CH652" s="90"/>
      <c r="CI652" s="90"/>
      <c r="CJ652" s="90"/>
      <c r="CK652" s="90"/>
      <c r="CL652" s="90"/>
      <c r="CM652" s="90"/>
      <c r="CN652" s="90"/>
      <c r="CO652" s="90"/>
      <c r="CP652" s="90"/>
      <c r="CQ652" s="90"/>
      <c r="CR652" s="90"/>
      <c r="CS652" s="90"/>
      <c r="CT652" s="90"/>
      <c r="CU652" s="90"/>
      <c r="CV652" s="90"/>
      <c r="CW652" s="90"/>
    </row>
    <row r="653" ht="16.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H653" s="90"/>
      <c r="BI653" s="90"/>
      <c r="BJ653" s="90"/>
      <c r="BK653" s="90"/>
      <c r="BL653" s="90"/>
      <c r="BM653" s="90"/>
      <c r="BN653" s="90"/>
      <c r="BO653" s="90"/>
      <c r="BP653" s="90"/>
      <c r="BQ653" s="90"/>
      <c r="BR653" s="90"/>
      <c r="BS653" s="90"/>
      <c r="BT653" s="90"/>
      <c r="BU653" s="90"/>
      <c r="BV653" s="90"/>
      <c r="BW653" s="90"/>
      <c r="BX653" s="90"/>
      <c r="BY653" s="90"/>
      <c r="BZ653" s="90"/>
      <c r="CA653" s="90"/>
      <c r="CB653" s="90"/>
      <c r="CC653" s="90"/>
      <c r="CD653" s="90"/>
      <c r="CE653" s="90"/>
      <c r="CF653" s="90"/>
      <c r="CG653" s="90"/>
      <c r="CH653" s="90"/>
      <c r="CI653" s="90"/>
      <c r="CJ653" s="90"/>
      <c r="CK653" s="90"/>
      <c r="CL653" s="90"/>
      <c r="CM653" s="90"/>
      <c r="CN653" s="90"/>
      <c r="CO653" s="90"/>
      <c r="CP653" s="90"/>
      <c r="CQ653" s="90"/>
      <c r="CR653" s="90"/>
      <c r="CS653" s="90"/>
      <c r="CT653" s="90"/>
      <c r="CU653" s="90"/>
      <c r="CV653" s="90"/>
      <c r="CW653" s="90"/>
    </row>
    <row r="654" ht="16.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0"/>
      <c r="BQ654" s="90"/>
      <c r="BR654" s="90"/>
      <c r="BS654" s="90"/>
      <c r="BT654" s="90"/>
      <c r="BU654" s="90"/>
      <c r="BV654" s="90"/>
      <c r="BW654" s="90"/>
      <c r="BX654" s="90"/>
      <c r="BY654" s="90"/>
      <c r="BZ654" s="90"/>
      <c r="CA654" s="90"/>
      <c r="CB654" s="90"/>
      <c r="CC654" s="90"/>
      <c r="CD654" s="90"/>
      <c r="CE654" s="90"/>
      <c r="CF654" s="90"/>
      <c r="CG654" s="90"/>
      <c r="CH654" s="90"/>
      <c r="CI654" s="90"/>
      <c r="CJ654" s="90"/>
      <c r="CK654" s="90"/>
      <c r="CL654" s="90"/>
      <c r="CM654" s="90"/>
      <c r="CN654" s="90"/>
      <c r="CO654" s="90"/>
      <c r="CP654" s="90"/>
      <c r="CQ654" s="90"/>
      <c r="CR654" s="90"/>
      <c r="CS654" s="90"/>
      <c r="CT654" s="90"/>
      <c r="CU654" s="90"/>
      <c r="CV654" s="90"/>
      <c r="CW654" s="90"/>
    </row>
    <row r="655" ht="16.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H655" s="90"/>
      <c r="BI655" s="90"/>
      <c r="BJ655" s="90"/>
      <c r="BK655" s="90"/>
      <c r="BL655" s="90"/>
      <c r="BM655" s="90"/>
      <c r="BN655" s="90"/>
      <c r="BO655" s="90"/>
      <c r="BP655" s="90"/>
      <c r="BQ655" s="90"/>
      <c r="BR655" s="90"/>
      <c r="BS655" s="90"/>
      <c r="BT655" s="90"/>
      <c r="BU655" s="90"/>
      <c r="BV655" s="90"/>
      <c r="BW655" s="90"/>
      <c r="BX655" s="90"/>
      <c r="BY655" s="90"/>
      <c r="BZ655" s="90"/>
      <c r="CA655" s="90"/>
      <c r="CB655" s="90"/>
      <c r="CC655" s="90"/>
      <c r="CD655" s="90"/>
      <c r="CE655" s="90"/>
      <c r="CF655" s="90"/>
      <c r="CG655" s="90"/>
      <c r="CH655" s="90"/>
      <c r="CI655" s="90"/>
      <c r="CJ655" s="90"/>
      <c r="CK655" s="90"/>
      <c r="CL655" s="90"/>
      <c r="CM655" s="90"/>
      <c r="CN655" s="90"/>
      <c r="CO655" s="90"/>
      <c r="CP655" s="90"/>
      <c r="CQ655" s="90"/>
      <c r="CR655" s="90"/>
      <c r="CS655" s="90"/>
      <c r="CT655" s="90"/>
      <c r="CU655" s="90"/>
      <c r="CV655" s="90"/>
      <c r="CW655" s="90"/>
    </row>
    <row r="656" ht="16.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0"/>
      <c r="BQ656" s="90"/>
      <c r="BR656" s="90"/>
      <c r="BS656" s="90"/>
      <c r="BT656" s="90"/>
      <c r="BU656" s="90"/>
      <c r="BV656" s="90"/>
      <c r="BW656" s="90"/>
      <c r="BX656" s="90"/>
      <c r="BY656" s="90"/>
      <c r="BZ656" s="90"/>
      <c r="CA656" s="90"/>
      <c r="CB656" s="90"/>
      <c r="CC656" s="90"/>
      <c r="CD656" s="90"/>
      <c r="CE656" s="90"/>
      <c r="CF656" s="90"/>
      <c r="CG656" s="90"/>
      <c r="CH656" s="90"/>
      <c r="CI656" s="90"/>
      <c r="CJ656" s="90"/>
      <c r="CK656" s="90"/>
      <c r="CL656" s="90"/>
      <c r="CM656" s="90"/>
      <c r="CN656" s="90"/>
      <c r="CO656" s="90"/>
      <c r="CP656" s="90"/>
      <c r="CQ656" s="90"/>
      <c r="CR656" s="90"/>
      <c r="CS656" s="90"/>
      <c r="CT656" s="90"/>
      <c r="CU656" s="90"/>
      <c r="CV656" s="90"/>
      <c r="CW656" s="90"/>
    </row>
    <row r="657" ht="16.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H657" s="90"/>
      <c r="BI657" s="90"/>
      <c r="BJ657" s="90"/>
      <c r="BK657" s="90"/>
      <c r="BL657" s="90"/>
      <c r="BM657" s="90"/>
      <c r="BN657" s="90"/>
      <c r="BO657" s="90"/>
      <c r="BP657" s="90"/>
      <c r="BQ657" s="90"/>
      <c r="BR657" s="90"/>
      <c r="BS657" s="90"/>
      <c r="BT657" s="90"/>
      <c r="BU657" s="90"/>
      <c r="BV657" s="90"/>
      <c r="BW657" s="90"/>
      <c r="BX657" s="90"/>
      <c r="BY657" s="90"/>
      <c r="BZ657" s="90"/>
      <c r="CA657" s="90"/>
      <c r="CB657" s="90"/>
      <c r="CC657" s="90"/>
      <c r="CD657" s="90"/>
      <c r="CE657" s="90"/>
      <c r="CF657" s="90"/>
      <c r="CG657" s="90"/>
      <c r="CH657" s="90"/>
      <c r="CI657" s="90"/>
      <c r="CJ657" s="90"/>
      <c r="CK657" s="90"/>
      <c r="CL657" s="90"/>
      <c r="CM657" s="90"/>
      <c r="CN657" s="90"/>
      <c r="CO657" s="90"/>
      <c r="CP657" s="90"/>
      <c r="CQ657" s="90"/>
      <c r="CR657" s="90"/>
      <c r="CS657" s="90"/>
      <c r="CT657" s="90"/>
      <c r="CU657" s="90"/>
      <c r="CV657" s="90"/>
      <c r="CW657" s="90"/>
    </row>
    <row r="658" ht="16.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0"/>
      <c r="BQ658" s="90"/>
      <c r="BR658" s="90"/>
      <c r="BS658" s="90"/>
      <c r="BT658" s="90"/>
      <c r="BU658" s="90"/>
      <c r="BV658" s="90"/>
      <c r="BW658" s="90"/>
      <c r="BX658" s="90"/>
      <c r="BY658" s="90"/>
      <c r="BZ658" s="90"/>
      <c r="CA658" s="90"/>
      <c r="CB658" s="90"/>
      <c r="CC658" s="90"/>
      <c r="CD658" s="90"/>
      <c r="CE658" s="90"/>
      <c r="CF658" s="90"/>
      <c r="CG658" s="90"/>
      <c r="CH658" s="90"/>
      <c r="CI658" s="90"/>
      <c r="CJ658" s="90"/>
      <c r="CK658" s="90"/>
      <c r="CL658" s="90"/>
      <c r="CM658" s="90"/>
      <c r="CN658" s="90"/>
      <c r="CO658" s="90"/>
      <c r="CP658" s="90"/>
      <c r="CQ658" s="90"/>
      <c r="CR658" s="90"/>
      <c r="CS658" s="90"/>
      <c r="CT658" s="90"/>
      <c r="CU658" s="90"/>
      <c r="CV658" s="90"/>
      <c r="CW658" s="90"/>
    </row>
    <row r="659" ht="16.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H659" s="90"/>
      <c r="BI659" s="90"/>
      <c r="BJ659" s="90"/>
      <c r="BK659" s="90"/>
      <c r="BL659" s="90"/>
      <c r="BM659" s="90"/>
      <c r="BN659" s="90"/>
      <c r="BO659" s="90"/>
      <c r="BP659" s="90"/>
      <c r="BQ659" s="90"/>
      <c r="BR659" s="90"/>
      <c r="BS659" s="90"/>
      <c r="BT659" s="90"/>
      <c r="BU659" s="90"/>
      <c r="BV659" s="90"/>
      <c r="BW659" s="90"/>
      <c r="BX659" s="90"/>
      <c r="BY659" s="90"/>
      <c r="BZ659" s="90"/>
      <c r="CA659" s="90"/>
      <c r="CB659" s="90"/>
      <c r="CC659" s="90"/>
      <c r="CD659" s="90"/>
      <c r="CE659" s="90"/>
      <c r="CF659" s="90"/>
      <c r="CG659" s="90"/>
      <c r="CH659" s="90"/>
      <c r="CI659" s="90"/>
      <c r="CJ659" s="90"/>
      <c r="CK659" s="90"/>
      <c r="CL659" s="90"/>
      <c r="CM659" s="90"/>
      <c r="CN659" s="90"/>
      <c r="CO659" s="90"/>
      <c r="CP659" s="90"/>
      <c r="CQ659" s="90"/>
      <c r="CR659" s="90"/>
      <c r="CS659" s="90"/>
      <c r="CT659" s="90"/>
      <c r="CU659" s="90"/>
      <c r="CV659" s="90"/>
      <c r="CW659" s="90"/>
    </row>
    <row r="660" ht="16.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0"/>
      <c r="BQ660" s="90"/>
      <c r="BR660" s="90"/>
      <c r="BS660" s="90"/>
      <c r="BT660" s="90"/>
      <c r="BU660" s="90"/>
      <c r="BV660" s="90"/>
      <c r="BW660" s="90"/>
      <c r="BX660" s="90"/>
      <c r="BY660" s="90"/>
      <c r="BZ660" s="90"/>
      <c r="CA660" s="90"/>
      <c r="CB660" s="90"/>
      <c r="CC660" s="90"/>
      <c r="CD660" s="90"/>
      <c r="CE660" s="90"/>
      <c r="CF660" s="90"/>
      <c r="CG660" s="90"/>
      <c r="CH660" s="90"/>
      <c r="CI660" s="90"/>
      <c r="CJ660" s="90"/>
      <c r="CK660" s="90"/>
      <c r="CL660" s="90"/>
      <c r="CM660" s="90"/>
      <c r="CN660" s="90"/>
      <c r="CO660" s="90"/>
      <c r="CP660" s="90"/>
      <c r="CQ660" s="90"/>
      <c r="CR660" s="90"/>
      <c r="CS660" s="90"/>
      <c r="CT660" s="90"/>
      <c r="CU660" s="90"/>
      <c r="CV660" s="90"/>
      <c r="CW660" s="90"/>
    </row>
    <row r="661" ht="16.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H661" s="90"/>
      <c r="BI661" s="90"/>
      <c r="BJ661" s="90"/>
      <c r="BK661" s="90"/>
      <c r="BL661" s="90"/>
      <c r="BM661" s="90"/>
      <c r="BN661" s="90"/>
      <c r="BO661" s="90"/>
      <c r="BP661" s="90"/>
      <c r="BQ661" s="90"/>
      <c r="BR661" s="90"/>
      <c r="BS661" s="90"/>
      <c r="BT661" s="90"/>
      <c r="BU661" s="90"/>
      <c r="BV661" s="90"/>
      <c r="BW661" s="90"/>
      <c r="BX661" s="90"/>
      <c r="BY661" s="90"/>
      <c r="BZ661" s="90"/>
      <c r="CA661" s="90"/>
      <c r="CB661" s="90"/>
      <c r="CC661" s="90"/>
      <c r="CD661" s="90"/>
      <c r="CE661" s="90"/>
      <c r="CF661" s="90"/>
      <c r="CG661" s="90"/>
      <c r="CH661" s="90"/>
      <c r="CI661" s="90"/>
      <c r="CJ661" s="90"/>
      <c r="CK661" s="90"/>
      <c r="CL661" s="90"/>
      <c r="CM661" s="90"/>
      <c r="CN661" s="90"/>
      <c r="CO661" s="90"/>
      <c r="CP661" s="90"/>
      <c r="CQ661" s="90"/>
      <c r="CR661" s="90"/>
      <c r="CS661" s="90"/>
      <c r="CT661" s="90"/>
      <c r="CU661" s="90"/>
      <c r="CV661" s="90"/>
      <c r="CW661" s="90"/>
    </row>
    <row r="662" ht="16.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0"/>
      <c r="BQ662" s="90"/>
      <c r="BR662" s="90"/>
      <c r="BS662" s="90"/>
      <c r="BT662" s="90"/>
      <c r="BU662" s="90"/>
      <c r="BV662" s="90"/>
      <c r="BW662" s="90"/>
      <c r="BX662" s="90"/>
      <c r="BY662" s="90"/>
      <c r="BZ662" s="90"/>
      <c r="CA662" s="90"/>
      <c r="CB662" s="90"/>
      <c r="CC662" s="90"/>
      <c r="CD662" s="90"/>
      <c r="CE662" s="90"/>
      <c r="CF662" s="90"/>
      <c r="CG662" s="90"/>
      <c r="CH662" s="90"/>
      <c r="CI662" s="90"/>
      <c r="CJ662" s="90"/>
      <c r="CK662" s="90"/>
      <c r="CL662" s="90"/>
      <c r="CM662" s="90"/>
      <c r="CN662" s="90"/>
      <c r="CO662" s="90"/>
      <c r="CP662" s="90"/>
      <c r="CQ662" s="90"/>
      <c r="CR662" s="90"/>
      <c r="CS662" s="90"/>
      <c r="CT662" s="90"/>
      <c r="CU662" s="90"/>
      <c r="CV662" s="90"/>
      <c r="CW662" s="90"/>
    </row>
    <row r="663" ht="16.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H663" s="90"/>
      <c r="BI663" s="90"/>
      <c r="BJ663" s="90"/>
      <c r="BK663" s="90"/>
      <c r="BL663" s="90"/>
      <c r="BM663" s="90"/>
      <c r="BN663" s="90"/>
      <c r="BO663" s="90"/>
      <c r="BP663" s="90"/>
      <c r="BQ663" s="90"/>
      <c r="BR663" s="90"/>
      <c r="BS663" s="90"/>
      <c r="BT663" s="90"/>
      <c r="BU663" s="90"/>
      <c r="BV663" s="90"/>
      <c r="BW663" s="90"/>
      <c r="BX663" s="90"/>
      <c r="BY663" s="90"/>
      <c r="BZ663" s="90"/>
      <c r="CA663" s="90"/>
      <c r="CB663" s="90"/>
      <c r="CC663" s="90"/>
      <c r="CD663" s="90"/>
      <c r="CE663" s="90"/>
      <c r="CF663" s="90"/>
      <c r="CG663" s="90"/>
      <c r="CH663" s="90"/>
      <c r="CI663" s="90"/>
      <c r="CJ663" s="90"/>
      <c r="CK663" s="90"/>
      <c r="CL663" s="90"/>
      <c r="CM663" s="90"/>
      <c r="CN663" s="90"/>
      <c r="CO663" s="90"/>
      <c r="CP663" s="90"/>
      <c r="CQ663" s="90"/>
      <c r="CR663" s="90"/>
      <c r="CS663" s="90"/>
      <c r="CT663" s="90"/>
      <c r="CU663" s="90"/>
      <c r="CV663" s="90"/>
      <c r="CW663" s="90"/>
    </row>
    <row r="664" ht="16.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0"/>
      <c r="BQ664" s="90"/>
      <c r="BR664" s="90"/>
      <c r="BS664" s="90"/>
      <c r="BT664" s="90"/>
      <c r="BU664" s="90"/>
      <c r="BV664" s="90"/>
      <c r="BW664" s="90"/>
      <c r="BX664" s="90"/>
      <c r="BY664" s="90"/>
      <c r="BZ664" s="90"/>
      <c r="CA664" s="90"/>
      <c r="CB664" s="90"/>
      <c r="CC664" s="90"/>
      <c r="CD664" s="90"/>
      <c r="CE664" s="90"/>
      <c r="CF664" s="90"/>
      <c r="CG664" s="90"/>
      <c r="CH664" s="90"/>
      <c r="CI664" s="90"/>
      <c r="CJ664" s="90"/>
      <c r="CK664" s="90"/>
      <c r="CL664" s="90"/>
      <c r="CM664" s="90"/>
      <c r="CN664" s="90"/>
      <c r="CO664" s="90"/>
      <c r="CP664" s="90"/>
      <c r="CQ664" s="90"/>
      <c r="CR664" s="90"/>
      <c r="CS664" s="90"/>
      <c r="CT664" s="90"/>
      <c r="CU664" s="90"/>
      <c r="CV664" s="90"/>
      <c r="CW664" s="90"/>
    </row>
    <row r="665" ht="16.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  <c r="BI665" s="90"/>
      <c r="BJ665" s="90"/>
      <c r="BK665" s="90"/>
      <c r="BL665" s="90"/>
      <c r="BM665" s="90"/>
      <c r="BN665" s="90"/>
      <c r="BO665" s="90"/>
      <c r="BP665" s="90"/>
      <c r="BQ665" s="90"/>
      <c r="BR665" s="90"/>
      <c r="BS665" s="90"/>
      <c r="BT665" s="90"/>
      <c r="BU665" s="90"/>
      <c r="BV665" s="90"/>
      <c r="BW665" s="90"/>
      <c r="BX665" s="90"/>
      <c r="BY665" s="90"/>
      <c r="BZ665" s="90"/>
      <c r="CA665" s="90"/>
      <c r="CB665" s="90"/>
      <c r="CC665" s="90"/>
      <c r="CD665" s="90"/>
      <c r="CE665" s="90"/>
      <c r="CF665" s="90"/>
      <c r="CG665" s="90"/>
      <c r="CH665" s="90"/>
      <c r="CI665" s="90"/>
      <c r="CJ665" s="90"/>
      <c r="CK665" s="90"/>
      <c r="CL665" s="90"/>
      <c r="CM665" s="90"/>
      <c r="CN665" s="90"/>
      <c r="CO665" s="90"/>
      <c r="CP665" s="90"/>
      <c r="CQ665" s="90"/>
      <c r="CR665" s="90"/>
      <c r="CS665" s="90"/>
      <c r="CT665" s="90"/>
      <c r="CU665" s="90"/>
      <c r="CV665" s="90"/>
      <c r="CW665" s="90"/>
    </row>
    <row r="666" ht="16.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0"/>
      <c r="BQ666" s="90"/>
      <c r="BR666" s="90"/>
      <c r="BS666" s="90"/>
      <c r="BT666" s="90"/>
      <c r="BU666" s="90"/>
      <c r="BV666" s="90"/>
      <c r="BW666" s="90"/>
      <c r="BX666" s="90"/>
      <c r="BY666" s="90"/>
      <c r="BZ666" s="90"/>
      <c r="CA666" s="90"/>
      <c r="CB666" s="90"/>
      <c r="CC666" s="90"/>
      <c r="CD666" s="90"/>
      <c r="CE666" s="90"/>
      <c r="CF666" s="90"/>
      <c r="CG666" s="90"/>
      <c r="CH666" s="90"/>
      <c r="CI666" s="90"/>
      <c r="CJ666" s="90"/>
      <c r="CK666" s="90"/>
      <c r="CL666" s="90"/>
      <c r="CM666" s="90"/>
      <c r="CN666" s="90"/>
      <c r="CO666" s="90"/>
      <c r="CP666" s="90"/>
      <c r="CQ666" s="90"/>
      <c r="CR666" s="90"/>
      <c r="CS666" s="90"/>
      <c r="CT666" s="90"/>
      <c r="CU666" s="90"/>
      <c r="CV666" s="90"/>
      <c r="CW666" s="90"/>
    </row>
    <row r="667" ht="16.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  <c r="BI667" s="90"/>
      <c r="BJ667" s="90"/>
      <c r="BK667" s="90"/>
      <c r="BL667" s="90"/>
      <c r="BM667" s="90"/>
      <c r="BN667" s="90"/>
      <c r="BO667" s="90"/>
      <c r="BP667" s="90"/>
      <c r="BQ667" s="90"/>
      <c r="BR667" s="90"/>
      <c r="BS667" s="90"/>
      <c r="BT667" s="90"/>
      <c r="BU667" s="90"/>
      <c r="BV667" s="90"/>
      <c r="BW667" s="90"/>
      <c r="BX667" s="90"/>
      <c r="BY667" s="90"/>
      <c r="BZ667" s="90"/>
      <c r="CA667" s="90"/>
      <c r="CB667" s="90"/>
      <c r="CC667" s="90"/>
      <c r="CD667" s="90"/>
      <c r="CE667" s="90"/>
      <c r="CF667" s="90"/>
      <c r="CG667" s="90"/>
      <c r="CH667" s="90"/>
      <c r="CI667" s="90"/>
      <c r="CJ667" s="90"/>
      <c r="CK667" s="90"/>
      <c r="CL667" s="90"/>
      <c r="CM667" s="90"/>
      <c r="CN667" s="90"/>
      <c r="CO667" s="90"/>
      <c r="CP667" s="90"/>
      <c r="CQ667" s="90"/>
      <c r="CR667" s="90"/>
      <c r="CS667" s="90"/>
      <c r="CT667" s="90"/>
      <c r="CU667" s="90"/>
      <c r="CV667" s="90"/>
      <c r="CW667" s="90"/>
    </row>
    <row r="668" ht="16.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0"/>
      <c r="BQ668" s="90"/>
      <c r="BR668" s="90"/>
      <c r="BS668" s="90"/>
      <c r="BT668" s="90"/>
      <c r="BU668" s="90"/>
      <c r="BV668" s="90"/>
      <c r="BW668" s="90"/>
      <c r="BX668" s="90"/>
      <c r="BY668" s="90"/>
      <c r="BZ668" s="90"/>
      <c r="CA668" s="90"/>
      <c r="CB668" s="90"/>
      <c r="CC668" s="90"/>
      <c r="CD668" s="90"/>
      <c r="CE668" s="90"/>
      <c r="CF668" s="90"/>
      <c r="CG668" s="90"/>
      <c r="CH668" s="90"/>
      <c r="CI668" s="90"/>
      <c r="CJ668" s="90"/>
      <c r="CK668" s="90"/>
      <c r="CL668" s="90"/>
      <c r="CM668" s="90"/>
      <c r="CN668" s="90"/>
      <c r="CO668" s="90"/>
      <c r="CP668" s="90"/>
      <c r="CQ668" s="90"/>
      <c r="CR668" s="90"/>
      <c r="CS668" s="90"/>
      <c r="CT668" s="90"/>
      <c r="CU668" s="90"/>
      <c r="CV668" s="90"/>
      <c r="CW668" s="90"/>
    </row>
    <row r="669" ht="16.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  <c r="BI669" s="90"/>
      <c r="BJ669" s="90"/>
      <c r="BK669" s="90"/>
      <c r="BL669" s="90"/>
      <c r="BM669" s="90"/>
      <c r="BN669" s="90"/>
      <c r="BO669" s="90"/>
      <c r="BP669" s="90"/>
      <c r="BQ669" s="90"/>
      <c r="BR669" s="90"/>
      <c r="BS669" s="90"/>
      <c r="BT669" s="90"/>
      <c r="BU669" s="90"/>
      <c r="BV669" s="90"/>
      <c r="BW669" s="90"/>
      <c r="BX669" s="90"/>
      <c r="BY669" s="90"/>
      <c r="BZ669" s="90"/>
      <c r="CA669" s="90"/>
      <c r="CB669" s="90"/>
      <c r="CC669" s="90"/>
      <c r="CD669" s="90"/>
      <c r="CE669" s="90"/>
      <c r="CF669" s="90"/>
      <c r="CG669" s="90"/>
      <c r="CH669" s="90"/>
      <c r="CI669" s="90"/>
      <c r="CJ669" s="90"/>
      <c r="CK669" s="90"/>
      <c r="CL669" s="90"/>
      <c r="CM669" s="90"/>
      <c r="CN669" s="90"/>
      <c r="CO669" s="90"/>
      <c r="CP669" s="90"/>
      <c r="CQ669" s="90"/>
      <c r="CR669" s="90"/>
      <c r="CS669" s="90"/>
      <c r="CT669" s="90"/>
      <c r="CU669" s="90"/>
      <c r="CV669" s="90"/>
      <c r="CW669" s="90"/>
    </row>
    <row r="670" ht="16.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0"/>
      <c r="BQ670" s="90"/>
      <c r="BR670" s="90"/>
      <c r="BS670" s="90"/>
      <c r="BT670" s="90"/>
      <c r="BU670" s="90"/>
      <c r="BV670" s="90"/>
      <c r="BW670" s="90"/>
      <c r="BX670" s="90"/>
      <c r="BY670" s="90"/>
      <c r="BZ670" s="90"/>
      <c r="CA670" s="90"/>
      <c r="CB670" s="90"/>
      <c r="CC670" s="90"/>
      <c r="CD670" s="90"/>
      <c r="CE670" s="90"/>
      <c r="CF670" s="90"/>
      <c r="CG670" s="90"/>
      <c r="CH670" s="90"/>
      <c r="CI670" s="90"/>
      <c r="CJ670" s="90"/>
      <c r="CK670" s="90"/>
      <c r="CL670" s="90"/>
      <c r="CM670" s="90"/>
      <c r="CN670" s="90"/>
      <c r="CO670" s="90"/>
      <c r="CP670" s="90"/>
      <c r="CQ670" s="90"/>
      <c r="CR670" s="90"/>
      <c r="CS670" s="90"/>
      <c r="CT670" s="90"/>
      <c r="CU670" s="90"/>
      <c r="CV670" s="90"/>
      <c r="CW670" s="90"/>
    </row>
    <row r="671" ht="16.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  <c r="BI671" s="90"/>
      <c r="BJ671" s="90"/>
      <c r="BK671" s="90"/>
      <c r="BL671" s="90"/>
      <c r="BM671" s="90"/>
      <c r="BN671" s="90"/>
      <c r="BO671" s="90"/>
      <c r="BP671" s="90"/>
      <c r="BQ671" s="90"/>
      <c r="BR671" s="90"/>
      <c r="BS671" s="90"/>
      <c r="BT671" s="90"/>
      <c r="BU671" s="90"/>
      <c r="BV671" s="90"/>
      <c r="BW671" s="90"/>
      <c r="BX671" s="90"/>
      <c r="BY671" s="90"/>
      <c r="BZ671" s="90"/>
      <c r="CA671" s="90"/>
      <c r="CB671" s="90"/>
      <c r="CC671" s="90"/>
      <c r="CD671" s="90"/>
      <c r="CE671" s="90"/>
      <c r="CF671" s="90"/>
      <c r="CG671" s="90"/>
      <c r="CH671" s="90"/>
      <c r="CI671" s="90"/>
      <c r="CJ671" s="90"/>
      <c r="CK671" s="90"/>
      <c r="CL671" s="90"/>
      <c r="CM671" s="90"/>
      <c r="CN671" s="90"/>
      <c r="CO671" s="90"/>
      <c r="CP671" s="90"/>
      <c r="CQ671" s="90"/>
      <c r="CR671" s="90"/>
      <c r="CS671" s="90"/>
      <c r="CT671" s="90"/>
      <c r="CU671" s="90"/>
      <c r="CV671" s="90"/>
      <c r="CW671" s="90"/>
    </row>
    <row r="672" ht="16.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0"/>
      <c r="BQ672" s="90"/>
      <c r="BR672" s="90"/>
      <c r="BS672" s="90"/>
      <c r="BT672" s="90"/>
      <c r="BU672" s="90"/>
      <c r="BV672" s="90"/>
      <c r="BW672" s="90"/>
      <c r="BX672" s="90"/>
      <c r="BY672" s="90"/>
      <c r="BZ672" s="90"/>
      <c r="CA672" s="90"/>
      <c r="CB672" s="90"/>
      <c r="CC672" s="90"/>
      <c r="CD672" s="90"/>
      <c r="CE672" s="90"/>
      <c r="CF672" s="90"/>
      <c r="CG672" s="90"/>
      <c r="CH672" s="90"/>
      <c r="CI672" s="90"/>
      <c r="CJ672" s="90"/>
      <c r="CK672" s="90"/>
      <c r="CL672" s="90"/>
      <c r="CM672" s="90"/>
      <c r="CN672" s="90"/>
      <c r="CO672" s="90"/>
      <c r="CP672" s="90"/>
      <c r="CQ672" s="90"/>
      <c r="CR672" s="90"/>
      <c r="CS672" s="90"/>
      <c r="CT672" s="90"/>
      <c r="CU672" s="90"/>
      <c r="CV672" s="90"/>
      <c r="CW672" s="90"/>
    </row>
    <row r="673" ht="16.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  <c r="BI673" s="90"/>
      <c r="BJ673" s="90"/>
      <c r="BK673" s="90"/>
      <c r="BL673" s="90"/>
      <c r="BM673" s="90"/>
      <c r="BN673" s="90"/>
      <c r="BO673" s="90"/>
      <c r="BP673" s="90"/>
      <c r="BQ673" s="90"/>
      <c r="BR673" s="90"/>
      <c r="BS673" s="90"/>
      <c r="BT673" s="90"/>
      <c r="BU673" s="90"/>
      <c r="BV673" s="90"/>
      <c r="BW673" s="90"/>
      <c r="BX673" s="90"/>
      <c r="BY673" s="90"/>
      <c r="BZ673" s="90"/>
      <c r="CA673" s="90"/>
      <c r="CB673" s="90"/>
      <c r="CC673" s="90"/>
      <c r="CD673" s="90"/>
      <c r="CE673" s="90"/>
      <c r="CF673" s="90"/>
      <c r="CG673" s="90"/>
      <c r="CH673" s="90"/>
      <c r="CI673" s="90"/>
      <c r="CJ673" s="90"/>
      <c r="CK673" s="90"/>
      <c r="CL673" s="90"/>
      <c r="CM673" s="90"/>
      <c r="CN673" s="90"/>
      <c r="CO673" s="90"/>
      <c r="CP673" s="90"/>
      <c r="CQ673" s="90"/>
      <c r="CR673" s="90"/>
      <c r="CS673" s="90"/>
      <c r="CT673" s="90"/>
      <c r="CU673" s="90"/>
      <c r="CV673" s="90"/>
      <c r="CW673" s="90"/>
    </row>
    <row r="674" ht="16.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0"/>
      <c r="BQ674" s="90"/>
      <c r="BR674" s="90"/>
      <c r="BS674" s="90"/>
      <c r="BT674" s="90"/>
      <c r="BU674" s="90"/>
      <c r="BV674" s="90"/>
      <c r="BW674" s="90"/>
      <c r="BX674" s="90"/>
      <c r="BY674" s="90"/>
      <c r="BZ674" s="90"/>
      <c r="CA674" s="90"/>
      <c r="CB674" s="90"/>
      <c r="CC674" s="90"/>
      <c r="CD674" s="90"/>
      <c r="CE674" s="90"/>
      <c r="CF674" s="90"/>
      <c r="CG674" s="90"/>
      <c r="CH674" s="90"/>
      <c r="CI674" s="90"/>
      <c r="CJ674" s="90"/>
      <c r="CK674" s="90"/>
      <c r="CL674" s="90"/>
      <c r="CM674" s="90"/>
      <c r="CN674" s="90"/>
      <c r="CO674" s="90"/>
      <c r="CP674" s="90"/>
      <c r="CQ674" s="90"/>
      <c r="CR674" s="90"/>
      <c r="CS674" s="90"/>
      <c r="CT674" s="90"/>
      <c r="CU674" s="90"/>
      <c r="CV674" s="90"/>
      <c r="CW674" s="90"/>
    </row>
    <row r="675" ht="16.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  <c r="BK675" s="90"/>
      <c r="BL675" s="90"/>
      <c r="BM675" s="90"/>
      <c r="BN675" s="90"/>
      <c r="BO675" s="90"/>
      <c r="BP675" s="90"/>
      <c r="BQ675" s="90"/>
      <c r="BR675" s="90"/>
      <c r="BS675" s="90"/>
      <c r="BT675" s="90"/>
      <c r="BU675" s="90"/>
      <c r="BV675" s="90"/>
      <c r="BW675" s="90"/>
      <c r="BX675" s="90"/>
      <c r="BY675" s="90"/>
      <c r="BZ675" s="90"/>
      <c r="CA675" s="90"/>
      <c r="CB675" s="90"/>
      <c r="CC675" s="90"/>
      <c r="CD675" s="90"/>
      <c r="CE675" s="90"/>
      <c r="CF675" s="90"/>
      <c r="CG675" s="90"/>
      <c r="CH675" s="90"/>
      <c r="CI675" s="90"/>
      <c r="CJ675" s="90"/>
      <c r="CK675" s="90"/>
      <c r="CL675" s="90"/>
      <c r="CM675" s="90"/>
      <c r="CN675" s="90"/>
      <c r="CO675" s="90"/>
      <c r="CP675" s="90"/>
      <c r="CQ675" s="90"/>
      <c r="CR675" s="90"/>
      <c r="CS675" s="90"/>
      <c r="CT675" s="90"/>
      <c r="CU675" s="90"/>
      <c r="CV675" s="90"/>
      <c r="CW675" s="90"/>
    </row>
    <row r="676" ht="16.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0"/>
      <c r="BS676" s="90"/>
      <c r="BT676" s="90"/>
      <c r="BU676" s="90"/>
      <c r="BV676" s="90"/>
      <c r="BW676" s="90"/>
      <c r="BX676" s="90"/>
      <c r="BY676" s="90"/>
      <c r="BZ676" s="90"/>
      <c r="CA676" s="90"/>
      <c r="CB676" s="90"/>
      <c r="CC676" s="90"/>
      <c r="CD676" s="90"/>
      <c r="CE676" s="90"/>
      <c r="CF676" s="90"/>
      <c r="CG676" s="90"/>
      <c r="CH676" s="90"/>
      <c r="CI676" s="90"/>
      <c r="CJ676" s="90"/>
      <c r="CK676" s="90"/>
      <c r="CL676" s="90"/>
      <c r="CM676" s="90"/>
      <c r="CN676" s="90"/>
      <c r="CO676" s="90"/>
      <c r="CP676" s="90"/>
      <c r="CQ676" s="90"/>
      <c r="CR676" s="90"/>
      <c r="CS676" s="90"/>
      <c r="CT676" s="90"/>
      <c r="CU676" s="90"/>
      <c r="CV676" s="90"/>
      <c r="CW676" s="90"/>
    </row>
    <row r="677" ht="16.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  <c r="BK677" s="90"/>
      <c r="BL677" s="90"/>
      <c r="BM677" s="90"/>
      <c r="BN677" s="90"/>
      <c r="BO677" s="90"/>
      <c r="BP677" s="90"/>
      <c r="BQ677" s="90"/>
      <c r="BR677" s="90"/>
      <c r="BS677" s="90"/>
      <c r="BT677" s="90"/>
      <c r="BU677" s="90"/>
      <c r="BV677" s="90"/>
      <c r="BW677" s="90"/>
      <c r="BX677" s="90"/>
      <c r="BY677" s="90"/>
      <c r="BZ677" s="90"/>
      <c r="CA677" s="90"/>
      <c r="CB677" s="90"/>
      <c r="CC677" s="90"/>
      <c r="CD677" s="90"/>
      <c r="CE677" s="90"/>
      <c r="CF677" s="90"/>
      <c r="CG677" s="90"/>
      <c r="CH677" s="90"/>
      <c r="CI677" s="90"/>
      <c r="CJ677" s="90"/>
      <c r="CK677" s="90"/>
      <c r="CL677" s="90"/>
      <c r="CM677" s="90"/>
      <c r="CN677" s="90"/>
      <c r="CO677" s="90"/>
      <c r="CP677" s="90"/>
      <c r="CQ677" s="90"/>
      <c r="CR677" s="90"/>
      <c r="CS677" s="90"/>
      <c r="CT677" s="90"/>
      <c r="CU677" s="90"/>
      <c r="CV677" s="90"/>
      <c r="CW677" s="90"/>
    </row>
    <row r="678" ht="16.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0"/>
      <c r="BQ678" s="90"/>
      <c r="BR678" s="90"/>
      <c r="BS678" s="90"/>
      <c r="BT678" s="90"/>
      <c r="BU678" s="90"/>
      <c r="BV678" s="90"/>
      <c r="BW678" s="90"/>
      <c r="BX678" s="90"/>
      <c r="BY678" s="90"/>
      <c r="BZ678" s="90"/>
      <c r="CA678" s="90"/>
      <c r="CB678" s="90"/>
      <c r="CC678" s="90"/>
      <c r="CD678" s="90"/>
      <c r="CE678" s="90"/>
      <c r="CF678" s="90"/>
      <c r="CG678" s="90"/>
      <c r="CH678" s="90"/>
      <c r="CI678" s="90"/>
      <c r="CJ678" s="90"/>
      <c r="CK678" s="90"/>
      <c r="CL678" s="90"/>
      <c r="CM678" s="90"/>
      <c r="CN678" s="90"/>
      <c r="CO678" s="90"/>
      <c r="CP678" s="90"/>
      <c r="CQ678" s="90"/>
      <c r="CR678" s="90"/>
      <c r="CS678" s="90"/>
      <c r="CT678" s="90"/>
      <c r="CU678" s="90"/>
      <c r="CV678" s="90"/>
      <c r="CW678" s="90"/>
    </row>
    <row r="679" ht="16.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  <c r="BK679" s="90"/>
      <c r="BL679" s="90"/>
      <c r="BM679" s="90"/>
      <c r="BN679" s="90"/>
      <c r="BO679" s="90"/>
      <c r="BP679" s="90"/>
      <c r="BQ679" s="90"/>
      <c r="BR679" s="90"/>
      <c r="BS679" s="90"/>
      <c r="BT679" s="90"/>
      <c r="BU679" s="90"/>
      <c r="BV679" s="90"/>
      <c r="BW679" s="90"/>
      <c r="BX679" s="90"/>
      <c r="BY679" s="90"/>
      <c r="BZ679" s="90"/>
      <c r="CA679" s="90"/>
      <c r="CB679" s="90"/>
      <c r="CC679" s="90"/>
      <c r="CD679" s="90"/>
      <c r="CE679" s="90"/>
      <c r="CF679" s="90"/>
      <c r="CG679" s="90"/>
      <c r="CH679" s="90"/>
      <c r="CI679" s="90"/>
      <c r="CJ679" s="90"/>
      <c r="CK679" s="90"/>
      <c r="CL679" s="90"/>
      <c r="CM679" s="90"/>
      <c r="CN679" s="90"/>
      <c r="CO679" s="90"/>
      <c r="CP679" s="90"/>
      <c r="CQ679" s="90"/>
      <c r="CR679" s="90"/>
      <c r="CS679" s="90"/>
      <c r="CT679" s="90"/>
      <c r="CU679" s="90"/>
      <c r="CV679" s="90"/>
      <c r="CW679" s="90"/>
    </row>
    <row r="680" ht="16.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0"/>
      <c r="BQ680" s="90"/>
      <c r="BR680" s="90"/>
      <c r="BS680" s="90"/>
      <c r="BT680" s="90"/>
      <c r="BU680" s="90"/>
      <c r="BV680" s="90"/>
      <c r="BW680" s="90"/>
      <c r="BX680" s="90"/>
      <c r="BY680" s="90"/>
      <c r="BZ680" s="90"/>
      <c r="CA680" s="90"/>
      <c r="CB680" s="90"/>
      <c r="CC680" s="90"/>
      <c r="CD680" s="90"/>
      <c r="CE680" s="90"/>
      <c r="CF680" s="90"/>
      <c r="CG680" s="90"/>
      <c r="CH680" s="90"/>
      <c r="CI680" s="90"/>
      <c r="CJ680" s="90"/>
      <c r="CK680" s="90"/>
      <c r="CL680" s="90"/>
      <c r="CM680" s="90"/>
      <c r="CN680" s="90"/>
      <c r="CO680" s="90"/>
      <c r="CP680" s="90"/>
      <c r="CQ680" s="90"/>
      <c r="CR680" s="90"/>
      <c r="CS680" s="90"/>
      <c r="CT680" s="90"/>
      <c r="CU680" s="90"/>
      <c r="CV680" s="90"/>
      <c r="CW680" s="90"/>
    </row>
    <row r="681" ht="16.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  <c r="BI681" s="90"/>
      <c r="BJ681" s="90"/>
      <c r="BK681" s="90"/>
      <c r="BL681" s="90"/>
      <c r="BM681" s="90"/>
      <c r="BN681" s="90"/>
      <c r="BO681" s="90"/>
      <c r="BP681" s="90"/>
      <c r="BQ681" s="90"/>
      <c r="BR681" s="90"/>
      <c r="BS681" s="90"/>
      <c r="BT681" s="90"/>
      <c r="BU681" s="90"/>
      <c r="BV681" s="90"/>
      <c r="BW681" s="90"/>
      <c r="BX681" s="90"/>
      <c r="BY681" s="90"/>
      <c r="BZ681" s="90"/>
      <c r="CA681" s="90"/>
      <c r="CB681" s="90"/>
      <c r="CC681" s="90"/>
      <c r="CD681" s="90"/>
      <c r="CE681" s="90"/>
      <c r="CF681" s="90"/>
      <c r="CG681" s="90"/>
      <c r="CH681" s="90"/>
      <c r="CI681" s="90"/>
      <c r="CJ681" s="90"/>
      <c r="CK681" s="90"/>
      <c r="CL681" s="90"/>
      <c r="CM681" s="90"/>
      <c r="CN681" s="90"/>
      <c r="CO681" s="90"/>
      <c r="CP681" s="90"/>
      <c r="CQ681" s="90"/>
      <c r="CR681" s="90"/>
      <c r="CS681" s="90"/>
      <c r="CT681" s="90"/>
      <c r="CU681" s="90"/>
      <c r="CV681" s="90"/>
      <c r="CW681" s="90"/>
    </row>
    <row r="682" ht="16.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0"/>
      <c r="BQ682" s="90"/>
      <c r="BR682" s="90"/>
      <c r="BS682" s="90"/>
      <c r="BT682" s="90"/>
      <c r="BU682" s="90"/>
      <c r="BV682" s="90"/>
      <c r="BW682" s="90"/>
      <c r="BX682" s="90"/>
      <c r="BY682" s="90"/>
      <c r="BZ682" s="90"/>
      <c r="CA682" s="90"/>
      <c r="CB682" s="90"/>
      <c r="CC682" s="90"/>
      <c r="CD682" s="90"/>
      <c r="CE682" s="90"/>
      <c r="CF682" s="90"/>
      <c r="CG682" s="90"/>
      <c r="CH682" s="90"/>
      <c r="CI682" s="90"/>
      <c r="CJ682" s="90"/>
      <c r="CK682" s="90"/>
      <c r="CL682" s="90"/>
      <c r="CM682" s="90"/>
      <c r="CN682" s="90"/>
      <c r="CO682" s="90"/>
      <c r="CP682" s="90"/>
      <c r="CQ682" s="90"/>
      <c r="CR682" s="90"/>
      <c r="CS682" s="90"/>
      <c r="CT682" s="90"/>
      <c r="CU682" s="90"/>
      <c r="CV682" s="90"/>
      <c r="CW682" s="90"/>
    </row>
    <row r="683" ht="16.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  <c r="BI683" s="90"/>
      <c r="BJ683" s="90"/>
      <c r="BK683" s="90"/>
      <c r="BL683" s="90"/>
      <c r="BM683" s="90"/>
      <c r="BN683" s="90"/>
      <c r="BO683" s="90"/>
      <c r="BP683" s="90"/>
      <c r="BQ683" s="90"/>
      <c r="BR683" s="90"/>
      <c r="BS683" s="90"/>
      <c r="BT683" s="90"/>
      <c r="BU683" s="90"/>
      <c r="BV683" s="90"/>
      <c r="BW683" s="90"/>
      <c r="BX683" s="90"/>
      <c r="BY683" s="90"/>
      <c r="BZ683" s="90"/>
      <c r="CA683" s="90"/>
      <c r="CB683" s="90"/>
      <c r="CC683" s="90"/>
      <c r="CD683" s="90"/>
      <c r="CE683" s="90"/>
      <c r="CF683" s="90"/>
      <c r="CG683" s="90"/>
      <c r="CH683" s="90"/>
      <c r="CI683" s="90"/>
      <c r="CJ683" s="90"/>
      <c r="CK683" s="90"/>
      <c r="CL683" s="90"/>
      <c r="CM683" s="90"/>
      <c r="CN683" s="90"/>
      <c r="CO683" s="90"/>
      <c r="CP683" s="90"/>
      <c r="CQ683" s="90"/>
      <c r="CR683" s="90"/>
      <c r="CS683" s="90"/>
      <c r="CT683" s="90"/>
      <c r="CU683" s="90"/>
      <c r="CV683" s="90"/>
      <c r="CW683" s="90"/>
    </row>
    <row r="684" ht="16.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0"/>
      <c r="BQ684" s="90"/>
      <c r="BR684" s="90"/>
      <c r="BS684" s="90"/>
      <c r="BT684" s="90"/>
      <c r="BU684" s="90"/>
      <c r="BV684" s="90"/>
      <c r="BW684" s="90"/>
      <c r="BX684" s="90"/>
      <c r="BY684" s="90"/>
      <c r="BZ684" s="90"/>
      <c r="CA684" s="90"/>
      <c r="CB684" s="90"/>
      <c r="CC684" s="90"/>
      <c r="CD684" s="90"/>
      <c r="CE684" s="90"/>
      <c r="CF684" s="90"/>
      <c r="CG684" s="90"/>
      <c r="CH684" s="90"/>
      <c r="CI684" s="90"/>
      <c r="CJ684" s="90"/>
      <c r="CK684" s="90"/>
      <c r="CL684" s="90"/>
      <c r="CM684" s="90"/>
      <c r="CN684" s="90"/>
      <c r="CO684" s="90"/>
      <c r="CP684" s="90"/>
      <c r="CQ684" s="90"/>
      <c r="CR684" s="90"/>
      <c r="CS684" s="90"/>
      <c r="CT684" s="90"/>
      <c r="CU684" s="90"/>
      <c r="CV684" s="90"/>
      <c r="CW684" s="90"/>
    </row>
    <row r="685" ht="16.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  <c r="BI685" s="90"/>
      <c r="BJ685" s="90"/>
      <c r="BK685" s="90"/>
      <c r="BL685" s="90"/>
      <c r="BM685" s="90"/>
      <c r="BN685" s="90"/>
      <c r="BO685" s="90"/>
      <c r="BP685" s="90"/>
      <c r="BQ685" s="90"/>
      <c r="BR685" s="90"/>
      <c r="BS685" s="90"/>
      <c r="BT685" s="90"/>
      <c r="BU685" s="90"/>
      <c r="BV685" s="90"/>
      <c r="BW685" s="90"/>
      <c r="BX685" s="90"/>
      <c r="BY685" s="90"/>
      <c r="BZ685" s="90"/>
      <c r="CA685" s="90"/>
      <c r="CB685" s="90"/>
      <c r="CC685" s="90"/>
      <c r="CD685" s="90"/>
      <c r="CE685" s="90"/>
      <c r="CF685" s="90"/>
      <c r="CG685" s="90"/>
      <c r="CH685" s="90"/>
      <c r="CI685" s="90"/>
      <c r="CJ685" s="90"/>
      <c r="CK685" s="90"/>
      <c r="CL685" s="90"/>
      <c r="CM685" s="90"/>
      <c r="CN685" s="90"/>
      <c r="CO685" s="90"/>
      <c r="CP685" s="90"/>
      <c r="CQ685" s="90"/>
      <c r="CR685" s="90"/>
      <c r="CS685" s="90"/>
      <c r="CT685" s="90"/>
      <c r="CU685" s="90"/>
      <c r="CV685" s="90"/>
      <c r="CW685" s="90"/>
    </row>
    <row r="686" ht="16.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0"/>
      <c r="BQ686" s="90"/>
      <c r="BR686" s="90"/>
      <c r="BS686" s="90"/>
      <c r="BT686" s="90"/>
      <c r="BU686" s="90"/>
      <c r="BV686" s="90"/>
      <c r="BW686" s="90"/>
      <c r="BX686" s="90"/>
      <c r="BY686" s="90"/>
      <c r="BZ686" s="90"/>
      <c r="CA686" s="90"/>
      <c r="CB686" s="90"/>
      <c r="CC686" s="90"/>
      <c r="CD686" s="90"/>
      <c r="CE686" s="90"/>
      <c r="CF686" s="90"/>
      <c r="CG686" s="90"/>
      <c r="CH686" s="90"/>
      <c r="CI686" s="90"/>
      <c r="CJ686" s="90"/>
      <c r="CK686" s="90"/>
      <c r="CL686" s="90"/>
      <c r="CM686" s="90"/>
      <c r="CN686" s="90"/>
      <c r="CO686" s="90"/>
      <c r="CP686" s="90"/>
      <c r="CQ686" s="90"/>
      <c r="CR686" s="90"/>
      <c r="CS686" s="90"/>
      <c r="CT686" s="90"/>
      <c r="CU686" s="90"/>
      <c r="CV686" s="90"/>
      <c r="CW686" s="90"/>
    </row>
    <row r="687" ht="16.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  <c r="BI687" s="90"/>
      <c r="BJ687" s="90"/>
      <c r="BK687" s="90"/>
      <c r="BL687" s="90"/>
      <c r="BM687" s="90"/>
      <c r="BN687" s="90"/>
      <c r="BO687" s="90"/>
      <c r="BP687" s="90"/>
      <c r="BQ687" s="90"/>
      <c r="BR687" s="90"/>
      <c r="BS687" s="90"/>
      <c r="BT687" s="90"/>
      <c r="BU687" s="90"/>
      <c r="BV687" s="90"/>
      <c r="BW687" s="90"/>
      <c r="BX687" s="90"/>
      <c r="BY687" s="90"/>
      <c r="BZ687" s="90"/>
      <c r="CA687" s="90"/>
      <c r="CB687" s="90"/>
      <c r="CC687" s="90"/>
      <c r="CD687" s="90"/>
      <c r="CE687" s="90"/>
      <c r="CF687" s="90"/>
      <c r="CG687" s="90"/>
      <c r="CH687" s="90"/>
      <c r="CI687" s="90"/>
      <c r="CJ687" s="90"/>
      <c r="CK687" s="90"/>
      <c r="CL687" s="90"/>
      <c r="CM687" s="90"/>
      <c r="CN687" s="90"/>
      <c r="CO687" s="90"/>
      <c r="CP687" s="90"/>
      <c r="CQ687" s="90"/>
      <c r="CR687" s="90"/>
      <c r="CS687" s="90"/>
      <c r="CT687" s="90"/>
      <c r="CU687" s="90"/>
      <c r="CV687" s="90"/>
      <c r="CW687" s="90"/>
    </row>
    <row r="688" ht="16.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0"/>
      <c r="BQ688" s="90"/>
      <c r="BR688" s="90"/>
      <c r="BS688" s="90"/>
      <c r="BT688" s="90"/>
      <c r="BU688" s="90"/>
      <c r="BV688" s="90"/>
      <c r="BW688" s="90"/>
      <c r="BX688" s="90"/>
      <c r="BY688" s="90"/>
      <c r="BZ688" s="90"/>
      <c r="CA688" s="90"/>
      <c r="CB688" s="90"/>
      <c r="CC688" s="90"/>
      <c r="CD688" s="90"/>
      <c r="CE688" s="90"/>
      <c r="CF688" s="90"/>
      <c r="CG688" s="90"/>
      <c r="CH688" s="90"/>
      <c r="CI688" s="90"/>
      <c r="CJ688" s="90"/>
      <c r="CK688" s="90"/>
      <c r="CL688" s="90"/>
      <c r="CM688" s="90"/>
      <c r="CN688" s="90"/>
      <c r="CO688" s="90"/>
      <c r="CP688" s="90"/>
      <c r="CQ688" s="90"/>
      <c r="CR688" s="90"/>
      <c r="CS688" s="90"/>
      <c r="CT688" s="90"/>
      <c r="CU688" s="90"/>
      <c r="CV688" s="90"/>
      <c r="CW688" s="90"/>
    </row>
    <row r="689" ht="16.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  <c r="BI689" s="90"/>
      <c r="BJ689" s="90"/>
      <c r="BK689" s="90"/>
      <c r="BL689" s="90"/>
      <c r="BM689" s="90"/>
      <c r="BN689" s="90"/>
      <c r="BO689" s="90"/>
      <c r="BP689" s="90"/>
      <c r="BQ689" s="90"/>
      <c r="BR689" s="90"/>
      <c r="BS689" s="90"/>
      <c r="BT689" s="90"/>
      <c r="BU689" s="90"/>
      <c r="BV689" s="90"/>
      <c r="BW689" s="90"/>
      <c r="BX689" s="90"/>
      <c r="BY689" s="90"/>
      <c r="BZ689" s="90"/>
      <c r="CA689" s="90"/>
      <c r="CB689" s="90"/>
      <c r="CC689" s="90"/>
      <c r="CD689" s="90"/>
      <c r="CE689" s="90"/>
      <c r="CF689" s="90"/>
      <c r="CG689" s="90"/>
      <c r="CH689" s="90"/>
      <c r="CI689" s="90"/>
      <c r="CJ689" s="90"/>
      <c r="CK689" s="90"/>
      <c r="CL689" s="90"/>
      <c r="CM689" s="90"/>
      <c r="CN689" s="90"/>
      <c r="CO689" s="90"/>
      <c r="CP689" s="90"/>
      <c r="CQ689" s="90"/>
      <c r="CR689" s="90"/>
      <c r="CS689" s="90"/>
      <c r="CT689" s="90"/>
      <c r="CU689" s="90"/>
      <c r="CV689" s="90"/>
      <c r="CW689" s="90"/>
    </row>
    <row r="690" ht="16.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0"/>
      <c r="BQ690" s="90"/>
      <c r="BR690" s="90"/>
      <c r="BS690" s="90"/>
      <c r="BT690" s="90"/>
      <c r="BU690" s="90"/>
      <c r="BV690" s="90"/>
      <c r="BW690" s="90"/>
      <c r="BX690" s="90"/>
      <c r="BY690" s="90"/>
      <c r="BZ690" s="90"/>
      <c r="CA690" s="90"/>
      <c r="CB690" s="90"/>
      <c r="CC690" s="90"/>
      <c r="CD690" s="90"/>
      <c r="CE690" s="90"/>
      <c r="CF690" s="90"/>
      <c r="CG690" s="90"/>
      <c r="CH690" s="90"/>
      <c r="CI690" s="90"/>
      <c r="CJ690" s="90"/>
      <c r="CK690" s="90"/>
      <c r="CL690" s="90"/>
      <c r="CM690" s="90"/>
      <c r="CN690" s="90"/>
      <c r="CO690" s="90"/>
      <c r="CP690" s="90"/>
      <c r="CQ690" s="90"/>
      <c r="CR690" s="90"/>
      <c r="CS690" s="90"/>
      <c r="CT690" s="90"/>
      <c r="CU690" s="90"/>
      <c r="CV690" s="90"/>
      <c r="CW690" s="90"/>
    </row>
    <row r="691" ht="16.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  <c r="BI691" s="90"/>
      <c r="BJ691" s="90"/>
      <c r="BK691" s="90"/>
      <c r="BL691" s="90"/>
      <c r="BM691" s="90"/>
      <c r="BN691" s="90"/>
      <c r="BO691" s="90"/>
      <c r="BP691" s="90"/>
      <c r="BQ691" s="90"/>
      <c r="BR691" s="90"/>
      <c r="BS691" s="90"/>
      <c r="BT691" s="90"/>
      <c r="BU691" s="90"/>
      <c r="BV691" s="90"/>
      <c r="BW691" s="90"/>
      <c r="BX691" s="90"/>
      <c r="BY691" s="90"/>
      <c r="BZ691" s="90"/>
      <c r="CA691" s="90"/>
      <c r="CB691" s="90"/>
      <c r="CC691" s="90"/>
      <c r="CD691" s="90"/>
      <c r="CE691" s="90"/>
      <c r="CF691" s="90"/>
      <c r="CG691" s="90"/>
      <c r="CH691" s="90"/>
      <c r="CI691" s="90"/>
      <c r="CJ691" s="90"/>
      <c r="CK691" s="90"/>
      <c r="CL691" s="90"/>
      <c r="CM691" s="90"/>
      <c r="CN691" s="90"/>
      <c r="CO691" s="90"/>
      <c r="CP691" s="90"/>
      <c r="CQ691" s="90"/>
      <c r="CR691" s="90"/>
      <c r="CS691" s="90"/>
      <c r="CT691" s="90"/>
      <c r="CU691" s="90"/>
      <c r="CV691" s="90"/>
      <c r="CW691" s="90"/>
    </row>
    <row r="692" ht="16.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0"/>
      <c r="BQ692" s="90"/>
      <c r="BR692" s="90"/>
      <c r="BS692" s="90"/>
      <c r="BT692" s="90"/>
      <c r="BU692" s="90"/>
      <c r="BV692" s="90"/>
      <c r="BW692" s="90"/>
      <c r="BX692" s="90"/>
      <c r="BY692" s="90"/>
      <c r="BZ692" s="90"/>
      <c r="CA692" s="90"/>
      <c r="CB692" s="90"/>
      <c r="CC692" s="90"/>
      <c r="CD692" s="90"/>
      <c r="CE692" s="90"/>
      <c r="CF692" s="90"/>
      <c r="CG692" s="90"/>
      <c r="CH692" s="90"/>
      <c r="CI692" s="90"/>
      <c r="CJ692" s="90"/>
      <c r="CK692" s="90"/>
      <c r="CL692" s="90"/>
      <c r="CM692" s="90"/>
      <c r="CN692" s="90"/>
      <c r="CO692" s="90"/>
      <c r="CP692" s="90"/>
      <c r="CQ692" s="90"/>
      <c r="CR692" s="90"/>
      <c r="CS692" s="90"/>
      <c r="CT692" s="90"/>
      <c r="CU692" s="90"/>
      <c r="CV692" s="90"/>
      <c r="CW692" s="90"/>
    </row>
    <row r="693" ht="16.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H693" s="90"/>
      <c r="BI693" s="90"/>
      <c r="BJ693" s="90"/>
      <c r="BK693" s="90"/>
      <c r="BL693" s="90"/>
      <c r="BM693" s="90"/>
      <c r="BN693" s="90"/>
      <c r="BO693" s="90"/>
      <c r="BP693" s="90"/>
      <c r="BQ693" s="90"/>
      <c r="BR693" s="90"/>
      <c r="BS693" s="90"/>
      <c r="BT693" s="90"/>
      <c r="BU693" s="90"/>
      <c r="BV693" s="90"/>
      <c r="BW693" s="90"/>
      <c r="BX693" s="90"/>
      <c r="BY693" s="90"/>
      <c r="BZ693" s="90"/>
      <c r="CA693" s="90"/>
      <c r="CB693" s="90"/>
      <c r="CC693" s="90"/>
      <c r="CD693" s="90"/>
      <c r="CE693" s="90"/>
      <c r="CF693" s="90"/>
      <c r="CG693" s="90"/>
      <c r="CH693" s="90"/>
      <c r="CI693" s="90"/>
      <c r="CJ693" s="90"/>
      <c r="CK693" s="90"/>
      <c r="CL693" s="90"/>
      <c r="CM693" s="90"/>
      <c r="CN693" s="90"/>
      <c r="CO693" s="90"/>
      <c r="CP693" s="90"/>
      <c r="CQ693" s="90"/>
      <c r="CR693" s="90"/>
      <c r="CS693" s="90"/>
      <c r="CT693" s="90"/>
      <c r="CU693" s="90"/>
      <c r="CV693" s="90"/>
      <c r="CW693" s="90"/>
    </row>
    <row r="694" ht="16.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0"/>
      <c r="BQ694" s="90"/>
      <c r="BR694" s="90"/>
      <c r="BS694" s="90"/>
      <c r="BT694" s="90"/>
      <c r="BU694" s="90"/>
      <c r="BV694" s="90"/>
      <c r="BW694" s="90"/>
      <c r="BX694" s="90"/>
      <c r="BY694" s="90"/>
      <c r="BZ694" s="90"/>
      <c r="CA694" s="90"/>
      <c r="CB694" s="90"/>
      <c r="CC694" s="90"/>
      <c r="CD694" s="90"/>
      <c r="CE694" s="90"/>
      <c r="CF694" s="90"/>
      <c r="CG694" s="90"/>
      <c r="CH694" s="90"/>
      <c r="CI694" s="90"/>
      <c r="CJ694" s="90"/>
      <c r="CK694" s="90"/>
      <c r="CL694" s="90"/>
      <c r="CM694" s="90"/>
      <c r="CN694" s="90"/>
      <c r="CO694" s="90"/>
      <c r="CP694" s="90"/>
      <c r="CQ694" s="90"/>
      <c r="CR694" s="90"/>
      <c r="CS694" s="90"/>
      <c r="CT694" s="90"/>
      <c r="CU694" s="90"/>
      <c r="CV694" s="90"/>
      <c r="CW694" s="90"/>
    </row>
    <row r="695" ht="16.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H695" s="90"/>
      <c r="BI695" s="90"/>
      <c r="BJ695" s="90"/>
      <c r="BK695" s="90"/>
      <c r="BL695" s="90"/>
      <c r="BM695" s="90"/>
      <c r="BN695" s="90"/>
      <c r="BO695" s="90"/>
      <c r="BP695" s="90"/>
      <c r="BQ695" s="90"/>
      <c r="BR695" s="90"/>
      <c r="BS695" s="90"/>
      <c r="BT695" s="90"/>
      <c r="BU695" s="90"/>
      <c r="BV695" s="90"/>
      <c r="BW695" s="90"/>
      <c r="BX695" s="90"/>
      <c r="BY695" s="90"/>
      <c r="BZ695" s="90"/>
      <c r="CA695" s="90"/>
      <c r="CB695" s="90"/>
      <c r="CC695" s="90"/>
      <c r="CD695" s="90"/>
      <c r="CE695" s="90"/>
      <c r="CF695" s="90"/>
      <c r="CG695" s="90"/>
      <c r="CH695" s="90"/>
      <c r="CI695" s="90"/>
      <c r="CJ695" s="90"/>
      <c r="CK695" s="90"/>
      <c r="CL695" s="90"/>
      <c r="CM695" s="90"/>
      <c r="CN695" s="90"/>
      <c r="CO695" s="90"/>
      <c r="CP695" s="90"/>
      <c r="CQ695" s="90"/>
      <c r="CR695" s="90"/>
      <c r="CS695" s="90"/>
      <c r="CT695" s="90"/>
      <c r="CU695" s="90"/>
      <c r="CV695" s="90"/>
      <c r="CW695" s="90"/>
    </row>
    <row r="696" ht="16.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0"/>
      <c r="BS696" s="90"/>
      <c r="BT696" s="90"/>
      <c r="BU696" s="90"/>
      <c r="BV696" s="90"/>
      <c r="BW696" s="90"/>
      <c r="BX696" s="90"/>
      <c r="BY696" s="90"/>
      <c r="BZ696" s="90"/>
      <c r="CA696" s="90"/>
      <c r="CB696" s="90"/>
      <c r="CC696" s="90"/>
      <c r="CD696" s="90"/>
      <c r="CE696" s="90"/>
      <c r="CF696" s="90"/>
      <c r="CG696" s="90"/>
      <c r="CH696" s="90"/>
      <c r="CI696" s="90"/>
      <c r="CJ696" s="90"/>
      <c r="CK696" s="90"/>
      <c r="CL696" s="90"/>
      <c r="CM696" s="90"/>
      <c r="CN696" s="90"/>
      <c r="CO696" s="90"/>
      <c r="CP696" s="90"/>
      <c r="CQ696" s="90"/>
      <c r="CR696" s="90"/>
      <c r="CS696" s="90"/>
      <c r="CT696" s="90"/>
      <c r="CU696" s="90"/>
      <c r="CV696" s="90"/>
      <c r="CW696" s="90"/>
    </row>
    <row r="697" ht="16.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H697" s="90"/>
      <c r="BI697" s="90"/>
      <c r="BJ697" s="90"/>
      <c r="BK697" s="90"/>
      <c r="BL697" s="90"/>
      <c r="BM697" s="90"/>
      <c r="BN697" s="90"/>
      <c r="BO697" s="90"/>
      <c r="BP697" s="90"/>
      <c r="BQ697" s="90"/>
      <c r="BR697" s="90"/>
      <c r="BS697" s="90"/>
      <c r="BT697" s="90"/>
      <c r="BU697" s="90"/>
      <c r="BV697" s="90"/>
      <c r="BW697" s="90"/>
      <c r="BX697" s="90"/>
      <c r="BY697" s="90"/>
      <c r="BZ697" s="90"/>
      <c r="CA697" s="90"/>
      <c r="CB697" s="90"/>
      <c r="CC697" s="90"/>
      <c r="CD697" s="90"/>
      <c r="CE697" s="90"/>
      <c r="CF697" s="90"/>
      <c r="CG697" s="90"/>
      <c r="CH697" s="90"/>
      <c r="CI697" s="90"/>
      <c r="CJ697" s="90"/>
      <c r="CK697" s="90"/>
      <c r="CL697" s="90"/>
      <c r="CM697" s="90"/>
      <c r="CN697" s="90"/>
      <c r="CO697" s="90"/>
      <c r="CP697" s="90"/>
      <c r="CQ697" s="90"/>
      <c r="CR697" s="90"/>
      <c r="CS697" s="90"/>
      <c r="CT697" s="90"/>
      <c r="CU697" s="90"/>
      <c r="CV697" s="90"/>
      <c r="CW697" s="90"/>
    </row>
    <row r="698" ht="16.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0"/>
      <c r="BQ698" s="90"/>
      <c r="BR698" s="90"/>
      <c r="BS698" s="90"/>
      <c r="BT698" s="90"/>
      <c r="BU698" s="90"/>
      <c r="BV698" s="90"/>
      <c r="BW698" s="90"/>
      <c r="BX698" s="90"/>
      <c r="BY698" s="90"/>
      <c r="BZ698" s="90"/>
      <c r="CA698" s="90"/>
      <c r="CB698" s="90"/>
      <c r="CC698" s="90"/>
      <c r="CD698" s="90"/>
      <c r="CE698" s="90"/>
      <c r="CF698" s="90"/>
      <c r="CG698" s="90"/>
      <c r="CH698" s="90"/>
      <c r="CI698" s="90"/>
      <c r="CJ698" s="90"/>
      <c r="CK698" s="90"/>
      <c r="CL698" s="90"/>
      <c r="CM698" s="90"/>
      <c r="CN698" s="90"/>
      <c r="CO698" s="90"/>
      <c r="CP698" s="90"/>
      <c r="CQ698" s="90"/>
      <c r="CR698" s="90"/>
      <c r="CS698" s="90"/>
      <c r="CT698" s="90"/>
      <c r="CU698" s="90"/>
      <c r="CV698" s="90"/>
      <c r="CW698" s="90"/>
    </row>
    <row r="699" ht="16.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H699" s="90"/>
      <c r="BI699" s="90"/>
      <c r="BJ699" s="90"/>
      <c r="BK699" s="90"/>
      <c r="BL699" s="90"/>
      <c r="BM699" s="90"/>
      <c r="BN699" s="90"/>
      <c r="BO699" s="90"/>
      <c r="BP699" s="90"/>
      <c r="BQ699" s="90"/>
      <c r="BR699" s="90"/>
      <c r="BS699" s="90"/>
      <c r="BT699" s="90"/>
      <c r="BU699" s="90"/>
      <c r="BV699" s="90"/>
      <c r="BW699" s="90"/>
      <c r="BX699" s="90"/>
      <c r="BY699" s="90"/>
      <c r="BZ699" s="90"/>
      <c r="CA699" s="90"/>
      <c r="CB699" s="90"/>
      <c r="CC699" s="90"/>
      <c r="CD699" s="90"/>
      <c r="CE699" s="90"/>
      <c r="CF699" s="90"/>
      <c r="CG699" s="90"/>
      <c r="CH699" s="90"/>
      <c r="CI699" s="90"/>
      <c r="CJ699" s="90"/>
      <c r="CK699" s="90"/>
      <c r="CL699" s="90"/>
      <c r="CM699" s="90"/>
      <c r="CN699" s="90"/>
      <c r="CO699" s="90"/>
      <c r="CP699" s="90"/>
      <c r="CQ699" s="90"/>
      <c r="CR699" s="90"/>
      <c r="CS699" s="90"/>
      <c r="CT699" s="90"/>
      <c r="CU699" s="90"/>
      <c r="CV699" s="90"/>
      <c r="CW699" s="90"/>
    </row>
    <row r="700" ht="16.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0"/>
      <c r="BQ700" s="90"/>
      <c r="BR700" s="90"/>
      <c r="BS700" s="90"/>
      <c r="BT700" s="90"/>
      <c r="BU700" s="90"/>
      <c r="BV700" s="90"/>
      <c r="BW700" s="90"/>
      <c r="BX700" s="90"/>
      <c r="BY700" s="90"/>
      <c r="BZ700" s="90"/>
      <c r="CA700" s="90"/>
      <c r="CB700" s="90"/>
      <c r="CC700" s="90"/>
      <c r="CD700" s="90"/>
      <c r="CE700" s="90"/>
      <c r="CF700" s="90"/>
      <c r="CG700" s="90"/>
      <c r="CH700" s="90"/>
      <c r="CI700" s="90"/>
      <c r="CJ700" s="90"/>
      <c r="CK700" s="90"/>
      <c r="CL700" s="90"/>
      <c r="CM700" s="90"/>
      <c r="CN700" s="90"/>
      <c r="CO700" s="90"/>
      <c r="CP700" s="90"/>
      <c r="CQ700" s="90"/>
      <c r="CR700" s="90"/>
      <c r="CS700" s="90"/>
      <c r="CT700" s="90"/>
      <c r="CU700" s="90"/>
      <c r="CV700" s="90"/>
      <c r="CW700" s="90"/>
    </row>
    <row r="701" ht="16.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  <c r="BK701" s="90"/>
      <c r="BL701" s="90"/>
      <c r="BM701" s="90"/>
      <c r="BN701" s="90"/>
      <c r="BO701" s="90"/>
      <c r="BP701" s="90"/>
      <c r="BQ701" s="90"/>
      <c r="BR701" s="90"/>
      <c r="BS701" s="90"/>
      <c r="BT701" s="90"/>
      <c r="BU701" s="90"/>
      <c r="BV701" s="90"/>
      <c r="BW701" s="90"/>
      <c r="BX701" s="90"/>
      <c r="BY701" s="90"/>
      <c r="BZ701" s="90"/>
      <c r="CA701" s="90"/>
      <c r="CB701" s="90"/>
      <c r="CC701" s="90"/>
      <c r="CD701" s="90"/>
      <c r="CE701" s="90"/>
      <c r="CF701" s="90"/>
      <c r="CG701" s="90"/>
      <c r="CH701" s="90"/>
      <c r="CI701" s="90"/>
      <c r="CJ701" s="90"/>
      <c r="CK701" s="90"/>
      <c r="CL701" s="90"/>
      <c r="CM701" s="90"/>
      <c r="CN701" s="90"/>
      <c r="CO701" s="90"/>
      <c r="CP701" s="90"/>
      <c r="CQ701" s="90"/>
      <c r="CR701" s="90"/>
      <c r="CS701" s="90"/>
      <c r="CT701" s="90"/>
      <c r="CU701" s="90"/>
      <c r="CV701" s="90"/>
      <c r="CW701" s="90"/>
    </row>
    <row r="702" ht="16.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0"/>
      <c r="BQ702" s="90"/>
      <c r="BR702" s="90"/>
      <c r="BS702" s="90"/>
      <c r="BT702" s="90"/>
      <c r="BU702" s="90"/>
      <c r="BV702" s="90"/>
      <c r="BW702" s="90"/>
      <c r="BX702" s="90"/>
      <c r="BY702" s="90"/>
      <c r="BZ702" s="90"/>
      <c r="CA702" s="90"/>
      <c r="CB702" s="90"/>
      <c r="CC702" s="90"/>
      <c r="CD702" s="90"/>
      <c r="CE702" s="90"/>
      <c r="CF702" s="90"/>
      <c r="CG702" s="90"/>
      <c r="CH702" s="90"/>
      <c r="CI702" s="90"/>
      <c r="CJ702" s="90"/>
      <c r="CK702" s="90"/>
      <c r="CL702" s="90"/>
      <c r="CM702" s="90"/>
      <c r="CN702" s="90"/>
      <c r="CO702" s="90"/>
      <c r="CP702" s="90"/>
      <c r="CQ702" s="90"/>
      <c r="CR702" s="90"/>
      <c r="CS702" s="90"/>
      <c r="CT702" s="90"/>
      <c r="CU702" s="90"/>
      <c r="CV702" s="90"/>
      <c r="CW702" s="90"/>
    </row>
    <row r="703" ht="16.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H703" s="90"/>
      <c r="BI703" s="90"/>
      <c r="BJ703" s="90"/>
      <c r="BK703" s="90"/>
      <c r="BL703" s="90"/>
      <c r="BM703" s="90"/>
      <c r="BN703" s="90"/>
      <c r="BO703" s="90"/>
      <c r="BP703" s="90"/>
      <c r="BQ703" s="90"/>
      <c r="BR703" s="90"/>
      <c r="BS703" s="90"/>
      <c r="BT703" s="90"/>
      <c r="BU703" s="90"/>
      <c r="BV703" s="90"/>
      <c r="BW703" s="90"/>
      <c r="BX703" s="90"/>
      <c r="BY703" s="90"/>
      <c r="BZ703" s="90"/>
      <c r="CA703" s="90"/>
      <c r="CB703" s="90"/>
      <c r="CC703" s="90"/>
      <c r="CD703" s="90"/>
      <c r="CE703" s="90"/>
      <c r="CF703" s="90"/>
      <c r="CG703" s="90"/>
      <c r="CH703" s="90"/>
      <c r="CI703" s="90"/>
      <c r="CJ703" s="90"/>
      <c r="CK703" s="90"/>
      <c r="CL703" s="90"/>
      <c r="CM703" s="90"/>
      <c r="CN703" s="90"/>
      <c r="CO703" s="90"/>
      <c r="CP703" s="90"/>
      <c r="CQ703" s="90"/>
      <c r="CR703" s="90"/>
      <c r="CS703" s="90"/>
      <c r="CT703" s="90"/>
      <c r="CU703" s="90"/>
      <c r="CV703" s="90"/>
      <c r="CW703" s="90"/>
    </row>
    <row r="704" ht="16.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0"/>
      <c r="BQ704" s="90"/>
      <c r="BR704" s="90"/>
      <c r="BS704" s="90"/>
      <c r="BT704" s="90"/>
      <c r="BU704" s="90"/>
      <c r="BV704" s="90"/>
      <c r="BW704" s="90"/>
      <c r="BX704" s="90"/>
      <c r="BY704" s="90"/>
      <c r="BZ704" s="90"/>
      <c r="CA704" s="90"/>
      <c r="CB704" s="90"/>
      <c r="CC704" s="90"/>
      <c r="CD704" s="90"/>
      <c r="CE704" s="90"/>
      <c r="CF704" s="90"/>
      <c r="CG704" s="90"/>
      <c r="CH704" s="90"/>
      <c r="CI704" s="90"/>
      <c r="CJ704" s="90"/>
      <c r="CK704" s="90"/>
      <c r="CL704" s="90"/>
      <c r="CM704" s="90"/>
      <c r="CN704" s="90"/>
      <c r="CO704" s="90"/>
      <c r="CP704" s="90"/>
      <c r="CQ704" s="90"/>
      <c r="CR704" s="90"/>
      <c r="CS704" s="90"/>
      <c r="CT704" s="90"/>
      <c r="CU704" s="90"/>
      <c r="CV704" s="90"/>
      <c r="CW704" s="90"/>
    </row>
    <row r="705" ht="16.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H705" s="90"/>
      <c r="BI705" s="90"/>
      <c r="BJ705" s="90"/>
      <c r="BK705" s="90"/>
      <c r="BL705" s="90"/>
      <c r="BM705" s="90"/>
      <c r="BN705" s="90"/>
      <c r="BO705" s="90"/>
      <c r="BP705" s="90"/>
      <c r="BQ705" s="90"/>
      <c r="BR705" s="90"/>
      <c r="BS705" s="90"/>
      <c r="BT705" s="90"/>
      <c r="BU705" s="90"/>
      <c r="BV705" s="90"/>
      <c r="BW705" s="90"/>
      <c r="BX705" s="90"/>
      <c r="BY705" s="90"/>
      <c r="BZ705" s="90"/>
      <c r="CA705" s="90"/>
      <c r="CB705" s="90"/>
      <c r="CC705" s="90"/>
      <c r="CD705" s="90"/>
      <c r="CE705" s="90"/>
      <c r="CF705" s="90"/>
      <c r="CG705" s="90"/>
      <c r="CH705" s="90"/>
      <c r="CI705" s="90"/>
      <c r="CJ705" s="90"/>
      <c r="CK705" s="90"/>
      <c r="CL705" s="90"/>
      <c r="CM705" s="90"/>
      <c r="CN705" s="90"/>
      <c r="CO705" s="90"/>
      <c r="CP705" s="90"/>
      <c r="CQ705" s="90"/>
      <c r="CR705" s="90"/>
      <c r="CS705" s="90"/>
      <c r="CT705" s="90"/>
      <c r="CU705" s="90"/>
      <c r="CV705" s="90"/>
      <c r="CW705" s="90"/>
    </row>
    <row r="706" ht="16.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0"/>
      <c r="BQ706" s="90"/>
      <c r="BR706" s="90"/>
      <c r="BS706" s="90"/>
      <c r="BT706" s="90"/>
      <c r="BU706" s="90"/>
      <c r="BV706" s="90"/>
      <c r="BW706" s="90"/>
      <c r="BX706" s="90"/>
      <c r="BY706" s="90"/>
      <c r="BZ706" s="90"/>
      <c r="CA706" s="90"/>
      <c r="CB706" s="90"/>
      <c r="CC706" s="90"/>
      <c r="CD706" s="90"/>
      <c r="CE706" s="90"/>
      <c r="CF706" s="90"/>
      <c r="CG706" s="90"/>
      <c r="CH706" s="90"/>
      <c r="CI706" s="90"/>
      <c r="CJ706" s="90"/>
      <c r="CK706" s="90"/>
      <c r="CL706" s="90"/>
      <c r="CM706" s="90"/>
      <c r="CN706" s="90"/>
      <c r="CO706" s="90"/>
      <c r="CP706" s="90"/>
      <c r="CQ706" s="90"/>
      <c r="CR706" s="90"/>
      <c r="CS706" s="90"/>
      <c r="CT706" s="90"/>
      <c r="CU706" s="90"/>
      <c r="CV706" s="90"/>
      <c r="CW706" s="90"/>
    </row>
    <row r="707" ht="16.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H707" s="90"/>
      <c r="BI707" s="90"/>
      <c r="BJ707" s="90"/>
      <c r="BK707" s="90"/>
      <c r="BL707" s="90"/>
      <c r="BM707" s="90"/>
      <c r="BN707" s="90"/>
      <c r="BO707" s="90"/>
      <c r="BP707" s="90"/>
      <c r="BQ707" s="90"/>
      <c r="BR707" s="90"/>
      <c r="BS707" s="90"/>
      <c r="BT707" s="90"/>
      <c r="BU707" s="90"/>
      <c r="BV707" s="90"/>
      <c r="BW707" s="90"/>
      <c r="BX707" s="90"/>
      <c r="BY707" s="90"/>
      <c r="BZ707" s="90"/>
      <c r="CA707" s="90"/>
      <c r="CB707" s="90"/>
      <c r="CC707" s="90"/>
      <c r="CD707" s="90"/>
      <c r="CE707" s="90"/>
      <c r="CF707" s="90"/>
      <c r="CG707" s="90"/>
      <c r="CH707" s="90"/>
      <c r="CI707" s="90"/>
      <c r="CJ707" s="90"/>
      <c r="CK707" s="90"/>
      <c r="CL707" s="90"/>
      <c r="CM707" s="90"/>
      <c r="CN707" s="90"/>
      <c r="CO707" s="90"/>
      <c r="CP707" s="90"/>
      <c r="CQ707" s="90"/>
      <c r="CR707" s="90"/>
      <c r="CS707" s="90"/>
      <c r="CT707" s="90"/>
      <c r="CU707" s="90"/>
      <c r="CV707" s="90"/>
      <c r="CW707" s="90"/>
    </row>
    <row r="708" ht="16.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0"/>
      <c r="BQ708" s="90"/>
      <c r="BR708" s="90"/>
      <c r="BS708" s="90"/>
      <c r="BT708" s="90"/>
      <c r="BU708" s="90"/>
      <c r="BV708" s="90"/>
      <c r="BW708" s="90"/>
      <c r="BX708" s="90"/>
      <c r="BY708" s="90"/>
      <c r="BZ708" s="90"/>
      <c r="CA708" s="90"/>
      <c r="CB708" s="90"/>
      <c r="CC708" s="90"/>
      <c r="CD708" s="90"/>
      <c r="CE708" s="90"/>
      <c r="CF708" s="90"/>
      <c r="CG708" s="90"/>
      <c r="CH708" s="90"/>
      <c r="CI708" s="90"/>
      <c r="CJ708" s="90"/>
      <c r="CK708" s="90"/>
      <c r="CL708" s="90"/>
      <c r="CM708" s="90"/>
      <c r="CN708" s="90"/>
      <c r="CO708" s="90"/>
      <c r="CP708" s="90"/>
      <c r="CQ708" s="90"/>
      <c r="CR708" s="90"/>
      <c r="CS708" s="90"/>
      <c r="CT708" s="90"/>
      <c r="CU708" s="90"/>
      <c r="CV708" s="90"/>
      <c r="CW708" s="90"/>
    </row>
    <row r="709" ht="16.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H709" s="90"/>
      <c r="BI709" s="90"/>
      <c r="BJ709" s="90"/>
      <c r="BK709" s="90"/>
      <c r="BL709" s="90"/>
      <c r="BM709" s="90"/>
      <c r="BN709" s="90"/>
      <c r="BO709" s="90"/>
      <c r="BP709" s="90"/>
      <c r="BQ709" s="90"/>
      <c r="BR709" s="90"/>
      <c r="BS709" s="90"/>
      <c r="BT709" s="90"/>
      <c r="BU709" s="90"/>
      <c r="BV709" s="90"/>
      <c r="BW709" s="90"/>
      <c r="BX709" s="90"/>
      <c r="BY709" s="90"/>
      <c r="BZ709" s="90"/>
      <c r="CA709" s="90"/>
      <c r="CB709" s="90"/>
      <c r="CC709" s="90"/>
      <c r="CD709" s="90"/>
      <c r="CE709" s="90"/>
      <c r="CF709" s="90"/>
      <c r="CG709" s="90"/>
      <c r="CH709" s="90"/>
      <c r="CI709" s="90"/>
      <c r="CJ709" s="90"/>
      <c r="CK709" s="90"/>
      <c r="CL709" s="90"/>
      <c r="CM709" s="90"/>
      <c r="CN709" s="90"/>
      <c r="CO709" s="90"/>
      <c r="CP709" s="90"/>
      <c r="CQ709" s="90"/>
      <c r="CR709" s="90"/>
      <c r="CS709" s="90"/>
      <c r="CT709" s="90"/>
      <c r="CU709" s="90"/>
      <c r="CV709" s="90"/>
      <c r="CW709" s="90"/>
    </row>
    <row r="710" ht="16.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0"/>
      <c r="BQ710" s="90"/>
      <c r="BR710" s="90"/>
      <c r="BS710" s="90"/>
      <c r="BT710" s="90"/>
      <c r="BU710" s="90"/>
      <c r="BV710" s="90"/>
      <c r="BW710" s="90"/>
      <c r="BX710" s="90"/>
      <c r="BY710" s="90"/>
      <c r="BZ710" s="90"/>
      <c r="CA710" s="90"/>
      <c r="CB710" s="90"/>
      <c r="CC710" s="90"/>
      <c r="CD710" s="90"/>
      <c r="CE710" s="90"/>
      <c r="CF710" s="90"/>
      <c r="CG710" s="90"/>
      <c r="CH710" s="90"/>
      <c r="CI710" s="90"/>
      <c r="CJ710" s="90"/>
      <c r="CK710" s="90"/>
      <c r="CL710" s="90"/>
      <c r="CM710" s="90"/>
      <c r="CN710" s="90"/>
      <c r="CO710" s="90"/>
      <c r="CP710" s="90"/>
      <c r="CQ710" s="90"/>
      <c r="CR710" s="90"/>
      <c r="CS710" s="90"/>
      <c r="CT710" s="90"/>
      <c r="CU710" s="90"/>
      <c r="CV710" s="90"/>
      <c r="CW710" s="90"/>
    </row>
    <row r="711" ht="16.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H711" s="90"/>
      <c r="BI711" s="90"/>
      <c r="BJ711" s="90"/>
      <c r="BK711" s="90"/>
      <c r="BL711" s="90"/>
      <c r="BM711" s="90"/>
      <c r="BN711" s="90"/>
      <c r="BO711" s="90"/>
      <c r="BP711" s="90"/>
      <c r="BQ711" s="90"/>
      <c r="BR711" s="90"/>
      <c r="BS711" s="90"/>
      <c r="BT711" s="90"/>
      <c r="BU711" s="90"/>
      <c r="BV711" s="90"/>
      <c r="BW711" s="90"/>
      <c r="BX711" s="90"/>
      <c r="BY711" s="90"/>
      <c r="BZ711" s="90"/>
      <c r="CA711" s="90"/>
      <c r="CB711" s="90"/>
      <c r="CC711" s="90"/>
      <c r="CD711" s="90"/>
      <c r="CE711" s="90"/>
      <c r="CF711" s="90"/>
      <c r="CG711" s="90"/>
      <c r="CH711" s="90"/>
      <c r="CI711" s="90"/>
      <c r="CJ711" s="90"/>
      <c r="CK711" s="90"/>
      <c r="CL711" s="90"/>
      <c r="CM711" s="90"/>
      <c r="CN711" s="90"/>
      <c r="CO711" s="90"/>
      <c r="CP711" s="90"/>
      <c r="CQ711" s="90"/>
      <c r="CR711" s="90"/>
      <c r="CS711" s="90"/>
      <c r="CT711" s="90"/>
      <c r="CU711" s="90"/>
      <c r="CV711" s="90"/>
      <c r="CW711" s="90"/>
    </row>
    <row r="712" ht="16.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0"/>
      <c r="BQ712" s="90"/>
      <c r="BR712" s="90"/>
      <c r="BS712" s="90"/>
      <c r="BT712" s="90"/>
      <c r="BU712" s="90"/>
      <c r="BV712" s="90"/>
      <c r="BW712" s="90"/>
      <c r="BX712" s="90"/>
      <c r="BY712" s="90"/>
      <c r="BZ712" s="90"/>
      <c r="CA712" s="90"/>
      <c r="CB712" s="90"/>
      <c r="CC712" s="90"/>
      <c r="CD712" s="90"/>
      <c r="CE712" s="90"/>
      <c r="CF712" s="90"/>
      <c r="CG712" s="90"/>
      <c r="CH712" s="90"/>
      <c r="CI712" s="90"/>
      <c r="CJ712" s="90"/>
      <c r="CK712" s="90"/>
      <c r="CL712" s="90"/>
      <c r="CM712" s="90"/>
      <c r="CN712" s="90"/>
      <c r="CO712" s="90"/>
      <c r="CP712" s="90"/>
      <c r="CQ712" s="90"/>
      <c r="CR712" s="90"/>
      <c r="CS712" s="90"/>
      <c r="CT712" s="90"/>
      <c r="CU712" s="90"/>
      <c r="CV712" s="90"/>
      <c r="CW712" s="90"/>
    </row>
    <row r="713" ht="16.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H713" s="90"/>
      <c r="BI713" s="90"/>
      <c r="BJ713" s="90"/>
      <c r="BK713" s="90"/>
      <c r="BL713" s="90"/>
      <c r="BM713" s="90"/>
      <c r="BN713" s="90"/>
      <c r="BO713" s="90"/>
      <c r="BP713" s="90"/>
      <c r="BQ713" s="90"/>
      <c r="BR713" s="90"/>
      <c r="BS713" s="90"/>
      <c r="BT713" s="90"/>
      <c r="BU713" s="90"/>
      <c r="BV713" s="90"/>
      <c r="BW713" s="90"/>
      <c r="BX713" s="90"/>
      <c r="BY713" s="90"/>
      <c r="BZ713" s="90"/>
      <c r="CA713" s="90"/>
      <c r="CB713" s="90"/>
      <c r="CC713" s="90"/>
      <c r="CD713" s="90"/>
      <c r="CE713" s="90"/>
      <c r="CF713" s="90"/>
      <c r="CG713" s="90"/>
      <c r="CH713" s="90"/>
      <c r="CI713" s="90"/>
      <c r="CJ713" s="90"/>
      <c r="CK713" s="90"/>
      <c r="CL713" s="90"/>
      <c r="CM713" s="90"/>
      <c r="CN713" s="90"/>
      <c r="CO713" s="90"/>
      <c r="CP713" s="90"/>
      <c r="CQ713" s="90"/>
      <c r="CR713" s="90"/>
      <c r="CS713" s="90"/>
      <c r="CT713" s="90"/>
      <c r="CU713" s="90"/>
      <c r="CV713" s="90"/>
      <c r="CW713" s="90"/>
    </row>
    <row r="714" ht="16.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0"/>
      <c r="BQ714" s="90"/>
      <c r="BR714" s="90"/>
      <c r="BS714" s="90"/>
      <c r="BT714" s="90"/>
      <c r="BU714" s="90"/>
      <c r="BV714" s="90"/>
      <c r="BW714" s="90"/>
      <c r="BX714" s="90"/>
      <c r="BY714" s="90"/>
      <c r="BZ714" s="90"/>
      <c r="CA714" s="90"/>
      <c r="CB714" s="90"/>
      <c r="CC714" s="90"/>
      <c r="CD714" s="90"/>
      <c r="CE714" s="90"/>
      <c r="CF714" s="90"/>
      <c r="CG714" s="90"/>
      <c r="CH714" s="90"/>
      <c r="CI714" s="90"/>
      <c r="CJ714" s="90"/>
      <c r="CK714" s="90"/>
      <c r="CL714" s="90"/>
      <c r="CM714" s="90"/>
      <c r="CN714" s="90"/>
      <c r="CO714" s="90"/>
      <c r="CP714" s="90"/>
      <c r="CQ714" s="90"/>
      <c r="CR714" s="90"/>
      <c r="CS714" s="90"/>
      <c r="CT714" s="90"/>
      <c r="CU714" s="90"/>
      <c r="CV714" s="90"/>
      <c r="CW714" s="90"/>
    </row>
    <row r="715" ht="16.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  <c r="BI715" s="90"/>
      <c r="BJ715" s="90"/>
      <c r="BK715" s="90"/>
      <c r="BL715" s="90"/>
      <c r="BM715" s="90"/>
      <c r="BN715" s="90"/>
      <c r="BO715" s="90"/>
      <c r="BP715" s="90"/>
      <c r="BQ715" s="90"/>
      <c r="BR715" s="90"/>
      <c r="BS715" s="90"/>
      <c r="BT715" s="90"/>
      <c r="BU715" s="90"/>
      <c r="BV715" s="90"/>
      <c r="BW715" s="90"/>
      <c r="BX715" s="90"/>
      <c r="BY715" s="90"/>
      <c r="BZ715" s="90"/>
      <c r="CA715" s="90"/>
      <c r="CB715" s="90"/>
      <c r="CC715" s="90"/>
      <c r="CD715" s="90"/>
      <c r="CE715" s="90"/>
      <c r="CF715" s="90"/>
      <c r="CG715" s="90"/>
      <c r="CH715" s="90"/>
      <c r="CI715" s="90"/>
      <c r="CJ715" s="90"/>
      <c r="CK715" s="90"/>
      <c r="CL715" s="90"/>
      <c r="CM715" s="90"/>
      <c r="CN715" s="90"/>
      <c r="CO715" s="90"/>
      <c r="CP715" s="90"/>
      <c r="CQ715" s="90"/>
      <c r="CR715" s="90"/>
      <c r="CS715" s="90"/>
      <c r="CT715" s="90"/>
      <c r="CU715" s="90"/>
      <c r="CV715" s="90"/>
      <c r="CW715" s="90"/>
    </row>
    <row r="716" ht="16.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0"/>
      <c r="BQ716" s="90"/>
      <c r="BR716" s="90"/>
      <c r="BS716" s="90"/>
      <c r="BT716" s="90"/>
      <c r="BU716" s="90"/>
      <c r="BV716" s="90"/>
      <c r="BW716" s="90"/>
      <c r="BX716" s="90"/>
      <c r="BY716" s="90"/>
      <c r="BZ716" s="90"/>
      <c r="CA716" s="90"/>
      <c r="CB716" s="90"/>
      <c r="CC716" s="90"/>
      <c r="CD716" s="90"/>
      <c r="CE716" s="90"/>
      <c r="CF716" s="90"/>
      <c r="CG716" s="90"/>
      <c r="CH716" s="90"/>
      <c r="CI716" s="90"/>
      <c r="CJ716" s="90"/>
      <c r="CK716" s="90"/>
      <c r="CL716" s="90"/>
      <c r="CM716" s="90"/>
      <c r="CN716" s="90"/>
      <c r="CO716" s="90"/>
      <c r="CP716" s="90"/>
      <c r="CQ716" s="90"/>
      <c r="CR716" s="90"/>
      <c r="CS716" s="90"/>
      <c r="CT716" s="90"/>
      <c r="CU716" s="90"/>
      <c r="CV716" s="90"/>
      <c r="CW716" s="90"/>
    </row>
    <row r="717" ht="16.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  <c r="BI717" s="90"/>
      <c r="BJ717" s="90"/>
      <c r="BK717" s="90"/>
      <c r="BL717" s="90"/>
      <c r="BM717" s="90"/>
      <c r="BN717" s="90"/>
      <c r="BO717" s="90"/>
      <c r="BP717" s="90"/>
      <c r="BQ717" s="90"/>
      <c r="BR717" s="90"/>
      <c r="BS717" s="90"/>
      <c r="BT717" s="90"/>
      <c r="BU717" s="90"/>
      <c r="BV717" s="90"/>
      <c r="BW717" s="90"/>
      <c r="BX717" s="90"/>
      <c r="BY717" s="90"/>
      <c r="BZ717" s="90"/>
      <c r="CA717" s="90"/>
      <c r="CB717" s="90"/>
      <c r="CC717" s="90"/>
      <c r="CD717" s="90"/>
      <c r="CE717" s="90"/>
      <c r="CF717" s="90"/>
      <c r="CG717" s="90"/>
      <c r="CH717" s="90"/>
      <c r="CI717" s="90"/>
      <c r="CJ717" s="90"/>
      <c r="CK717" s="90"/>
      <c r="CL717" s="90"/>
      <c r="CM717" s="90"/>
      <c r="CN717" s="90"/>
      <c r="CO717" s="90"/>
      <c r="CP717" s="90"/>
      <c r="CQ717" s="90"/>
      <c r="CR717" s="90"/>
      <c r="CS717" s="90"/>
      <c r="CT717" s="90"/>
      <c r="CU717" s="90"/>
      <c r="CV717" s="90"/>
      <c r="CW717" s="90"/>
    </row>
    <row r="718" ht="16.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0"/>
      <c r="BQ718" s="90"/>
      <c r="BR718" s="90"/>
      <c r="BS718" s="90"/>
      <c r="BT718" s="90"/>
      <c r="BU718" s="90"/>
      <c r="BV718" s="90"/>
      <c r="BW718" s="90"/>
      <c r="BX718" s="90"/>
      <c r="BY718" s="90"/>
      <c r="BZ718" s="90"/>
      <c r="CA718" s="90"/>
      <c r="CB718" s="90"/>
      <c r="CC718" s="90"/>
      <c r="CD718" s="90"/>
      <c r="CE718" s="90"/>
      <c r="CF718" s="90"/>
      <c r="CG718" s="90"/>
      <c r="CH718" s="90"/>
      <c r="CI718" s="90"/>
      <c r="CJ718" s="90"/>
      <c r="CK718" s="90"/>
      <c r="CL718" s="90"/>
      <c r="CM718" s="90"/>
      <c r="CN718" s="90"/>
      <c r="CO718" s="90"/>
      <c r="CP718" s="90"/>
      <c r="CQ718" s="90"/>
      <c r="CR718" s="90"/>
      <c r="CS718" s="90"/>
      <c r="CT718" s="90"/>
      <c r="CU718" s="90"/>
      <c r="CV718" s="90"/>
      <c r="CW718" s="90"/>
    </row>
    <row r="719" ht="16.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H719" s="90"/>
      <c r="BI719" s="90"/>
      <c r="BJ719" s="90"/>
      <c r="BK719" s="90"/>
      <c r="BL719" s="90"/>
      <c r="BM719" s="90"/>
      <c r="BN719" s="90"/>
      <c r="BO719" s="90"/>
      <c r="BP719" s="90"/>
      <c r="BQ719" s="90"/>
      <c r="BR719" s="90"/>
      <c r="BS719" s="90"/>
      <c r="BT719" s="90"/>
      <c r="BU719" s="90"/>
      <c r="BV719" s="90"/>
      <c r="BW719" s="90"/>
      <c r="BX719" s="90"/>
      <c r="BY719" s="90"/>
      <c r="BZ719" s="90"/>
      <c r="CA719" s="90"/>
      <c r="CB719" s="90"/>
      <c r="CC719" s="90"/>
      <c r="CD719" s="90"/>
      <c r="CE719" s="90"/>
      <c r="CF719" s="90"/>
      <c r="CG719" s="90"/>
      <c r="CH719" s="90"/>
      <c r="CI719" s="90"/>
      <c r="CJ719" s="90"/>
      <c r="CK719" s="90"/>
      <c r="CL719" s="90"/>
      <c r="CM719" s="90"/>
      <c r="CN719" s="90"/>
      <c r="CO719" s="90"/>
      <c r="CP719" s="90"/>
      <c r="CQ719" s="90"/>
      <c r="CR719" s="90"/>
      <c r="CS719" s="90"/>
      <c r="CT719" s="90"/>
      <c r="CU719" s="90"/>
      <c r="CV719" s="90"/>
      <c r="CW719" s="90"/>
    </row>
    <row r="720" ht="16.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0"/>
      <c r="BQ720" s="90"/>
      <c r="BR720" s="90"/>
      <c r="BS720" s="90"/>
      <c r="BT720" s="90"/>
      <c r="BU720" s="90"/>
      <c r="BV720" s="90"/>
      <c r="BW720" s="90"/>
      <c r="BX720" s="90"/>
      <c r="BY720" s="90"/>
      <c r="BZ720" s="90"/>
      <c r="CA720" s="90"/>
      <c r="CB720" s="90"/>
      <c r="CC720" s="90"/>
      <c r="CD720" s="90"/>
      <c r="CE720" s="90"/>
      <c r="CF720" s="90"/>
      <c r="CG720" s="90"/>
      <c r="CH720" s="90"/>
      <c r="CI720" s="90"/>
      <c r="CJ720" s="90"/>
      <c r="CK720" s="90"/>
      <c r="CL720" s="90"/>
      <c r="CM720" s="90"/>
      <c r="CN720" s="90"/>
      <c r="CO720" s="90"/>
      <c r="CP720" s="90"/>
      <c r="CQ720" s="90"/>
      <c r="CR720" s="90"/>
      <c r="CS720" s="90"/>
      <c r="CT720" s="90"/>
      <c r="CU720" s="90"/>
      <c r="CV720" s="90"/>
      <c r="CW720" s="90"/>
    </row>
    <row r="721" ht="16.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H721" s="90"/>
      <c r="BI721" s="90"/>
      <c r="BJ721" s="90"/>
      <c r="BK721" s="90"/>
      <c r="BL721" s="90"/>
      <c r="BM721" s="90"/>
      <c r="BN721" s="90"/>
      <c r="BO721" s="90"/>
      <c r="BP721" s="90"/>
      <c r="BQ721" s="90"/>
      <c r="BR721" s="90"/>
      <c r="BS721" s="90"/>
      <c r="BT721" s="90"/>
      <c r="BU721" s="90"/>
      <c r="BV721" s="90"/>
      <c r="BW721" s="90"/>
      <c r="BX721" s="90"/>
      <c r="BY721" s="90"/>
      <c r="BZ721" s="90"/>
      <c r="CA721" s="90"/>
      <c r="CB721" s="90"/>
      <c r="CC721" s="90"/>
      <c r="CD721" s="90"/>
      <c r="CE721" s="90"/>
      <c r="CF721" s="90"/>
      <c r="CG721" s="90"/>
      <c r="CH721" s="90"/>
      <c r="CI721" s="90"/>
      <c r="CJ721" s="90"/>
      <c r="CK721" s="90"/>
      <c r="CL721" s="90"/>
      <c r="CM721" s="90"/>
      <c r="CN721" s="90"/>
      <c r="CO721" s="90"/>
      <c r="CP721" s="90"/>
      <c r="CQ721" s="90"/>
      <c r="CR721" s="90"/>
      <c r="CS721" s="90"/>
      <c r="CT721" s="90"/>
      <c r="CU721" s="90"/>
      <c r="CV721" s="90"/>
      <c r="CW721" s="90"/>
    </row>
    <row r="722" ht="16.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0"/>
      <c r="BQ722" s="90"/>
      <c r="BR722" s="90"/>
      <c r="BS722" s="90"/>
      <c r="BT722" s="90"/>
      <c r="BU722" s="90"/>
      <c r="BV722" s="90"/>
      <c r="BW722" s="90"/>
      <c r="BX722" s="90"/>
      <c r="BY722" s="90"/>
      <c r="BZ722" s="90"/>
      <c r="CA722" s="90"/>
      <c r="CB722" s="90"/>
      <c r="CC722" s="90"/>
      <c r="CD722" s="90"/>
      <c r="CE722" s="90"/>
      <c r="CF722" s="90"/>
      <c r="CG722" s="90"/>
      <c r="CH722" s="90"/>
      <c r="CI722" s="90"/>
      <c r="CJ722" s="90"/>
      <c r="CK722" s="90"/>
      <c r="CL722" s="90"/>
      <c r="CM722" s="90"/>
      <c r="CN722" s="90"/>
      <c r="CO722" s="90"/>
      <c r="CP722" s="90"/>
      <c r="CQ722" s="90"/>
      <c r="CR722" s="90"/>
      <c r="CS722" s="90"/>
      <c r="CT722" s="90"/>
      <c r="CU722" s="90"/>
      <c r="CV722" s="90"/>
      <c r="CW722" s="90"/>
    </row>
    <row r="723" ht="16.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H723" s="90"/>
      <c r="BI723" s="90"/>
      <c r="BJ723" s="90"/>
      <c r="BK723" s="90"/>
      <c r="BL723" s="90"/>
      <c r="BM723" s="90"/>
      <c r="BN723" s="90"/>
      <c r="BO723" s="90"/>
      <c r="BP723" s="90"/>
      <c r="BQ723" s="90"/>
      <c r="BR723" s="90"/>
      <c r="BS723" s="90"/>
      <c r="BT723" s="90"/>
      <c r="BU723" s="90"/>
      <c r="BV723" s="90"/>
      <c r="BW723" s="90"/>
      <c r="BX723" s="90"/>
      <c r="BY723" s="90"/>
      <c r="BZ723" s="90"/>
      <c r="CA723" s="90"/>
      <c r="CB723" s="90"/>
      <c r="CC723" s="90"/>
      <c r="CD723" s="90"/>
      <c r="CE723" s="90"/>
      <c r="CF723" s="90"/>
      <c r="CG723" s="90"/>
      <c r="CH723" s="90"/>
      <c r="CI723" s="90"/>
      <c r="CJ723" s="90"/>
      <c r="CK723" s="90"/>
      <c r="CL723" s="90"/>
      <c r="CM723" s="90"/>
      <c r="CN723" s="90"/>
      <c r="CO723" s="90"/>
      <c r="CP723" s="90"/>
      <c r="CQ723" s="90"/>
      <c r="CR723" s="90"/>
      <c r="CS723" s="90"/>
      <c r="CT723" s="90"/>
      <c r="CU723" s="90"/>
      <c r="CV723" s="90"/>
      <c r="CW723" s="90"/>
    </row>
    <row r="724" ht="16.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0"/>
      <c r="BQ724" s="90"/>
      <c r="BR724" s="90"/>
      <c r="BS724" s="90"/>
      <c r="BT724" s="90"/>
      <c r="BU724" s="90"/>
      <c r="BV724" s="90"/>
      <c r="BW724" s="90"/>
      <c r="BX724" s="90"/>
      <c r="BY724" s="90"/>
      <c r="BZ724" s="90"/>
      <c r="CA724" s="90"/>
      <c r="CB724" s="90"/>
      <c r="CC724" s="90"/>
      <c r="CD724" s="90"/>
      <c r="CE724" s="90"/>
      <c r="CF724" s="90"/>
      <c r="CG724" s="90"/>
      <c r="CH724" s="90"/>
      <c r="CI724" s="90"/>
      <c r="CJ724" s="90"/>
      <c r="CK724" s="90"/>
      <c r="CL724" s="90"/>
      <c r="CM724" s="90"/>
      <c r="CN724" s="90"/>
      <c r="CO724" s="90"/>
      <c r="CP724" s="90"/>
      <c r="CQ724" s="90"/>
      <c r="CR724" s="90"/>
      <c r="CS724" s="90"/>
      <c r="CT724" s="90"/>
      <c r="CU724" s="90"/>
      <c r="CV724" s="90"/>
      <c r="CW724" s="90"/>
    </row>
    <row r="725" ht="16.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H725" s="90"/>
      <c r="BI725" s="90"/>
      <c r="BJ725" s="90"/>
      <c r="BK725" s="90"/>
      <c r="BL725" s="90"/>
      <c r="BM725" s="90"/>
      <c r="BN725" s="90"/>
      <c r="BO725" s="90"/>
      <c r="BP725" s="90"/>
      <c r="BQ725" s="90"/>
      <c r="BR725" s="90"/>
      <c r="BS725" s="90"/>
      <c r="BT725" s="90"/>
      <c r="BU725" s="90"/>
      <c r="BV725" s="90"/>
      <c r="BW725" s="90"/>
      <c r="BX725" s="90"/>
      <c r="BY725" s="90"/>
      <c r="BZ725" s="90"/>
      <c r="CA725" s="90"/>
      <c r="CB725" s="90"/>
      <c r="CC725" s="90"/>
      <c r="CD725" s="90"/>
      <c r="CE725" s="90"/>
      <c r="CF725" s="90"/>
      <c r="CG725" s="90"/>
      <c r="CH725" s="90"/>
      <c r="CI725" s="90"/>
      <c r="CJ725" s="90"/>
      <c r="CK725" s="90"/>
      <c r="CL725" s="90"/>
      <c r="CM725" s="90"/>
      <c r="CN725" s="90"/>
      <c r="CO725" s="90"/>
      <c r="CP725" s="90"/>
      <c r="CQ725" s="90"/>
      <c r="CR725" s="90"/>
      <c r="CS725" s="90"/>
      <c r="CT725" s="90"/>
      <c r="CU725" s="90"/>
      <c r="CV725" s="90"/>
      <c r="CW725" s="90"/>
    </row>
    <row r="726" ht="16.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0"/>
      <c r="BQ726" s="90"/>
      <c r="BR726" s="90"/>
      <c r="BS726" s="90"/>
      <c r="BT726" s="90"/>
      <c r="BU726" s="90"/>
      <c r="BV726" s="90"/>
      <c r="BW726" s="90"/>
      <c r="BX726" s="90"/>
      <c r="BY726" s="90"/>
      <c r="BZ726" s="90"/>
      <c r="CA726" s="90"/>
      <c r="CB726" s="90"/>
      <c r="CC726" s="90"/>
      <c r="CD726" s="90"/>
      <c r="CE726" s="90"/>
      <c r="CF726" s="90"/>
      <c r="CG726" s="90"/>
      <c r="CH726" s="90"/>
      <c r="CI726" s="90"/>
      <c r="CJ726" s="90"/>
      <c r="CK726" s="90"/>
      <c r="CL726" s="90"/>
      <c r="CM726" s="90"/>
      <c r="CN726" s="90"/>
      <c r="CO726" s="90"/>
      <c r="CP726" s="90"/>
      <c r="CQ726" s="90"/>
      <c r="CR726" s="90"/>
      <c r="CS726" s="90"/>
      <c r="CT726" s="90"/>
      <c r="CU726" s="90"/>
      <c r="CV726" s="90"/>
      <c r="CW726" s="90"/>
    </row>
    <row r="727" ht="16.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H727" s="90"/>
      <c r="BI727" s="90"/>
      <c r="BJ727" s="90"/>
      <c r="BK727" s="90"/>
      <c r="BL727" s="90"/>
      <c r="BM727" s="90"/>
      <c r="BN727" s="90"/>
      <c r="BO727" s="90"/>
      <c r="BP727" s="90"/>
      <c r="BQ727" s="90"/>
      <c r="BR727" s="90"/>
      <c r="BS727" s="90"/>
      <c r="BT727" s="90"/>
      <c r="BU727" s="90"/>
      <c r="BV727" s="90"/>
      <c r="BW727" s="90"/>
      <c r="BX727" s="90"/>
      <c r="BY727" s="90"/>
      <c r="BZ727" s="90"/>
      <c r="CA727" s="90"/>
      <c r="CB727" s="90"/>
      <c r="CC727" s="90"/>
      <c r="CD727" s="90"/>
      <c r="CE727" s="90"/>
      <c r="CF727" s="90"/>
      <c r="CG727" s="90"/>
      <c r="CH727" s="90"/>
      <c r="CI727" s="90"/>
      <c r="CJ727" s="90"/>
      <c r="CK727" s="90"/>
      <c r="CL727" s="90"/>
      <c r="CM727" s="90"/>
      <c r="CN727" s="90"/>
      <c r="CO727" s="90"/>
      <c r="CP727" s="90"/>
      <c r="CQ727" s="90"/>
      <c r="CR727" s="90"/>
      <c r="CS727" s="90"/>
      <c r="CT727" s="90"/>
      <c r="CU727" s="90"/>
      <c r="CV727" s="90"/>
      <c r="CW727" s="90"/>
    </row>
    <row r="728" ht="16.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0"/>
      <c r="BQ728" s="90"/>
      <c r="BR728" s="90"/>
      <c r="BS728" s="90"/>
      <c r="BT728" s="90"/>
      <c r="BU728" s="90"/>
      <c r="BV728" s="90"/>
      <c r="BW728" s="90"/>
      <c r="BX728" s="90"/>
      <c r="BY728" s="90"/>
      <c r="BZ728" s="90"/>
      <c r="CA728" s="90"/>
      <c r="CB728" s="90"/>
      <c r="CC728" s="90"/>
      <c r="CD728" s="90"/>
      <c r="CE728" s="90"/>
      <c r="CF728" s="90"/>
      <c r="CG728" s="90"/>
      <c r="CH728" s="90"/>
      <c r="CI728" s="90"/>
      <c r="CJ728" s="90"/>
      <c r="CK728" s="90"/>
      <c r="CL728" s="90"/>
      <c r="CM728" s="90"/>
      <c r="CN728" s="90"/>
      <c r="CO728" s="90"/>
      <c r="CP728" s="90"/>
      <c r="CQ728" s="90"/>
      <c r="CR728" s="90"/>
      <c r="CS728" s="90"/>
      <c r="CT728" s="90"/>
      <c r="CU728" s="90"/>
      <c r="CV728" s="90"/>
      <c r="CW728" s="90"/>
    </row>
    <row r="729" ht="16.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H729" s="90"/>
      <c r="BI729" s="90"/>
      <c r="BJ729" s="90"/>
      <c r="BK729" s="90"/>
      <c r="BL729" s="90"/>
      <c r="BM729" s="90"/>
      <c r="BN729" s="90"/>
      <c r="BO729" s="90"/>
      <c r="BP729" s="90"/>
      <c r="BQ729" s="90"/>
      <c r="BR729" s="90"/>
      <c r="BS729" s="90"/>
      <c r="BT729" s="90"/>
      <c r="BU729" s="90"/>
      <c r="BV729" s="90"/>
      <c r="BW729" s="90"/>
      <c r="BX729" s="90"/>
      <c r="BY729" s="90"/>
      <c r="BZ729" s="90"/>
      <c r="CA729" s="90"/>
      <c r="CB729" s="90"/>
      <c r="CC729" s="90"/>
      <c r="CD729" s="90"/>
      <c r="CE729" s="90"/>
      <c r="CF729" s="90"/>
      <c r="CG729" s="90"/>
      <c r="CH729" s="90"/>
      <c r="CI729" s="90"/>
      <c r="CJ729" s="90"/>
      <c r="CK729" s="90"/>
      <c r="CL729" s="90"/>
      <c r="CM729" s="90"/>
      <c r="CN729" s="90"/>
      <c r="CO729" s="90"/>
      <c r="CP729" s="90"/>
      <c r="CQ729" s="90"/>
      <c r="CR729" s="90"/>
      <c r="CS729" s="90"/>
      <c r="CT729" s="90"/>
      <c r="CU729" s="90"/>
      <c r="CV729" s="90"/>
      <c r="CW729" s="90"/>
    </row>
    <row r="730" ht="16.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0"/>
      <c r="BS730" s="90"/>
      <c r="BT730" s="90"/>
      <c r="BU730" s="90"/>
      <c r="BV730" s="90"/>
      <c r="BW730" s="90"/>
      <c r="BX730" s="90"/>
      <c r="BY730" s="90"/>
      <c r="BZ730" s="90"/>
      <c r="CA730" s="90"/>
      <c r="CB730" s="90"/>
      <c r="CC730" s="90"/>
      <c r="CD730" s="90"/>
      <c r="CE730" s="90"/>
      <c r="CF730" s="90"/>
      <c r="CG730" s="90"/>
      <c r="CH730" s="90"/>
      <c r="CI730" s="90"/>
      <c r="CJ730" s="90"/>
      <c r="CK730" s="90"/>
      <c r="CL730" s="90"/>
      <c r="CM730" s="90"/>
      <c r="CN730" s="90"/>
      <c r="CO730" s="90"/>
      <c r="CP730" s="90"/>
      <c r="CQ730" s="90"/>
      <c r="CR730" s="90"/>
      <c r="CS730" s="90"/>
      <c r="CT730" s="90"/>
      <c r="CU730" s="90"/>
      <c r="CV730" s="90"/>
      <c r="CW730" s="90"/>
    </row>
    <row r="731" ht="16.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H731" s="90"/>
      <c r="BI731" s="90"/>
      <c r="BJ731" s="90"/>
      <c r="BK731" s="90"/>
      <c r="BL731" s="90"/>
      <c r="BM731" s="90"/>
      <c r="BN731" s="90"/>
      <c r="BO731" s="90"/>
      <c r="BP731" s="90"/>
      <c r="BQ731" s="90"/>
      <c r="BR731" s="90"/>
      <c r="BS731" s="90"/>
      <c r="BT731" s="90"/>
      <c r="BU731" s="90"/>
      <c r="BV731" s="90"/>
      <c r="BW731" s="90"/>
      <c r="BX731" s="90"/>
      <c r="BY731" s="90"/>
      <c r="BZ731" s="90"/>
      <c r="CA731" s="90"/>
      <c r="CB731" s="90"/>
      <c r="CC731" s="90"/>
      <c r="CD731" s="90"/>
      <c r="CE731" s="90"/>
      <c r="CF731" s="90"/>
      <c r="CG731" s="90"/>
      <c r="CH731" s="90"/>
      <c r="CI731" s="90"/>
      <c r="CJ731" s="90"/>
      <c r="CK731" s="90"/>
      <c r="CL731" s="90"/>
      <c r="CM731" s="90"/>
      <c r="CN731" s="90"/>
      <c r="CO731" s="90"/>
      <c r="CP731" s="90"/>
      <c r="CQ731" s="90"/>
      <c r="CR731" s="90"/>
      <c r="CS731" s="90"/>
      <c r="CT731" s="90"/>
      <c r="CU731" s="90"/>
      <c r="CV731" s="90"/>
      <c r="CW731" s="90"/>
    </row>
    <row r="732" ht="16.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0"/>
      <c r="BQ732" s="90"/>
      <c r="BR732" s="90"/>
      <c r="BS732" s="90"/>
      <c r="BT732" s="90"/>
      <c r="BU732" s="90"/>
      <c r="BV732" s="90"/>
      <c r="BW732" s="90"/>
      <c r="BX732" s="90"/>
      <c r="BY732" s="90"/>
      <c r="BZ732" s="90"/>
      <c r="CA732" s="90"/>
      <c r="CB732" s="90"/>
      <c r="CC732" s="90"/>
      <c r="CD732" s="90"/>
      <c r="CE732" s="90"/>
      <c r="CF732" s="90"/>
      <c r="CG732" s="90"/>
      <c r="CH732" s="90"/>
      <c r="CI732" s="90"/>
      <c r="CJ732" s="90"/>
      <c r="CK732" s="90"/>
      <c r="CL732" s="90"/>
      <c r="CM732" s="90"/>
      <c r="CN732" s="90"/>
      <c r="CO732" s="90"/>
      <c r="CP732" s="90"/>
      <c r="CQ732" s="90"/>
      <c r="CR732" s="90"/>
      <c r="CS732" s="90"/>
      <c r="CT732" s="90"/>
      <c r="CU732" s="90"/>
      <c r="CV732" s="90"/>
      <c r="CW732" s="90"/>
    </row>
    <row r="733" ht="16.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H733" s="90"/>
      <c r="BI733" s="90"/>
      <c r="BJ733" s="90"/>
      <c r="BK733" s="90"/>
      <c r="BL733" s="90"/>
      <c r="BM733" s="90"/>
      <c r="BN733" s="90"/>
      <c r="BO733" s="90"/>
      <c r="BP733" s="90"/>
      <c r="BQ733" s="90"/>
      <c r="BR733" s="90"/>
      <c r="BS733" s="90"/>
      <c r="BT733" s="90"/>
      <c r="BU733" s="90"/>
      <c r="BV733" s="90"/>
      <c r="BW733" s="90"/>
      <c r="BX733" s="90"/>
      <c r="BY733" s="90"/>
      <c r="BZ733" s="90"/>
      <c r="CA733" s="90"/>
      <c r="CB733" s="90"/>
      <c r="CC733" s="90"/>
      <c r="CD733" s="90"/>
      <c r="CE733" s="90"/>
      <c r="CF733" s="90"/>
      <c r="CG733" s="90"/>
      <c r="CH733" s="90"/>
      <c r="CI733" s="90"/>
      <c r="CJ733" s="90"/>
      <c r="CK733" s="90"/>
      <c r="CL733" s="90"/>
      <c r="CM733" s="90"/>
      <c r="CN733" s="90"/>
      <c r="CO733" s="90"/>
      <c r="CP733" s="90"/>
      <c r="CQ733" s="90"/>
      <c r="CR733" s="90"/>
      <c r="CS733" s="90"/>
      <c r="CT733" s="90"/>
      <c r="CU733" s="90"/>
      <c r="CV733" s="90"/>
      <c r="CW733" s="90"/>
    </row>
    <row r="734" ht="16.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0"/>
      <c r="BQ734" s="90"/>
      <c r="BR734" s="90"/>
      <c r="BS734" s="90"/>
      <c r="BT734" s="90"/>
      <c r="BU734" s="90"/>
      <c r="BV734" s="90"/>
      <c r="BW734" s="90"/>
      <c r="BX734" s="90"/>
      <c r="BY734" s="90"/>
      <c r="BZ734" s="90"/>
      <c r="CA734" s="90"/>
      <c r="CB734" s="90"/>
      <c r="CC734" s="90"/>
      <c r="CD734" s="90"/>
      <c r="CE734" s="90"/>
      <c r="CF734" s="90"/>
      <c r="CG734" s="90"/>
      <c r="CH734" s="90"/>
      <c r="CI734" s="90"/>
      <c r="CJ734" s="90"/>
      <c r="CK734" s="90"/>
      <c r="CL734" s="90"/>
      <c r="CM734" s="90"/>
      <c r="CN734" s="90"/>
      <c r="CO734" s="90"/>
      <c r="CP734" s="90"/>
      <c r="CQ734" s="90"/>
      <c r="CR734" s="90"/>
      <c r="CS734" s="90"/>
      <c r="CT734" s="90"/>
      <c r="CU734" s="90"/>
      <c r="CV734" s="90"/>
      <c r="CW734" s="90"/>
    </row>
    <row r="735" ht="16.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H735" s="90"/>
      <c r="BI735" s="90"/>
      <c r="BJ735" s="90"/>
      <c r="BK735" s="90"/>
      <c r="BL735" s="90"/>
      <c r="BM735" s="90"/>
      <c r="BN735" s="90"/>
      <c r="BO735" s="90"/>
      <c r="BP735" s="90"/>
      <c r="BQ735" s="90"/>
      <c r="BR735" s="90"/>
      <c r="BS735" s="90"/>
      <c r="BT735" s="90"/>
      <c r="BU735" s="90"/>
      <c r="BV735" s="90"/>
      <c r="BW735" s="90"/>
      <c r="BX735" s="90"/>
      <c r="BY735" s="90"/>
      <c r="BZ735" s="90"/>
      <c r="CA735" s="90"/>
      <c r="CB735" s="90"/>
      <c r="CC735" s="90"/>
      <c r="CD735" s="90"/>
      <c r="CE735" s="90"/>
      <c r="CF735" s="90"/>
      <c r="CG735" s="90"/>
      <c r="CH735" s="90"/>
      <c r="CI735" s="90"/>
      <c r="CJ735" s="90"/>
      <c r="CK735" s="90"/>
      <c r="CL735" s="90"/>
      <c r="CM735" s="90"/>
      <c r="CN735" s="90"/>
      <c r="CO735" s="90"/>
      <c r="CP735" s="90"/>
      <c r="CQ735" s="90"/>
      <c r="CR735" s="90"/>
      <c r="CS735" s="90"/>
      <c r="CT735" s="90"/>
      <c r="CU735" s="90"/>
      <c r="CV735" s="90"/>
      <c r="CW735" s="90"/>
    </row>
    <row r="736" ht="16.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0"/>
      <c r="BQ736" s="90"/>
      <c r="BR736" s="90"/>
      <c r="BS736" s="90"/>
      <c r="BT736" s="90"/>
      <c r="BU736" s="90"/>
      <c r="BV736" s="90"/>
      <c r="BW736" s="90"/>
      <c r="BX736" s="90"/>
      <c r="BY736" s="90"/>
      <c r="BZ736" s="90"/>
      <c r="CA736" s="90"/>
      <c r="CB736" s="90"/>
      <c r="CC736" s="90"/>
      <c r="CD736" s="90"/>
      <c r="CE736" s="90"/>
      <c r="CF736" s="90"/>
      <c r="CG736" s="90"/>
      <c r="CH736" s="90"/>
      <c r="CI736" s="90"/>
      <c r="CJ736" s="90"/>
      <c r="CK736" s="90"/>
      <c r="CL736" s="90"/>
      <c r="CM736" s="90"/>
      <c r="CN736" s="90"/>
      <c r="CO736" s="90"/>
      <c r="CP736" s="90"/>
      <c r="CQ736" s="90"/>
      <c r="CR736" s="90"/>
      <c r="CS736" s="90"/>
      <c r="CT736" s="90"/>
      <c r="CU736" s="90"/>
      <c r="CV736" s="90"/>
      <c r="CW736" s="90"/>
    </row>
    <row r="737" ht="16.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H737" s="90"/>
      <c r="BI737" s="90"/>
      <c r="BJ737" s="90"/>
      <c r="BK737" s="90"/>
      <c r="BL737" s="90"/>
      <c r="BM737" s="90"/>
      <c r="BN737" s="90"/>
      <c r="BO737" s="90"/>
      <c r="BP737" s="90"/>
      <c r="BQ737" s="90"/>
      <c r="BR737" s="90"/>
      <c r="BS737" s="90"/>
      <c r="BT737" s="90"/>
      <c r="BU737" s="90"/>
      <c r="BV737" s="90"/>
      <c r="BW737" s="90"/>
      <c r="BX737" s="90"/>
      <c r="BY737" s="90"/>
      <c r="BZ737" s="90"/>
      <c r="CA737" s="90"/>
      <c r="CB737" s="90"/>
      <c r="CC737" s="90"/>
      <c r="CD737" s="90"/>
      <c r="CE737" s="90"/>
      <c r="CF737" s="90"/>
      <c r="CG737" s="90"/>
      <c r="CH737" s="90"/>
      <c r="CI737" s="90"/>
      <c r="CJ737" s="90"/>
      <c r="CK737" s="90"/>
      <c r="CL737" s="90"/>
      <c r="CM737" s="90"/>
      <c r="CN737" s="90"/>
      <c r="CO737" s="90"/>
      <c r="CP737" s="90"/>
      <c r="CQ737" s="90"/>
      <c r="CR737" s="90"/>
      <c r="CS737" s="90"/>
      <c r="CT737" s="90"/>
      <c r="CU737" s="90"/>
      <c r="CV737" s="90"/>
      <c r="CW737" s="90"/>
    </row>
    <row r="738" ht="16.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0"/>
      <c r="BQ738" s="90"/>
      <c r="BR738" s="90"/>
      <c r="BS738" s="90"/>
      <c r="BT738" s="90"/>
      <c r="BU738" s="90"/>
      <c r="BV738" s="90"/>
      <c r="BW738" s="90"/>
      <c r="BX738" s="90"/>
      <c r="BY738" s="90"/>
      <c r="BZ738" s="90"/>
      <c r="CA738" s="90"/>
      <c r="CB738" s="90"/>
      <c r="CC738" s="90"/>
      <c r="CD738" s="90"/>
      <c r="CE738" s="90"/>
      <c r="CF738" s="90"/>
      <c r="CG738" s="90"/>
      <c r="CH738" s="90"/>
      <c r="CI738" s="90"/>
      <c r="CJ738" s="90"/>
      <c r="CK738" s="90"/>
      <c r="CL738" s="90"/>
      <c r="CM738" s="90"/>
      <c r="CN738" s="90"/>
      <c r="CO738" s="90"/>
      <c r="CP738" s="90"/>
      <c r="CQ738" s="90"/>
      <c r="CR738" s="90"/>
      <c r="CS738" s="90"/>
      <c r="CT738" s="90"/>
      <c r="CU738" s="90"/>
      <c r="CV738" s="90"/>
      <c r="CW738" s="90"/>
    </row>
    <row r="739" ht="16.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H739" s="90"/>
      <c r="BI739" s="90"/>
      <c r="BJ739" s="90"/>
      <c r="BK739" s="90"/>
      <c r="BL739" s="90"/>
      <c r="BM739" s="90"/>
      <c r="BN739" s="90"/>
      <c r="BO739" s="90"/>
      <c r="BP739" s="90"/>
      <c r="BQ739" s="90"/>
      <c r="BR739" s="90"/>
      <c r="BS739" s="90"/>
      <c r="BT739" s="90"/>
      <c r="BU739" s="90"/>
      <c r="BV739" s="90"/>
      <c r="BW739" s="90"/>
      <c r="BX739" s="90"/>
      <c r="BY739" s="90"/>
      <c r="BZ739" s="90"/>
      <c r="CA739" s="90"/>
      <c r="CB739" s="90"/>
      <c r="CC739" s="90"/>
      <c r="CD739" s="90"/>
      <c r="CE739" s="90"/>
      <c r="CF739" s="90"/>
      <c r="CG739" s="90"/>
      <c r="CH739" s="90"/>
      <c r="CI739" s="90"/>
      <c r="CJ739" s="90"/>
      <c r="CK739" s="90"/>
      <c r="CL739" s="90"/>
      <c r="CM739" s="90"/>
      <c r="CN739" s="90"/>
      <c r="CO739" s="90"/>
      <c r="CP739" s="90"/>
      <c r="CQ739" s="90"/>
      <c r="CR739" s="90"/>
      <c r="CS739" s="90"/>
      <c r="CT739" s="90"/>
      <c r="CU739" s="90"/>
      <c r="CV739" s="90"/>
      <c r="CW739" s="90"/>
    </row>
    <row r="740" ht="16.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0"/>
      <c r="BQ740" s="90"/>
      <c r="BR740" s="90"/>
      <c r="BS740" s="90"/>
      <c r="BT740" s="90"/>
      <c r="BU740" s="90"/>
      <c r="BV740" s="90"/>
      <c r="BW740" s="90"/>
      <c r="BX740" s="90"/>
      <c r="BY740" s="90"/>
      <c r="BZ740" s="90"/>
      <c r="CA740" s="90"/>
      <c r="CB740" s="90"/>
      <c r="CC740" s="90"/>
      <c r="CD740" s="90"/>
      <c r="CE740" s="90"/>
      <c r="CF740" s="90"/>
      <c r="CG740" s="90"/>
      <c r="CH740" s="90"/>
      <c r="CI740" s="90"/>
      <c r="CJ740" s="90"/>
      <c r="CK740" s="90"/>
      <c r="CL740" s="90"/>
      <c r="CM740" s="90"/>
      <c r="CN740" s="90"/>
      <c r="CO740" s="90"/>
      <c r="CP740" s="90"/>
      <c r="CQ740" s="90"/>
      <c r="CR740" s="90"/>
      <c r="CS740" s="90"/>
      <c r="CT740" s="90"/>
      <c r="CU740" s="90"/>
      <c r="CV740" s="90"/>
      <c r="CW740" s="90"/>
    </row>
    <row r="741" ht="16.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H741" s="90"/>
      <c r="BI741" s="90"/>
      <c r="BJ741" s="90"/>
      <c r="BK741" s="90"/>
      <c r="BL741" s="90"/>
      <c r="BM741" s="90"/>
      <c r="BN741" s="90"/>
      <c r="BO741" s="90"/>
      <c r="BP741" s="90"/>
      <c r="BQ741" s="90"/>
      <c r="BR741" s="90"/>
      <c r="BS741" s="90"/>
      <c r="BT741" s="90"/>
      <c r="BU741" s="90"/>
      <c r="BV741" s="90"/>
      <c r="BW741" s="90"/>
      <c r="BX741" s="90"/>
      <c r="BY741" s="90"/>
      <c r="BZ741" s="90"/>
      <c r="CA741" s="90"/>
      <c r="CB741" s="90"/>
      <c r="CC741" s="90"/>
      <c r="CD741" s="90"/>
      <c r="CE741" s="90"/>
      <c r="CF741" s="90"/>
      <c r="CG741" s="90"/>
      <c r="CH741" s="90"/>
      <c r="CI741" s="90"/>
      <c r="CJ741" s="90"/>
      <c r="CK741" s="90"/>
      <c r="CL741" s="90"/>
      <c r="CM741" s="90"/>
      <c r="CN741" s="90"/>
      <c r="CO741" s="90"/>
      <c r="CP741" s="90"/>
      <c r="CQ741" s="90"/>
      <c r="CR741" s="90"/>
      <c r="CS741" s="90"/>
      <c r="CT741" s="90"/>
      <c r="CU741" s="90"/>
      <c r="CV741" s="90"/>
      <c r="CW741" s="90"/>
    </row>
    <row r="742" ht="16.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0"/>
      <c r="BQ742" s="90"/>
      <c r="BR742" s="90"/>
      <c r="BS742" s="90"/>
      <c r="BT742" s="90"/>
      <c r="BU742" s="90"/>
      <c r="BV742" s="90"/>
      <c r="BW742" s="90"/>
      <c r="BX742" s="90"/>
      <c r="BY742" s="90"/>
      <c r="BZ742" s="90"/>
      <c r="CA742" s="90"/>
      <c r="CB742" s="90"/>
      <c r="CC742" s="90"/>
      <c r="CD742" s="90"/>
      <c r="CE742" s="90"/>
      <c r="CF742" s="90"/>
      <c r="CG742" s="90"/>
      <c r="CH742" s="90"/>
      <c r="CI742" s="90"/>
      <c r="CJ742" s="90"/>
      <c r="CK742" s="90"/>
      <c r="CL742" s="90"/>
      <c r="CM742" s="90"/>
      <c r="CN742" s="90"/>
      <c r="CO742" s="90"/>
      <c r="CP742" s="90"/>
      <c r="CQ742" s="90"/>
      <c r="CR742" s="90"/>
      <c r="CS742" s="90"/>
      <c r="CT742" s="90"/>
      <c r="CU742" s="90"/>
      <c r="CV742" s="90"/>
      <c r="CW742" s="90"/>
    </row>
    <row r="743" ht="16.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H743" s="90"/>
      <c r="BI743" s="90"/>
      <c r="BJ743" s="90"/>
      <c r="BK743" s="90"/>
      <c r="BL743" s="90"/>
      <c r="BM743" s="90"/>
      <c r="BN743" s="90"/>
      <c r="BO743" s="90"/>
      <c r="BP743" s="90"/>
      <c r="BQ743" s="90"/>
      <c r="BR743" s="90"/>
      <c r="BS743" s="90"/>
      <c r="BT743" s="90"/>
      <c r="BU743" s="90"/>
      <c r="BV743" s="90"/>
      <c r="BW743" s="90"/>
      <c r="BX743" s="90"/>
      <c r="BY743" s="90"/>
      <c r="BZ743" s="90"/>
      <c r="CA743" s="90"/>
      <c r="CB743" s="90"/>
      <c r="CC743" s="90"/>
      <c r="CD743" s="90"/>
      <c r="CE743" s="90"/>
      <c r="CF743" s="90"/>
      <c r="CG743" s="90"/>
      <c r="CH743" s="90"/>
      <c r="CI743" s="90"/>
      <c r="CJ743" s="90"/>
      <c r="CK743" s="90"/>
      <c r="CL743" s="90"/>
      <c r="CM743" s="90"/>
      <c r="CN743" s="90"/>
      <c r="CO743" s="90"/>
      <c r="CP743" s="90"/>
      <c r="CQ743" s="90"/>
      <c r="CR743" s="90"/>
      <c r="CS743" s="90"/>
      <c r="CT743" s="90"/>
      <c r="CU743" s="90"/>
      <c r="CV743" s="90"/>
      <c r="CW743" s="90"/>
    </row>
    <row r="744" ht="16.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0"/>
      <c r="BQ744" s="90"/>
      <c r="BR744" s="90"/>
      <c r="BS744" s="90"/>
      <c r="BT744" s="90"/>
      <c r="BU744" s="90"/>
      <c r="BV744" s="90"/>
      <c r="BW744" s="90"/>
      <c r="BX744" s="90"/>
      <c r="BY744" s="90"/>
      <c r="BZ744" s="90"/>
      <c r="CA744" s="90"/>
      <c r="CB744" s="90"/>
      <c r="CC744" s="90"/>
      <c r="CD744" s="90"/>
      <c r="CE744" s="90"/>
      <c r="CF744" s="90"/>
      <c r="CG744" s="90"/>
      <c r="CH744" s="90"/>
      <c r="CI744" s="90"/>
      <c r="CJ744" s="90"/>
      <c r="CK744" s="90"/>
      <c r="CL744" s="90"/>
      <c r="CM744" s="90"/>
      <c r="CN744" s="90"/>
      <c r="CO744" s="90"/>
      <c r="CP744" s="90"/>
      <c r="CQ744" s="90"/>
      <c r="CR744" s="90"/>
      <c r="CS744" s="90"/>
      <c r="CT744" s="90"/>
      <c r="CU744" s="90"/>
      <c r="CV744" s="90"/>
      <c r="CW744" s="90"/>
    </row>
    <row r="745" ht="16.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H745" s="90"/>
      <c r="BI745" s="90"/>
      <c r="BJ745" s="90"/>
      <c r="BK745" s="90"/>
      <c r="BL745" s="90"/>
      <c r="BM745" s="90"/>
      <c r="BN745" s="90"/>
      <c r="BO745" s="90"/>
      <c r="BP745" s="90"/>
      <c r="BQ745" s="90"/>
      <c r="BR745" s="90"/>
      <c r="BS745" s="90"/>
      <c r="BT745" s="90"/>
      <c r="BU745" s="90"/>
      <c r="BV745" s="90"/>
      <c r="BW745" s="90"/>
      <c r="BX745" s="90"/>
      <c r="BY745" s="90"/>
      <c r="BZ745" s="90"/>
      <c r="CA745" s="90"/>
      <c r="CB745" s="90"/>
      <c r="CC745" s="90"/>
      <c r="CD745" s="90"/>
      <c r="CE745" s="90"/>
      <c r="CF745" s="90"/>
      <c r="CG745" s="90"/>
      <c r="CH745" s="90"/>
      <c r="CI745" s="90"/>
      <c r="CJ745" s="90"/>
      <c r="CK745" s="90"/>
      <c r="CL745" s="90"/>
      <c r="CM745" s="90"/>
      <c r="CN745" s="90"/>
      <c r="CO745" s="90"/>
      <c r="CP745" s="90"/>
      <c r="CQ745" s="90"/>
      <c r="CR745" s="90"/>
      <c r="CS745" s="90"/>
      <c r="CT745" s="90"/>
      <c r="CU745" s="90"/>
      <c r="CV745" s="90"/>
      <c r="CW745" s="90"/>
    </row>
    <row r="746" ht="16.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0"/>
      <c r="BQ746" s="90"/>
      <c r="BR746" s="90"/>
      <c r="BS746" s="90"/>
      <c r="BT746" s="90"/>
      <c r="BU746" s="90"/>
      <c r="BV746" s="90"/>
      <c r="BW746" s="90"/>
      <c r="BX746" s="90"/>
      <c r="BY746" s="90"/>
      <c r="BZ746" s="90"/>
      <c r="CA746" s="90"/>
      <c r="CB746" s="90"/>
      <c r="CC746" s="90"/>
      <c r="CD746" s="90"/>
      <c r="CE746" s="90"/>
      <c r="CF746" s="90"/>
      <c r="CG746" s="90"/>
      <c r="CH746" s="90"/>
      <c r="CI746" s="90"/>
      <c r="CJ746" s="90"/>
      <c r="CK746" s="90"/>
      <c r="CL746" s="90"/>
      <c r="CM746" s="90"/>
      <c r="CN746" s="90"/>
      <c r="CO746" s="90"/>
      <c r="CP746" s="90"/>
      <c r="CQ746" s="90"/>
      <c r="CR746" s="90"/>
      <c r="CS746" s="90"/>
      <c r="CT746" s="90"/>
      <c r="CU746" s="90"/>
      <c r="CV746" s="90"/>
      <c r="CW746" s="90"/>
    </row>
    <row r="747" ht="16.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H747" s="90"/>
      <c r="BI747" s="90"/>
      <c r="BJ747" s="90"/>
      <c r="BK747" s="90"/>
      <c r="BL747" s="90"/>
      <c r="BM747" s="90"/>
      <c r="BN747" s="90"/>
      <c r="BO747" s="90"/>
      <c r="BP747" s="90"/>
      <c r="BQ747" s="90"/>
      <c r="BR747" s="90"/>
      <c r="BS747" s="90"/>
      <c r="BT747" s="90"/>
      <c r="BU747" s="90"/>
      <c r="BV747" s="90"/>
      <c r="BW747" s="90"/>
      <c r="BX747" s="90"/>
      <c r="BY747" s="90"/>
      <c r="BZ747" s="90"/>
      <c r="CA747" s="90"/>
      <c r="CB747" s="90"/>
      <c r="CC747" s="90"/>
      <c r="CD747" s="90"/>
      <c r="CE747" s="90"/>
      <c r="CF747" s="90"/>
      <c r="CG747" s="90"/>
      <c r="CH747" s="90"/>
      <c r="CI747" s="90"/>
      <c r="CJ747" s="90"/>
      <c r="CK747" s="90"/>
      <c r="CL747" s="90"/>
      <c r="CM747" s="90"/>
      <c r="CN747" s="90"/>
      <c r="CO747" s="90"/>
      <c r="CP747" s="90"/>
      <c r="CQ747" s="90"/>
      <c r="CR747" s="90"/>
      <c r="CS747" s="90"/>
      <c r="CT747" s="90"/>
      <c r="CU747" s="90"/>
      <c r="CV747" s="90"/>
      <c r="CW747" s="90"/>
    </row>
    <row r="748" ht="16.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0"/>
      <c r="BQ748" s="90"/>
      <c r="BR748" s="90"/>
      <c r="BS748" s="90"/>
      <c r="BT748" s="90"/>
      <c r="BU748" s="90"/>
      <c r="BV748" s="90"/>
      <c r="BW748" s="90"/>
      <c r="BX748" s="90"/>
      <c r="BY748" s="90"/>
      <c r="BZ748" s="90"/>
      <c r="CA748" s="90"/>
      <c r="CB748" s="90"/>
      <c r="CC748" s="90"/>
      <c r="CD748" s="90"/>
      <c r="CE748" s="90"/>
      <c r="CF748" s="90"/>
      <c r="CG748" s="90"/>
      <c r="CH748" s="90"/>
      <c r="CI748" s="90"/>
      <c r="CJ748" s="90"/>
      <c r="CK748" s="90"/>
      <c r="CL748" s="90"/>
      <c r="CM748" s="90"/>
      <c r="CN748" s="90"/>
      <c r="CO748" s="90"/>
      <c r="CP748" s="90"/>
      <c r="CQ748" s="90"/>
      <c r="CR748" s="90"/>
      <c r="CS748" s="90"/>
      <c r="CT748" s="90"/>
      <c r="CU748" s="90"/>
      <c r="CV748" s="90"/>
      <c r="CW748" s="90"/>
    </row>
    <row r="749" ht="16.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H749" s="90"/>
      <c r="BI749" s="90"/>
      <c r="BJ749" s="90"/>
      <c r="BK749" s="90"/>
      <c r="BL749" s="90"/>
      <c r="BM749" s="90"/>
      <c r="BN749" s="90"/>
      <c r="BO749" s="90"/>
      <c r="BP749" s="90"/>
      <c r="BQ749" s="90"/>
      <c r="BR749" s="90"/>
      <c r="BS749" s="90"/>
      <c r="BT749" s="90"/>
      <c r="BU749" s="90"/>
      <c r="BV749" s="90"/>
      <c r="BW749" s="90"/>
      <c r="BX749" s="90"/>
      <c r="BY749" s="90"/>
      <c r="BZ749" s="90"/>
      <c r="CA749" s="90"/>
      <c r="CB749" s="90"/>
      <c r="CC749" s="90"/>
      <c r="CD749" s="90"/>
      <c r="CE749" s="90"/>
      <c r="CF749" s="90"/>
      <c r="CG749" s="90"/>
      <c r="CH749" s="90"/>
      <c r="CI749" s="90"/>
      <c r="CJ749" s="90"/>
      <c r="CK749" s="90"/>
      <c r="CL749" s="90"/>
      <c r="CM749" s="90"/>
      <c r="CN749" s="90"/>
      <c r="CO749" s="90"/>
      <c r="CP749" s="90"/>
      <c r="CQ749" s="90"/>
      <c r="CR749" s="90"/>
      <c r="CS749" s="90"/>
      <c r="CT749" s="90"/>
      <c r="CU749" s="90"/>
      <c r="CV749" s="90"/>
      <c r="CW749" s="90"/>
    </row>
    <row r="750" ht="16.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0"/>
      <c r="BQ750" s="90"/>
      <c r="BR750" s="90"/>
      <c r="BS750" s="90"/>
      <c r="BT750" s="90"/>
      <c r="BU750" s="90"/>
      <c r="BV750" s="90"/>
      <c r="BW750" s="90"/>
      <c r="BX750" s="90"/>
      <c r="BY750" s="90"/>
      <c r="BZ750" s="90"/>
      <c r="CA750" s="90"/>
      <c r="CB750" s="90"/>
      <c r="CC750" s="90"/>
      <c r="CD750" s="90"/>
      <c r="CE750" s="90"/>
      <c r="CF750" s="90"/>
      <c r="CG750" s="90"/>
      <c r="CH750" s="90"/>
      <c r="CI750" s="90"/>
      <c r="CJ750" s="90"/>
      <c r="CK750" s="90"/>
      <c r="CL750" s="90"/>
      <c r="CM750" s="90"/>
      <c r="CN750" s="90"/>
      <c r="CO750" s="90"/>
      <c r="CP750" s="90"/>
      <c r="CQ750" s="90"/>
      <c r="CR750" s="90"/>
      <c r="CS750" s="90"/>
      <c r="CT750" s="90"/>
      <c r="CU750" s="90"/>
      <c r="CV750" s="90"/>
      <c r="CW750" s="90"/>
    </row>
    <row r="751" ht="16.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H751" s="90"/>
      <c r="BI751" s="90"/>
      <c r="BJ751" s="90"/>
      <c r="BK751" s="90"/>
      <c r="BL751" s="90"/>
      <c r="BM751" s="90"/>
      <c r="BN751" s="90"/>
      <c r="BO751" s="90"/>
      <c r="BP751" s="90"/>
      <c r="BQ751" s="90"/>
      <c r="BR751" s="90"/>
      <c r="BS751" s="90"/>
      <c r="BT751" s="90"/>
      <c r="BU751" s="90"/>
      <c r="BV751" s="90"/>
      <c r="BW751" s="90"/>
      <c r="BX751" s="90"/>
      <c r="BY751" s="90"/>
      <c r="BZ751" s="90"/>
      <c r="CA751" s="90"/>
      <c r="CB751" s="90"/>
      <c r="CC751" s="90"/>
      <c r="CD751" s="90"/>
      <c r="CE751" s="90"/>
      <c r="CF751" s="90"/>
      <c r="CG751" s="90"/>
      <c r="CH751" s="90"/>
      <c r="CI751" s="90"/>
      <c r="CJ751" s="90"/>
      <c r="CK751" s="90"/>
      <c r="CL751" s="90"/>
      <c r="CM751" s="90"/>
      <c r="CN751" s="90"/>
      <c r="CO751" s="90"/>
      <c r="CP751" s="90"/>
      <c r="CQ751" s="90"/>
      <c r="CR751" s="90"/>
      <c r="CS751" s="90"/>
      <c r="CT751" s="90"/>
      <c r="CU751" s="90"/>
      <c r="CV751" s="90"/>
      <c r="CW751" s="90"/>
    </row>
    <row r="752" ht="16.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0"/>
      <c r="BQ752" s="90"/>
      <c r="BR752" s="90"/>
      <c r="BS752" s="90"/>
      <c r="BT752" s="90"/>
      <c r="BU752" s="90"/>
      <c r="BV752" s="90"/>
      <c r="BW752" s="90"/>
      <c r="BX752" s="90"/>
      <c r="BY752" s="90"/>
      <c r="BZ752" s="90"/>
      <c r="CA752" s="90"/>
      <c r="CB752" s="90"/>
      <c r="CC752" s="90"/>
      <c r="CD752" s="90"/>
      <c r="CE752" s="90"/>
      <c r="CF752" s="90"/>
      <c r="CG752" s="90"/>
      <c r="CH752" s="90"/>
      <c r="CI752" s="90"/>
      <c r="CJ752" s="90"/>
      <c r="CK752" s="90"/>
      <c r="CL752" s="90"/>
      <c r="CM752" s="90"/>
      <c r="CN752" s="90"/>
      <c r="CO752" s="90"/>
      <c r="CP752" s="90"/>
      <c r="CQ752" s="90"/>
      <c r="CR752" s="90"/>
      <c r="CS752" s="90"/>
      <c r="CT752" s="90"/>
      <c r="CU752" s="90"/>
      <c r="CV752" s="90"/>
      <c r="CW752" s="90"/>
    </row>
    <row r="753" ht="16.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H753" s="90"/>
      <c r="BI753" s="90"/>
      <c r="BJ753" s="90"/>
      <c r="BK753" s="90"/>
      <c r="BL753" s="90"/>
      <c r="BM753" s="90"/>
      <c r="BN753" s="90"/>
      <c r="BO753" s="90"/>
      <c r="BP753" s="90"/>
      <c r="BQ753" s="90"/>
      <c r="BR753" s="90"/>
      <c r="BS753" s="90"/>
      <c r="BT753" s="90"/>
      <c r="BU753" s="90"/>
      <c r="BV753" s="90"/>
      <c r="BW753" s="90"/>
      <c r="BX753" s="90"/>
      <c r="BY753" s="90"/>
      <c r="BZ753" s="90"/>
      <c r="CA753" s="90"/>
      <c r="CB753" s="90"/>
      <c r="CC753" s="90"/>
      <c r="CD753" s="90"/>
      <c r="CE753" s="90"/>
      <c r="CF753" s="90"/>
      <c r="CG753" s="90"/>
      <c r="CH753" s="90"/>
      <c r="CI753" s="90"/>
      <c r="CJ753" s="90"/>
      <c r="CK753" s="90"/>
      <c r="CL753" s="90"/>
      <c r="CM753" s="90"/>
      <c r="CN753" s="90"/>
      <c r="CO753" s="90"/>
      <c r="CP753" s="90"/>
      <c r="CQ753" s="90"/>
      <c r="CR753" s="90"/>
      <c r="CS753" s="90"/>
      <c r="CT753" s="90"/>
      <c r="CU753" s="90"/>
      <c r="CV753" s="90"/>
      <c r="CW753" s="90"/>
    </row>
    <row r="754" ht="16.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0"/>
      <c r="BQ754" s="90"/>
      <c r="BR754" s="90"/>
      <c r="BS754" s="90"/>
      <c r="BT754" s="90"/>
      <c r="BU754" s="90"/>
      <c r="BV754" s="90"/>
      <c r="BW754" s="90"/>
      <c r="BX754" s="90"/>
      <c r="BY754" s="90"/>
      <c r="BZ754" s="90"/>
      <c r="CA754" s="90"/>
      <c r="CB754" s="90"/>
      <c r="CC754" s="90"/>
      <c r="CD754" s="90"/>
      <c r="CE754" s="90"/>
      <c r="CF754" s="90"/>
      <c r="CG754" s="90"/>
      <c r="CH754" s="90"/>
      <c r="CI754" s="90"/>
      <c r="CJ754" s="90"/>
      <c r="CK754" s="90"/>
      <c r="CL754" s="90"/>
      <c r="CM754" s="90"/>
      <c r="CN754" s="90"/>
      <c r="CO754" s="90"/>
      <c r="CP754" s="90"/>
      <c r="CQ754" s="90"/>
      <c r="CR754" s="90"/>
      <c r="CS754" s="90"/>
      <c r="CT754" s="90"/>
      <c r="CU754" s="90"/>
      <c r="CV754" s="90"/>
      <c r="CW754" s="90"/>
    </row>
    <row r="755" ht="16.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H755" s="90"/>
      <c r="BI755" s="90"/>
      <c r="BJ755" s="90"/>
      <c r="BK755" s="90"/>
      <c r="BL755" s="90"/>
      <c r="BM755" s="90"/>
      <c r="BN755" s="90"/>
      <c r="BO755" s="90"/>
      <c r="BP755" s="90"/>
      <c r="BQ755" s="90"/>
      <c r="BR755" s="90"/>
      <c r="BS755" s="90"/>
      <c r="BT755" s="90"/>
      <c r="BU755" s="90"/>
      <c r="BV755" s="90"/>
      <c r="BW755" s="90"/>
      <c r="BX755" s="90"/>
      <c r="BY755" s="90"/>
      <c r="BZ755" s="90"/>
      <c r="CA755" s="90"/>
      <c r="CB755" s="90"/>
      <c r="CC755" s="90"/>
      <c r="CD755" s="90"/>
      <c r="CE755" s="90"/>
      <c r="CF755" s="90"/>
      <c r="CG755" s="90"/>
      <c r="CH755" s="90"/>
      <c r="CI755" s="90"/>
      <c r="CJ755" s="90"/>
      <c r="CK755" s="90"/>
      <c r="CL755" s="90"/>
      <c r="CM755" s="90"/>
      <c r="CN755" s="90"/>
      <c r="CO755" s="90"/>
      <c r="CP755" s="90"/>
      <c r="CQ755" s="90"/>
      <c r="CR755" s="90"/>
      <c r="CS755" s="90"/>
      <c r="CT755" s="90"/>
      <c r="CU755" s="90"/>
      <c r="CV755" s="90"/>
      <c r="CW755" s="90"/>
    </row>
    <row r="756" ht="16.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0"/>
      <c r="BQ756" s="90"/>
      <c r="BR756" s="90"/>
      <c r="BS756" s="90"/>
      <c r="BT756" s="90"/>
      <c r="BU756" s="90"/>
      <c r="BV756" s="90"/>
      <c r="BW756" s="90"/>
      <c r="BX756" s="90"/>
      <c r="BY756" s="90"/>
      <c r="BZ756" s="90"/>
      <c r="CA756" s="90"/>
      <c r="CB756" s="90"/>
      <c r="CC756" s="90"/>
      <c r="CD756" s="90"/>
      <c r="CE756" s="90"/>
      <c r="CF756" s="90"/>
      <c r="CG756" s="90"/>
      <c r="CH756" s="90"/>
      <c r="CI756" s="90"/>
      <c r="CJ756" s="90"/>
      <c r="CK756" s="90"/>
      <c r="CL756" s="90"/>
      <c r="CM756" s="90"/>
      <c r="CN756" s="90"/>
      <c r="CO756" s="90"/>
      <c r="CP756" s="90"/>
      <c r="CQ756" s="90"/>
      <c r="CR756" s="90"/>
      <c r="CS756" s="90"/>
      <c r="CT756" s="90"/>
      <c r="CU756" s="90"/>
      <c r="CV756" s="90"/>
      <c r="CW756" s="90"/>
    </row>
    <row r="757" ht="16.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H757" s="90"/>
      <c r="BI757" s="90"/>
      <c r="BJ757" s="90"/>
      <c r="BK757" s="90"/>
      <c r="BL757" s="90"/>
      <c r="BM757" s="90"/>
      <c r="BN757" s="90"/>
      <c r="BO757" s="90"/>
      <c r="BP757" s="90"/>
      <c r="BQ757" s="90"/>
      <c r="BR757" s="90"/>
      <c r="BS757" s="90"/>
      <c r="BT757" s="90"/>
      <c r="BU757" s="90"/>
      <c r="BV757" s="90"/>
      <c r="BW757" s="90"/>
      <c r="BX757" s="90"/>
      <c r="BY757" s="90"/>
      <c r="BZ757" s="90"/>
      <c r="CA757" s="90"/>
      <c r="CB757" s="90"/>
      <c r="CC757" s="90"/>
      <c r="CD757" s="90"/>
      <c r="CE757" s="90"/>
      <c r="CF757" s="90"/>
      <c r="CG757" s="90"/>
      <c r="CH757" s="90"/>
      <c r="CI757" s="90"/>
      <c r="CJ757" s="90"/>
      <c r="CK757" s="90"/>
      <c r="CL757" s="90"/>
      <c r="CM757" s="90"/>
      <c r="CN757" s="90"/>
      <c r="CO757" s="90"/>
      <c r="CP757" s="90"/>
      <c r="CQ757" s="90"/>
      <c r="CR757" s="90"/>
      <c r="CS757" s="90"/>
      <c r="CT757" s="90"/>
      <c r="CU757" s="90"/>
      <c r="CV757" s="90"/>
      <c r="CW757" s="90"/>
    </row>
    <row r="758" ht="16.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0"/>
      <c r="BQ758" s="90"/>
      <c r="BR758" s="90"/>
      <c r="BS758" s="90"/>
      <c r="BT758" s="90"/>
      <c r="BU758" s="90"/>
      <c r="BV758" s="90"/>
      <c r="BW758" s="90"/>
      <c r="BX758" s="90"/>
      <c r="BY758" s="90"/>
      <c r="BZ758" s="90"/>
      <c r="CA758" s="90"/>
      <c r="CB758" s="90"/>
      <c r="CC758" s="90"/>
      <c r="CD758" s="90"/>
      <c r="CE758" s="90"/>
      <c r="CF758" s="90"/>
      <c r="CG758" s="90"/>
      <c r="CH758" s="90"/>
      <c r="CI758" s="90"/>
      <c r="CJ758" s="90"/>
      <c r="CK758" s="90"/>
      <c r="CL758" s="90"/>
      <c r="CM758" s="90"/>
      <c r="CN758" s="90"/>
      <c r="CO758" s="90"/>
      <c r="CP758" s="90"/>
      <c r="CQ758" s="90"/>
      <c r="CR758" s="90"/>
      <c r="CS758" s="90"/>
      <c r="CT758" s="90"/>
      <c r="CU758" s="90"/>
      <c r="CV758" s="90"/>
      <c r="CW758" s="90"/>
    </row>
    <row r="759" ht="16.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H759" s="90"/>
      <c r="BI759" s="90"/>
      <c r="BJ759" s="90"/>
      <c r="BK759" s="90"/>
      <c r="BL759" s="90"/>
      <c r="BM759" s="90"/>
      <c r="BN759" s="90"/>
      <c r="BO759" s="90"/>
      <c r="BP759" s="90"/>
      <c r="BQ759" s="90"/>
      <c r="BR759" s="90"/>
      <c r="BS759" s="90"/>
      <c r="BT759" s="90"/>
      <c r="BU759" s="90"/>
      <c r="BV759" s="90"/>
      <c r="BW759" s="90"/>
      <c r="BX759" s="90"/>
      <c r="BY759" s="90"/>
      <c r="BZ759" s="90"/>
      <c r="CA759" s="90"/>
      <c r="CB759" s="90"/>
      <c r="CC759" s="90"/>
      <c r="CD759" s="90"/>
      <c r="CE759" s="90"/>
      <c r="CF759" s="90"/>
      <c r="CG759" s="90"/>
      <c r="CH759" s="90"/>
      <c r="CI759" s="90"/>
      <c r="CJ759" s="90"/>
      <c r="CK759" s="90"/>
      <c r="CL759" s="90"/>
      <c r="CM759" s="90"/>
      <c r="CN759" s="90"/>
      <c r="CO759" s="90"/>
      <c r="CP759" s="90"/>
      <c r="CQ759" s="90"/>
      <c r="CR759" s="90"/>
      <c r="CS759" s="90"/>
      <c r="CT759" s="90"/>
      <c r="CU759" s="90"/>
      <c r="CV759" s="90"/>
      <c r="CW759" s="90"/>
    </row>
    <row r="760" ht="16.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0"/>
      <c r="BQ760" s="90"/>
      <c r="BR760" s="90"/>
      <c r="BS760" s="90"/>
      <c r="BT760" s="90"/>
      <c r="BU760" s="90"/>
      <c r="BV760" s="90"/>
      <c r="BW760" s="90"/>
      <c r="BX760" s="90"/>
      <c r="BY760" s="90"/>
      <c r="BZ760" s="90"/>
      <c r="CA760" s="90"/>
      <c r="CB760" s="90"/>
      <c r="CC760" s="90"/>
      <c r="CD760" s="90"/>
      <c r="CE760" s="90"/>
      <c r="CF760" s="90"/>
      <c r="CG760" s="90"/>
      <c r="CH760" s="90"/>
      <c r="CI760" s="90"/>
      <c r="CJ760" s="90"/>
      <c r="CK760" s="90"/>
      <c r="CL760" s="90"/>
      <c r="CM760" s="90"/>
      <c r="CN760" s="90"/>
      <c r="CO760" s="90"/>
      <c r="CP760" s="90"/>
      <c r="CQ760" s="90"/>
      <c r="CR760" s="90"/>
      <c r="CS760" s="90"/>
      <c r="CT760" s="90"/>
      <c r="CU760" s="90"/>
      <c r="CV760" s="90"/>
      <c r="CW760" s="90"/>
    </row>
    <row r="761" ht="16.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H761" s="90"/>
      <c r="BI761" s="90"/>
      <c r="BJ761" s="90"/>
      <c r="BK761" s="90"/>
      <c r="BL761" s="90"/>
      <c r="BM761" s="90"/>
      <c r="BN761" s="90"/>
      <c r="BO761" s="90"/>
      <c r="BP761" s="90"/>
      <c r="BQ761" s="90"/>
      <c r="BR761" s="90"/>
      <c r="BS761" s="90"/>
      <c r="BT761" s="90"/>
      <c r="BU761" s="90"/>
      <c r="BV761" s="90"/>
      <c r="BW761" s="90"/>
      <c r="BX761" s="90"/>
      <c r="BY761" s="90"/>
      <c r="BZ761" s="90"/>
      <c r="CA761" s="90"/>
      <c r="CB761" s="90"/>
      <c r="CC761" s="90"/>
      <c r="CD761" s="90"/>
      <c r="CE761" s="90"/>
      <c r="CF761" s="90"/>
      <c r="CG761" s="90"/>
      <c r="CH761" s="90"/>
      <c r="CI761" s="90"/>
      <c r="CJ761" s="90"/>
      <c r="CK761" s="90"/>
      <c r="CL761" s="90"/>
      <c r="CM761" s="90"/>
      <c r="CN761" s="90"/>
      <c r="CO761" s="90"/>
      <c r="CP761" s="90"/>
      <c r="CQ761" s="90"/>
      <c r="CR761" s="90"/>
      <c r="CS761" s="90"/>
      <c r="CT761" s="90"/>
      <c r="CU761" s="90"/>
      <c r="CV761" s="90"/>
      <c r="CW761" s="90"/>
    </row>
    <row r="762" ht="16.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0"/>
      <c r="BQ762" s="90"/>
      <c r="BR762" s="90"/>
      <c r="BS762" s="90"/>
      <c r="BT762" s="90"/>
      <c r="BU762" s="90"/>
      <c r="BV762" s="90"/>
      <c r="BW762" s="90"/>
      <c r="BX762" s="90"/>
      <c r="BY762" s="90"/>
      <c r="BZ762" s="90"/>
      <c r="CA762" s="90"/>
      <c r="CB762" s="90"/>
      <c r="CC762" s="90"/>
      <c r="CD762" s="90"/>
      <c r="CE762" s="90"/>
      <c r="CF762" s="90"/>
      <c r="CG762" s="90"/>
      <c r="CH762" s="90"/>
      <c r="CI762" s="90"/>
      <c r="CJ762" s="90"/>
      <c r="CK762" s="90"/>
      <c r="CL762" s="90"/>
      <c r="CM762" s="90"/>
      <c r="CN762" s="90"/>
      <c r="CO762" s="90"/>
      <c r="CP762" s="90"/>
      <c r="CQ762" s="90"/>
      <c r="CR762" s="90"/>
      <c r="CS762" s="90"/>
      <c r="CT762" s="90"/>
      <c r="CU762" s="90"/>
      <c r="CV762" s="90"/>
      <c r="CW762" s="90"/>
    </row>
    <row r="763" ht="16.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H763" s="90"/>
      <c r="BI763" s="90"/>
      <c r="BJ763" s="90"/>
      <c r="BK763" s="90"/>
      <c r="BL763" s="90"/>
      <c r="BM763" s="90"/>
      <c r="BN763" s="90"/>
      <c r="BO763" s="90"/>
      <c r="BP763" s="90"/>
      <c r="BQ763" s="90"/>
      <c r="BR763" s="90"/>
      <c r="BS763" s="90"/>
      <c r="BT763" s="90"/>
      <c r="BU763" s="90"/>
      <c r="BV763" s="90"/>
      <c r="BW763" s="90"/>
      <c r="BX763" s="90"/>
      <c r="BY763" s="90"/>
      <c r="BZ763" s="90"/>
      <c r="CA763" s="90"/>
      <c r="CB763" s="90"/>
      <c r="CC763" s="90"/>
      <c r="CD763" s="90"/>
      <c r="CE763" s="90"/>
      <c r="CF763" s="90"/>
      <c r="CG763" s="90"/>
      <c r="CH763" s="90"/>
      <c r="CI763" s="90"/>
      <c r="CJ763" s="90"/>
      <c r="CK763" s="90"/>
      <c r="CL763" s="90"/>
      <c r="CM763" s="90"/>
      <c r="CN763" s="90"/>
      <c r="CO763" s="90"/>
      <c r="CP763" s="90"/>
      <c r="CQ763" s="90"/>
      <c r="CR763" s="90"/>
      <c r="CS763" s="90"/>
      <c r="CT763" s="90"/>
      <c r="CU763" s="90"/>
      <c r="CV763" s="90"/>
      <c r="CW763" s="90"/>
    </row>
    <row r="764" ht="16.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0"/>
      <c r="BQ764" s="90"/>
      <c r="BR764" s="90"/>
      <c r="BS764" s="90"/>
      <c r="BT764" s="90"/>
      <c r="BU764" s="90"/>
      <c r="BV764" s="90"/>
      <c r="BW764" s="90"/>
      <c r="BX764" s="90"/>
      <c r="BY764" s="90"/>
      <c r="BZ764" s="90"/>
      <c r="CA764" s="90"/>
      <c r="CB764" s="90"/>
      <c r="CC764" s="90"/>
      <c r="CD764" s="90"/>
      <c r="CE764" s="90"/>
      <c r="CF764" s="90"/>
      <c r="CG764" s="90"/>
      <c r="CH764" s="90"/>
      <c r="CI764" s="90"/>
      <c r="CJ764" s="90"/>
      <c r="CK764" s="90"/>
      <c r="CL764" s="90"/>
      <c r="CM764" s="90"/>
      <c r="CN764" s="90"/>
      <c r="CO764" s="90"/>
      <c r="CP764" s="90"/>
      <c r="CQ764" s="90"/>
      <c r="CR764" s="90"/>
      <c r="CS764" s="90"/>
      <c r="CT764" s="90"/>
      <c r="CU764" s="90"/>
      <c r="CV764" s="90"/>
      <c r="CW764" s="90"/>
    </row>
    <row r="765" ht="16.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H765" s="90"/>
      <c r="BI765" s="90"/>
      <c r="BJ765" s="90"/>
      <c r="BK765" s="90"/>
      <c r="BL765" s="90"/>
      <c r="BM765" s="90"/>
      <c r="BN765" s="90"/>
      <c r="BO765" s="90"/>
      <c r="BP765" s="90"/>
      <c r="BQ765" s="90"/>
      <c r="BR765" s="90"/>
      <c r="BS765" s="90"/>
      <c r="BT765" s="90"/>
      <c r="BU765" s="90"/>
      <c r="BV765" s="90"/>
      <c r="BW765" s="90"/>
      <c r="BX765" s="90"/>
      <c r="BY765" s="90"/>
      <c r="BZ765" s="90"/>
      <c r="CA765" s="90"/>
      <c r="CB765" s="90"/>
      <c r="CC765" s="90"/>
      <c r="CD765" s="90"/>
      <c r="CE765" s="90"/>
      <c r="CF765" s="90"/>
      <c r="CG765" s="90"/>
      <c r="CH765" s="90"/>
      <c r="CI765" s="90"/>
      <c r="CJ765" s="90"/>
      <c r="CK765" s="90"/>
      <c r="CL765" s="90"/>
      <c r="CM765" s="90"/>
      <c r="CN765" s="90"/>
      <c r="CO765" s="90"/>
      <c r="CP765" s="90"/>
      <c r="CQ765" s="90"/>
      <c r="CR765" s="90"/>
      <c r="CS765" s="90"/>
      <c r="CT765" s="90"/>
      <c r="CU765" s="90"/>
      <c r="CV765" s="90"/>
      <c r="CW765" s="90"/>
    </row>
    <row r="766" ht="16.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0"/>
      <c r="BQ766" s="90"/>
      <c r="BR766" s="90"/>
      <c r="BS766" s="90"/>
      <c r="BT766" s="90"/>
      <c r="BU766" s="90"/>
      <c r="BV766" s="90"/>
      <c r="BW766" s="90"/>
      <c r="BX766" s="90"/>
      <c r="BY766" s="90"/>
      <c r="BZ766" s="90"/>
      <c r="CA766" s="90"/>
      <c r="CB766" s="90"/>
      <c r="CC766" s="90"/>
      <c r="CD766" s="90"/>
      <c r="CE766" s="90"/>
      <c r="CF766" s="90"/>
      <c r="CG766" s="90"/>
      <c r="CH766" s="90"/>
      <c r="CI766" s="90"/>
      <c r="CJ766" s="90"/>
      <c r="CK766" s="90"/>
      <c r="CL766" s="90"/>
      <c r="CM766" s="90"/>
      <c r="CN766" s="90"/>
      <c r="CO766" s="90"/>
      <c r="CP766" s="90"/>
      <c r="CQ766" s="90"/>
      <c r="CR766" s="90"/>
      <c r="CS766" s="90"/>
      <c r="CT766" s="90"/>
      <c r="CU766" s="90"/>
      <c r="CV766" s="90"/>
      <c r="CW766" s="90"/>
    </row>
    <row r="767" ht="16.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H767" s="90"/>
      <c r="BI767" s="90"/>
      <c r="BJ767" s="90"/>
      <c r="BK767" s="90"/>
      <c r="BL767" s="90"/>
      <c r="BM767" s="90"/>
      <c r="BN767" s="90"/>
      <c r="BO767" s="90"/>
      <c r="BP767" s="90"/>
      <c r="BQ767" s="90"/>
      <c r="BR767" s="90"/>
      <c r="BS767" s="90"/>
      <c r="BT767" s="90"/>
      <c r="BU767" s="90"/>
      <c r="BV767" s="90"/>
      <c r="BW767" s="90"/>
      <c r="BX767" s="90"/>
      <c r="BY767" s="90"/>
      <c r="BZ767" s="90"/>
      <c r="CA767" s="90"/>
      <c r="CB767" s="90"/>
      <c r="CC767" s="90"/>
      <c r="CD767" s="90"/>
      <c r="CE767" s="90"/>
      <c r="CF767" s="90"/>
      <c r="CG767" s="90"/>
      <c r="CH767" s="90"/>
      <c r="CI767" s="90"/>
      <c r="CJ767" s="90"/>
      <c r="CK767" s="90"/>
      <c r="CL767" s="90"/>
      <c r="CM767" s="90"/>
      <c r="CN767" s="90"/>
      <c r="CO767" s="90"/>
      <c r="CP767" s="90"/>
      <c r="CQ767" s="90"/>
      <c r="CR767" s="90"/>
      <c r="CS767" s="90"/>
      <c r="CT767" s="90"/>
      <c r="CU767" s="90"/>
      <c r="CV767" s="90"/>
      <c r="CW767" s="90"/>
    </row>
    <row r="768" ht="16.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0"/>
      <c r="BQ768" s="90"/>
      <c r="BR768" s="90"/>
      <c r="BS768" s="90"/>
      <c r="BT768" s="90"/>
      <c r="BU768" s="90"/>
      <c r="BV768" s="90"/>
      <c r="BW768" s="90"/>
      <c r="BX768" s="90"/>
      <c r="BY768" s="90"/>
      <c r="BZ768" s="90"/>
      <c r="CA768" s="90"/>
      <c r="CB768" s="90"/>
      <c r="CC768" s="90"/>
      <c r="CD768" s="90"/>
      <c r="CE768" s="90"/>
      <c r="CF768" s="90"/>
      <c r="CG768" s="90"/>
      <c r="CH768" s="90"/>
      <c r="CI768" s="90"/>
      <c r="CJ768" s="90"/>
      <c r="CK768" s="90"/>
      <c r="CL768" s="90"/>
      <c r="CM768" s="90"/>
      <c r="CN768" s="90"/>
      <c r="CO768" s="90"/>
      <c r="CP768" s="90"/>
      <c r="CQ768" s="90"/>
      <c r="CR768" s="90"/>
      <c r="CS768" s="90"/>
      <c r="CT768" s="90"/>
      <c r="CU768" s="90"/>
      <c r="CV768" s="90"/>
      <c r="CW768" s="90"/>
    </row>
    <row r="769" ht="16.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H769" s="90"/>
      <c r="BI769" s="90"/>
      <c r="BJ769" s="90"/>
      <c r="BK769" s="90"/>
      <c r="BL769" s="90"/>
      <c r="BM769" s="90"/>
      <c r="BN769" s="90"/>
      <c r="BO769" s="90"/>
      <c r="BP769" s="90"/>
      <c r="BQ769" s="90"/>
      <c r="BR769" s="90"/>
      <c r="BS769" s="90"/>
      <c r="BT769" s="90"/>
      <c r="BU769" s="90"/>
      <c r="BV769" s="90"/>
      <c r="BW769" s="90"/>
      <c r="BX769" s="90"/>
      <c r="BY769" s="90"/>
      <c r="BZ769" s="90"/>
      <c r="CA769" s="90"/>
      <c r="CB769" s="90"/>
      <c r="CC769" s="90"/>
      <c r="CD769" s="90"/>
      <c r="CE769" s="90"/>
      <c r="CF769" s="90"/>
      <c r="CG769" s="90"/>
      <c r="CH769" s="90"/>
      <c r="CI769" s="90"/>
      <c r="CJ769" s="90"/>
      <c r="CK769" s="90"/>
      <c r="CL769" s="90"/>
      <c r="CM769" s="90"/>
      <c r="CN769" s="90"/>
      <c r="CO769" s="90"/>
      <c r="CP769" s="90"/>
      <c r="CQ769" s="90"/>
      <c r="CR769" s="90"/>
      <c r="CS769" s="90"/>
      <c r="CT769" s="90"/>
      <c r="CU769" s="90"/>
      <c r="CV769" s="90"/>
      <c r="CW769" s="90"/>
    </row>
    <row r="770" ht="16.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0"/>
      <c r="BQ770" s="90"/>
      <c r="BR770" s="90"/>
      <c r="BS770" s="90"/>
      <c r="BT770" s="90"/>
      <c r="BU770" s="90"/>
      <c r="BV770" s="90"/>
      <c r="BW770" s="90"/>
      <c r="BX770" s="90"/>
      <c r="BY770" s="90"/>
      <c r="BZ770" s="90"/>
      <c r="CA770" s="90"/>
      <c r="CB770" s="90"/>
      <c r="CC770" s="90"/>
      <c r="CD770" s="90"/>
      <c r="CE770" s="90"/>
      <c r="CF770" s="90"/>
      <c r="CG770" s="90"/>
      <c r="CH770" s="90"/>
      <c r="CI770" s="90"/>
      <c r="CJ770" s="90"/>
      <c r="CK770" s="90"/>
      <c r="CL770" s="90"/>
      <c r="CM770" s="90"/>
      <c r="CN770" s="90"/>
      <c r="CO770" s="90"/>
      <c r="CP770" s="90"/>
      <c r="CQ770" s="90"/>
      <c r="CR770" s="90"/>
      <c r="CS770" s="90"/>
      <c r="CT770" s="90"/>
      <c r="CU770" s="90"/>
      <c r="CV770" s="90"/>
      <c r="CW770" s="90"/>
    </row>
    <row r="771" ht="16.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H771" s="90"/>
      <c r="BI771" s="90"/>
      <c r="BJ771" s="90"/>
      <c r="BK771" s="90"/>
      <c r="BL771" s="90"/>
      <c r="BM771" s="90"/>
      <c r="BN771" s="90"/>
      <c r="BO771" s="90"/>
      <c r="BP771" s="90"/>
      <c r="BQ771" s="90"/>
      <c r="BR771" s="90"/>
      <c r="BS771" s="90"/>
      <c r="BT771" s="90"/>
      <c r="BU771" s="90"/>
      <c r="BV771" s="90"/>
      <c r="BW771" s="90"/>
      <c r="BX771" s="90"/>
      <c r="BY771" s="90"/>
      <c r="BZ771" s="90"/>
      <c r="CA771" s="90"/>
      <c r="CB771" s="90"/>
      <c r="CC771" s="90"/>
      <c r="CD771" s="90"/>
      <c r="CE771" s="90"/>
      <c r="CF771" s="90"/>
      <c r="CG771" s="90"/>
      <c r="CH771" s="90"/>
      <c r="CI771" s="90"/>
      <c r="CJ771" s="90"/>
      <c r="CK771" s="90"/>
      <c r="CL771" s="90"/>
      <c r="CM771" s="90"/>
      <c r="CN771" s="90"/>
      <c r="CO771" s="90"/>
      <c r="CP771" s="90"/>
      <c r="CQ771" s="90"/>
      <c r="CR771" s="90"/>
      <c r="CS771" s="90"/>
      <c r="CT771" s="90"/>
      <c r="CU771" s="90"/>
      <c r="CV771" s="90"/>
      <c r="CW771" s="90"/>
    </row>
    <row r="772" ht="16.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0"/>
      <c r="BQ772" s="90"/>
      <c r="BR772" s="90"/>
      <c r="BS772" s="90"/>
      <c r="BT772" s="90"/>
      <c r="BU772" s="90"/>
      <c r="BV772" s="90"/>
      <c r="BW772" s="90"/>
      <c r="BX772" s="90"/>
      <c r="BY772" s="90"/>
      <c r="BZ772" s="90"/>
      <c r="CA772" s="90"/>
      <c r="CB772" s="90"/>
      <c r="CC772" s="90"/>
      <c r="CD772" s="90"/>
      <c r="CE772" s="90"/>
      <c r="CF772" s="90"/>
      <c r="CG772" s="90"/>
      <c r="CH772" s="90"/>
      <c r="CI772" s="90"/>
      <c r="CJ772" s="90"/>
      <c r="CK772" s="90"/>
      <c r="CL772" s="90"/>
      <c r="CM772" s="90"/>
      <c r="CN772" s="90"/>
      <c r="CO772" s="90"/>
      <c r="CP772" s="90"/>
      <c r="CQ772" s="90"/>
      <c r="CR772" s="90"/>
      <c r="CS772" s="90"/>
      <c r="CT772" s="90"/>
      <c r="CU772" s="90"/>
      <c r="CV772" s="90"/>
      <c r="CW772" s="90"/>
    </row>
    <row r="773" ht="16.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H773" s="90"/>
      <c r="BI773" s="90"/>
      <c r="BJ773" s="90"/>
      <c r="BK773" s="90"/>
      <c r="BL773" s="90"/>
      <c r="BM773" s="90"/>
      <c r="BN773" s="90"/>
      <c r="BO773" s="90"/>
      <c r="BP773" s="90"/>
      <c r="BQ773" s="90"/>
      <c r="BR773" s="90"/>
      <c r="BS773" s="90"/>
      <c r="BT773" s="90"/>
      <c r="BU773" s="90"/>
      <c r="BV773" s="90"/>
      <c r="BW773" s="90"/>
      <c r="BX773" s="90"/>
      <c r="BY773" s="90"/>
      <c r="BZ773" s="90"/>
      <c r="CA773" s="90"/>
      <c r="CB773" s="90"/>
      <c r="CC773" s="90"/>
      <c r="CD773" s="90"/>
      <c r="CE773" s="90"/>
      <c r="CF773" s="90"/>
      <c r="CG773" s="90"/>
      <c r="CH773" s="90"/>
      <c r="CI773" s="90"/>
      <c r="CJ773" s="90"/>
      <c r="CK773" s="90"/>
      <c r="CL773" s="90"/>
      <c r="CM773" s="90"/>
      <c r="CN773" s="90"/>
      <c r="CO773" s="90"/>
      <c r="CP773" s="90"/>
      <c r="CQ773" s="90"/>
      <c r="CR773" s="90"/>
      <c r="CS773" s="90"/>
      <c r="CT773" s="90"/>
      <c r="CU773" s="90"/>
      <c r="CV773" s="90"/>
      <c r="CW773" s="90"/>
    </row>
    <row r="774" ht="16.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0"/>
      <c r="BQ774" s="90"/>
      <c r="BR774" s="90"/>
      <c r="BS774" s="90"/>
      <c r="BT774" s="90"/>
      <c r="BU774" s="90"/>
      <c r="BV774" s="90"/>
      <c r="BW774" s="90"/>
      <c r="BX774" s="90"/>
      <c r="BY774" s="90"/>
      <c r="BZ774" s="90"/>
      <c r="CA774" s="90"/>
      <c r="CB774" s="90"/>
      <c r="CC774" s="90"/>
      <c r="CD774" s="90"/>
      <c r="CE774" s="90"/>
      <c r="CF774" s="90"/>
      <c r="CG774" s="90"/>
      <c r="CH774" s="90"/>
      <c r="CI774" s="90"/>
      <c r="CJ774" s="90"/>
      <c r="CK774" s="90"/>
      <c r="CL774" s="90"/>
      <c r="CM774" s="90"/>
      <c r="CN774" s="90"/>
      <c r="CO774" s="90"/>
      <c r="CP774" s="90"/>
      <c r="CQ774" s="90"/>
      <c r="CR774" s="90"/>
      <c r="CS774" s="90"/>
      <c r="CT774" s="90"/>
      <c r="CU774" s="90"/>
      <c r="CV774" s="90"/>
      <c r="CW774" s="90"/>
    </row>
    <row r="775" ht="16.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H775" s="90"/>
      <c r="BI775" s="90"/>
      <c r="BJ775" s="90"/>
      <c r="BK775" s="90"/>
      <c r="BL775" s="90"/>
      <c r="BM775" s="90"/>
      <c r="BN775" s="90"/>
      <c r="BO775" s="90"/>
      <c r="BP775" s="90"/>
      <c r="BQ775" s="90"/>
      <c r="BR775" s="90"/>
      <c r="BS775" s="90"/>
      <c r="BT775" s="90"/>
      <c r="BU775" s="90"/>
      <c r="BV775" s="90"/>
      <c r="BW775" s="90"/>
      <c r="BX775" s="90"/>
      <c r="BY775" s="90"/>
      <c r="BZ775" s="90"/>
      <c r="CA775" s="90"/>
      <c r="CB775" s="90"/>
      <c r="CC775" s="90"/>
      <c r="CD775" s="90"/>
      <c r="CE775" s="90"/>
      <c r="CF775" s="90"/>
      <c r="CG775" s="90"/>
      <c r="CH775" s="90"/>
      <c r="CI775" s="90"/>
      <c r="CJ775" s="90"/>
      <c r="CK775" s="90"/>
      <c r="CL775" s="90"/>
      <c r="CM775" s="90"/>
      <c r="CN775" s="90"/>
      <c r="CO775" s="90"/>
      <c r="CP775" s="90"/>
      <c r="CQ775" s="90"/>
      <c r="CR775" s="90"/>
      <c r="CS775" s="90"/>
      <c r="CT775" s="90"/>
      <c r="CU775" s="90"/>
      <c r="CV775" s="90"/>
      <c r="CW775" s="90"/>
    </row>
    <row r="776" ht="16.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0"/>
      <c r="BQ776" s="90"/>
      <c r="BR776" s="90"/>
      <c r="BS776" s="90"/>
      <c r="BT776" s="90"/>
      <c r="BU776" s="90"/>
      <c r="BV776" s="90"/>
      <c r="BW776" s="90"/>
      <c r="BX776" s="90"/>
      <c r="BY776" s="90"/>
      <c r="BZ776" s="90"/>
      <c r="CA776" s="90"/>
      <c r="CB776" s="90"/>
      <c r="CC776" s="90"/>
      <c r="CD776" s="90"/>
      <c r="CE776" s="90"/>
      <c r="CF776" s="90"/>
      <c r="CG776" s="90"/>
      <c r="CH776" s="90"/>
      <c r="CI776" s="90"/>
      <c r="CJ776" s="90"/>
      <c r="CK776" s="90"/>
      <c r="CL776" s="90"/>
      <c r="CM776" s="90"/>
      <c r="CN776" s="90"/>
      <c r="CO776" s="90"/>
      <c r="CP776" s="90"/>
      <c r="CQ776" s="90"/>
      <c r="CR776" s="90"/>
      <c r="CS776" s="90"/>
      <c r="CT776" s="90"/>
      <c r="CU776" s="90"/>
      <c r="CV776" s="90"/>
      <c r="CW776" s="90"/>
    </row>
    <row r="777" ht="16.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H777" s="90"/>
      <c r="BI777" s="90"/>
      <c r="BJ777" s="90"/>
      <c r="BK777" s="90"/>
      <c r="BL777" s="90"/>
      <c r="BM777" s="90"/>
      <c r="BN777" s="90"/>
      <c r="BO777" s="90"/>
      <c r="BP777" s="90"/>
      <c r="BQ777" s="90"/>
      <c r="BR777" s="90"/>
      <c r="BS777" s="90"/>
      <c r="BT777" s="90"/>
      <c r="BU777" s="90"/>
      <c r="BV777" s="90"/>
      <c r="BW777" s="90"/>
      <c r="BX777" s="90"/>
      <c r="BY777" s="90"/>
      <c r="BZ777" s="90"/>
      <c r="CA777" s="90"/>
      <c r="CB777" s="90"/>
      <c r="CC777" s="90"/>
      <c r="CD777" s="90"/>
      <c r="CE777" s="90"/>
      <c r="CF777" s="90"/>
      <c r="CG777" s="90"/>
      <c r="CH777" s="90"/>
      <c r="CI777" s="90"/>
      <c r="CJ777" s="90"/>
      <c r="CK777" s="90"/>
      <c r="CL777" s="90"/>
      <c r="CM777" s="90"/>
      <c r="CN777" s="90"/>
      <c r="CO777" s="90"/>
      <c r="CP777" s="90"/>
      <c r="CQ777" s="90"/>
      <c r="CR777" s="90"/>
      <c r="CS777" s="90"/>
      <c r="CT777" s="90"/>
      <c r="CU777" s="90"/>
      <c r="CV777" s="90"/>
      <c r="CW777" s="90"/>
    </row>
    <row r="778" ht="16.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0"/>
      <c r="BQ778" s="90"/>
      <c r="BR778" s="90"/>
      <c r="BS778" s="90"/>
      <c r="BT778" s="90"/>
      <c r="BU778" s="90"/>
      <c r="BV778" s="90"/>
      <c r="BW778" s="90"/>
      <c r="BX778" s="90"/>
      <c r="BY778" s="90"/>
      <c r="BZ778" s="90"/>
      <c r="CA778" s="90"/>
      <c r="CB778" s="90"/>
      <c r="CC778" s="90"/>
      <c r="CD778" s="90"/>
      <c r="CE778" s="90"/>
      <c r="CF778" s="90"/>
      <c r="CG778" s="90"/>
      <c r="CH778" s="90"/>
      <c r="CI778" s="90"/>
      <c r="CJ778" s="90"/>
      <c r="CK778" s="90"/>
      <c r="CL778" s="90"/>
      <c r="CM778" s="90"/>
      <c r="CN778" s="90"/>
      <c r="CO778" s="90"/>
      <c r="CP778" s="90"/>
      <c r="CQ778" s="90"/>
      <c r="CR778" s="90"/>
      <c r="CS778" s="90"/>
      <c r="CT778" s="90"/>
      <c r="CU778" s="90"/>
      <c r="CV778" s="90"/>
      <c r="CW778" s="90"/>
    </row>
    <row r="779" ht="16.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H779" s="90"/>
      <c r="BI779" s="90"/>
      <c r="BJ779" s="90"/>
      <c r="BK779" s="90"/>
      <c r="BL779" s="90"/>
      <c r="BM779" s="90"/>
      <c r="BN779" s="90"/>
      <c r="BO779" s="90"/>
      <c r="BP779" s="90"/>
      <c r="BQ779" s="90"/>
      <c r="BR779" s="90"/>
      <c r="BS779" s="90"/>
      <c r="BT779" s="90"/>
      <c r="BU779" s="90"/>
      <c r="BV779" s="90"/>
      <c r="BW779" s="90"/>
      <c r="BX779" s="90"/>
      <c r="BY779" s="90"/>
      <c r="BZ779" s="90"/>
      <c r="CA779" s="90"/>
      <c r="CB779" s="90"/>
      <c r="CC779" s="90"/>
      <c r="CD779" s="90"/>
      <c r="CE779" s="90"/>
      <c r="CF779" s="90"/>
      <c r="CG779" s="90"/>
      <c r="CH779" s="90"/>
      <c r="CI779" s="90"/>
      <c r="CJ779" s="90"/>
      <c r="CK779" s="90"/>
      <c r="CL779" s="90"/>
      <c r="CM779" s="90"/>
      <c r="CN779" s="90"/>
      <c r="CO779" s="90"/>
      <c r="CP779" s="90"/>
      <c r="CQ779" s="90"/>
      <c r="CR779" s="90"/>
      <c r="CS779" s="90"/>
      <c r="CT779" s="90"/>
      <c r="CU779" s="90"/>
      <c r="CV779" s="90"/>
      <c r="CW779" s="90"/>
    </row>
    <row r="780" ht="16.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0"/>
      <c r="BQ780" s="90"/>
      <c r="BR780" s="90"/>
      <c r="BS780" s="90"/>
      <c r="BT780" s="90"/>
      <c r="BU780" s="90"/>
      <c r="BV780" s="90"/>
      <c r="BW780" s="90"/>
      <c r="BX780" s="90"/>
      <c r="BY780" s="90"/>
      <c r="BZ780" s="90"/>
      <c r="CA780" s="90"/>
      <c r="CB780" s="90"/>
      <c r="CC780" s="90"/>
      <c r="CD780" s="90"/>
      <c r="CE780" s="90"/>
      <c r="CF780" s="90"/>
      <c r="CG780" s="90"/>
      <c r="CH780" s="90"/>
      <c r="CI780" s="90"/>
      <c r="CJ780" s="90"/>
      <c r="CK780" s="90"/>
      <c r="CL780" s="90"/>
      <c r="CM780" s="90"/>
      <c r="CN780" s="90"/>
      <c r="CO780" s="90"/>
      <c r="CP780" s="90"/>
      <c r="CQ780" s="90"/>
      <c r="CR780" s="90"/>
      <c r="CS780" s="90"/>
      <c r="CT780" s="90"/>
      <c r="CU780" s="90"/>
      <c r="CV780" s="90"/>
      <c r="CW780" s="90"/>
    </row>
    <row r="781" ht="16.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H781" s="90"/>
      <c r="BI781" s="90"/>
      <c r="BJ781" s="90"/>
      <c r="BK781" s="90"/>
      <c r="BL781" s="90"/>
      <c r="BM781" s="90"/>
      <c r="BN781" s="90"/>
      <c r="BO781" s="90"/>
      <c r="BP781" s="90"/>
      <c r="BQ781" s="90"/>
      <c r="BR781" s="90"/>
      <c r="BS781" s="90"/>
      <c r="BT781" s="90"/>
      <c r="BU781" s="90"/>
      <c r="BV781" s="90"/>
      <c r="BW781" s="90"/>
      <c r="BX781" s="90"/>
      <c r="BY781" s="90"/>
      <c r="BZ781" s="90"/>
      <c r="CA781" s="90"/>
      <c r="CB781" s="90"/>
      <c r="CC781" s="90"/>
      <c r="CD781" s="90"/>
      <c r="CE781" s="90"/>
      <c r="CF781" s="90"/>
      <c r="CG781" s="90"/>
      <c r="CH781" s="90"/>
      <c r="CI781" s="90"/>
      <c r="CJ781" s="90"/>
      <c r="CK781" s="90"/>
      <c r="CL781" s="90"/>
      <c r="CM781" s="90"/>
      <c r="CN781" s="90"/>
      <c r="CO781" s="90"/>
      <c r="CP781" s="90"/>
      <c r="CQ781" s="90"/>
      <c r="CR781" s="90"/>
      <c r="CS781" s="90"/>
      <c r="CT781" s="90"/>
      <c r="CU781" s="90"/>
      <c r="CV781" s="90"/>
      <c r="CW781" s="90"/>
    </row>
    <row r="782" ht="16.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0"/>
      <c r="BQ782" s="90"/>
      <c r="BR782" s="90"/>
      <c r="BS782" s="90"/>
      <c r="BT782" s="90"/>
      <c r="BU782" s="90"/>
      <c r="BV782" s="90"/>
      <c r="BW782" s="90"/>
      <c r="BX782" s="90"/>
      <c r="BY782" s="90"/>
      <c r="BZ782" s="90"/>
      <c r="CA782" s="90"/>
      <c r="CB782" s="90"/>
      <c r="CC782" s="90"/>
      <c r="CD782" s="90"/>
      <c r="CE782" s="90"/>
      <c r="CF782" s="90"/>
      <c r="CG782" s="90"/>
      <c r="CH782" s="90"/>
      <c r="CI782" s="90"/>
      <c r="CJ782" s="90"/>
      <c r="CK782" s="90"/>
      <c r="CL782" s="90"/>
      <c r="CM782" s="90"/>
      <c r="CN782" s="90"/>
      <c r="CO782" s="90"/>
      <c r="CP782" s="90"/>
      <c r="CQ782" s="90"/>
      <c r="CR782" s="90"/>
      <c r="CS782" s="90"/>
      <c r="CT782" s="90"/>
      <c r="CU782" s="90"/>
      <c r="CV782" s="90"/>
      <c r="CW782" s="90"/>
    </row>
    <row r="783" ht="16.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H783" s="90"/>
      <c r="BI783" s="90"/>
      <c r="BJ783" s="90"/>
      <c r="BK783" s="90"/>
      <c r="BL783" s="90"/>
      <c r="BM783" s="90"/>
      <c r="BN783" s="90"/>
      <c r="BO783" s="90"/>
      <c r="BP783" s="90"/>
      <c r="BQ783" s="90"/>
      <c r="BR783" s="90"/>
      <c r="BS783" s="90"/>
      <c r="BT783" s="90"/>
      <c r="BU783" s="90"/>
      <c r="BV783" s="90"/>
      <c r="BW783" s="90"/>
      <c r="BX783" s="90"/>
      <c r="BY783" s="90"/>
      <c r="BZ783" s="90"/>
      <c r="CA783" s="90"/>
      <c r="CB783" s="90"/>
      <c r="CC783" s="90"/>
      <c r="CD783" s="90"/>
      <c r="CE783" s="90"/>
      <c r="CF783" s="90"/>
      <c r="CG783" s="90"/>
      <c r="CH783" s="90"/>
      <c r="CI783" s="90"/>
      <c r="CJ783" s="90"/>
      <c r="CK783" s="90"/>
      <c r="CL783" s="90"/>
      <c r="CM783" s="90"/>
      <c r="CN783" s="90"/>
      <c r="CO783" s="90"/>
      <c r="CP783" s="90"/>
      <c r="CQ783" s="90"/>
      <c r="CR783" s="90"/>
      <c r="CS783" s="90"/>
      <c r="CT783" s="90"/>
      <c r="CU783" s="90"/>
      <c r="CV783" s="90"/>
      <c r="CW783" s="90"/>
    </row>
    <row r="784" ht="16.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0"/>
      <c r="BQ784" s="90"/>
      <c r="BR784" s="90"/>
      <c r="BS784" s="90"/>
      <c r="BT784" s="90"/>
      <c r="BU784" s="90"/>
      <c r="BV784" s="90"/>
      <c r="BW784" s="90"/>
      <c r="BX784" s="90"/>
      <c r="BY784" s="90"/>
      <c r="BZ784" s="90"/>
      <c r="CA784" s="90"/>
      <c r="CB784" s="90"/>
      <c r="CC784" s="90"/>
      <c r="CD784" s="90"/>
      <c r="CE784" s="90"/>
      <c r="CF784" s="90"/>
      <c r="CG784" s="90"/>
      <c r="CH784" s="90"/>
      <c r="CI784" s="90"/>
      <c r="CJ784" s="90"/>
      <c r="CK784" s="90"/>
      <c r="CL784" s="90"/>
      <c r="CM784" s="90"/>
      <c r="CN784" s="90"/>
      <c r="CO784" s="90"/>
      <c r="CP784" s="90"/>
      <c r="CQ784" s="90"/>
      <c r="CR784" s="90"/>
      <c r="CS784" s="90"/>
      <c r="CT784" s="90"/>
      <c r="CU784" s="90"/>
      <c r="CV784" s="90"/>
      <c r="CW784" s="90"/>
    </row>
    <row r="785" ht="16.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H785" s="90"/>
      <c r="BI785" s="90"/>
      <c r="BJ785" s="90"/>
      <c r="BK785" s="90"/>
      <c r="BL785" s="90"/>
      <c r="BM785" s="90"/>
      <c r="BN785" s="90"/>
      <c r="BO785" s="90"/>
      <c r="BP785" s="90"/>
      <c r="BQ785" s="90"/>
      <c r="BR785" s="90"/>
      <c r="BS785" s="90"/>
      <c r="BT785" s="90"/>
      <c r="BU785" s="90"/>
      <c r="BV785" s="90"/>
      <c r="BW785" s="90"/>
      <c r="BX785" s="90"/>
      <c r="BY785" s="90"/>
      <c r="BZ785" s="90"/>
      <c r="CA785" s="90"/>
      <c r="CB785" s="90"/>
      <c r="CC785" s="90"/>
      <c r="CD785" s="90"/>
      <c r="CE785" s="90"/>
      <c r="CF785" s="90"/>
      <c r="CG785" s="90"/>
      <c r="CH785" s="90"/>
      <c r="CI785" s="90"/>
      <c r="CJ785" s="90"/>
      <c r="CK785" s="90"/>
      <c r="CL785" s="90"/>
      <c r="CM785" s="90"/>
      <c r="CN785" s="90"/>
      <c r="CO785" s="90"/>
      <c r="CP785" s="90"/>
      <c r="CQ785" s="90"/>
      <c r="CR785" s="90"/>
      <c r="CS785" s="90"/>
      <c r="CT785" s="90"/>
      <c r="CU785" s="90"/>
      <c r="CV785" s="90"/>
      <c r="CW785" s="90"/>
    </row>
    <row r="786" ht="16.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0"/>
      <c r="BQ786" s="90"/>
      <c r="BR786" s="90"/>
      <c r="BS786" s="90"/>
      <c r="BT786" s="90"/>
      <c r="BU786" s="90"/>
      <c r="BV786" s="90"/>
      <c r="BW786" s="90"/>
      <c r="BX786" s="90"/>
      <c r="BY786" s="90"/>
      <c r="BZ786" s="90"/>
      <c r="CA786" s="90"/>
      <c r="CB786" s="90"/>
      <c r="CC786" s="90"/>
      <c r="CD786" s="90"/>
      <c r="CE786" s="90"/>
      <c r="CF786" s="90"/>
      <c r="CG786" s="90"/>
      <c r="CH786" s="90"/>
      <c r="CI786" s="90"/>
      <c r="CJ786" s="90"/>
      <c r="CK786" s="90"/>
      <c r="CL786" s="90"/>
      <c r="CM786" s="90"/>
      <c r="CN786" s="90"/>
      <c r="CO786" s="90"/>
      <c r="CP786" s="90"/>
      <c r="CQ786" s="90"/>
      <c r="CR786" s="90"/>
      <c r="CS786" s="90"/>
      <c r="CT786" s="90"/>
      <c r="CU786" s="90"/>
      <c r="CV786" s="90"/>
      <c r="CW786" s="90"/>
    </row>
    <row r="787" ht="16.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H787" s="90"/>
      <c r="BI787" s="90"/>
      <c r="BJ787" s="90"/>
      <c r="BK787" s="90"/>
      <c r="BL787" s="90"/>
      <c r="BM787" s="90"/>
      <c r="BN787" s="90"/>
      <c r="BO787" s="90"/>
      <c r="BP787" s="90"/>
      <c r="BQ787" s="90"/>
      <c r="BR787" s="90"/>
      <c r="BS787" s="90"/>
      <c r="BT787" s="90"/>
      <c r="BU787" s="90"/>
      <c r="BV787" s="90"/>
      <c r="BW787" s="90"/>
      <c r="BX787" s="90"/>
      <c r="BY787" s="90"/>
      <c r="BZ787" s="90"/>
      <c r="CA787" s="90"/>
      <c r="CB787" s="90"/>
      <c r="CC787" s="90"/>
      <c r="CD787" s="90"/>
      <c r="CE787" s="90"/>
      <c r="CF787" s="90"/>
      <c r="CG787" s="90"/>
      <c r="CH787" s="90"/>
      <c r="CI787" s="90"/>
      <c r="CJ787" s="90"/>
      <c r="CK787" s="90"/>
      <c r="CL787" s="90"/>
      <c r="CM787" s="90"/>
      <c r="CN787" s="90"/>
      <c r="CO787" s="90"/>
      <c r="CP787" s="90"/>
      <c r="CQ787" s="90"/>
      <c r="CR787" s="90"/>
      <c r="CS787" s="90"/>
      <c r="CT787" s="90"/>
      <c r="CU787" s="90"/>
      <c r="CV787" s="90"/>
      <c r="CW787" s="90"/>
    </row>
    <row r="788" ht="16.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0"/>
      <c r="BQ788" s="90"/>
      <c r="BR788" s="90"/>
      <c r="BS788" s="90"/>
      <c r="BT788" s="90"/>
      <c r="BU788" s="90"/>
      <c r="BV788" s="90"/>
      <c r="BW788" s="90"/>
      <c r="BX788" s="90"/>
      <c r="BY788" s="90"/>
      <c r="BZ788" s="90"/>
      <c r="CA788" s="90"/>
      <c r="CB788" s="90"/>
      <c r="CC788" s="90"/>
      <c r="CD788" s="90"/>
      <c r="CE788" s="90"/>
      <c r="CF788" s="90"/>
      <c r="CG788" s="90"/>
      <c r="CH788" s="90"/>
      <c r="CI788" s="90"/>
      <c r="CJ788" s="90"/>
      <c r="CK788" s="90"/>
      <c r="CL788" s="90"/>
      <c r="CM788" s="90"/>
      <c r="CN788" s="90"/>
      <c r="CO788" s="90"/>
      <c r="CP788" s="90"/>
      <c r="CQ788" s="90"/>
      <c r="CR788" s="90"/>
      <c r="CS788" s="90"/>
      <c r="CT788" s="90"/>
      <c r="CU788" s="90"/>
      <c r="CV788" s="90"/>
      <c r="CW788" s="90"/>
    </row>
    <row r="789" ht="16.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H789" s="90"/>
      <c r="BI789" s="90"/>
      <c r="BJ789" s="90"/>
      <c r="BK789" s="90"/>
      <c r="BL789" s="90"/>
      <c r="BM789" s="90"/>
      <c r="BN789" s="90"/>
      <c r="BO789" s="90"/>
      <c r="BP789" s="90"/>
      <c r="BQ789" s="90"/>
      <c r="BR789" s="90"/>
      <c r="BS789" s="90"/>
      <c r="BT789" s="90"/>
      <c r="BU789" s="90"/>
      <c r="BV789" s="90"/>
      <c r="BW789" s="90"/>
      <c r="BX789" s="90"/>
      <c r="BY789" s="90"/>
      <c r="BZ789" s="90"/>
      <c r="CA789" s="90"/>
      <c r="CB789" s="90"/>
      <c r="CC789" s="90"/>
      <c r="CD789" s="90"/>
      <c r="CE789" s="90"/>
      <c r="CF789" s="90"/>
      <c r="CG789" s="90"/>
      <c r="CH789" s="90"/>
      <c r="CI789" s="90"/>
      <c r="CJ789" s="90"/>
      <c r="CK789" s="90"/>
      <c r="CL789" s="90"/>
      <c r="CM789" s="90"/>
      <c r="CN789" s="90"/>
      <c r="CO789" s="90"/>
      <c r="CP789" s="90"/>
      <c r="CQ789" s="90"/>
      <c r="CR789" s="90"/>
      <c r="CS789" s="90"/>
      <c r="CT789" s="90"/>
      <c r="CU789" s="90"/>
      <c r="CV789" s="90"/>
      <c r="CW789" s="90"/>
    </row>
    <row r="790" ht="16.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0"/>
      <c r="BQ790" s="90"/>
      <c r="BR790" s="90"/>
      <c r="BS790" s="90"/>
      <c r="BT790" s="90"/>
      <c r="BU790" s="90"/>
      <c r="BV790" s="90"/>
      <c r="BW790" s="90"/>
      <c r="BX790" s="90"/>
      <c r="BY790" s="90"/>
      <c r="BZ790" s="90"/>
      <c r="CA790" s="90"/>
      <c r="CB790" s="90"/>
      <c r="CC790" s="90"/>
      <c r="CD790" s="90"/>
      <c r="CE790" s="90"/>
      <c r="CF790" s="90"/>
      <c r="CG790" s="90"/>
      <c r="CH790" s="90"/>
      <c r="CI790" s="90"/>
      <c r="CJ790" s="90"/>
      <c r="CK790" s="90"/>
      <c r="CL790" s="90"/>
      <c r="CM790" s="90"/>
      <c r="CN790" s="90"/>
      <c r="CO790" s="90"/>
      <c r="CP790" s="90"/>
      <c r="CQ790" s="90"/>
      <c r="CR790" s="90"/>
      <c r="CS790" s="90"/>
      <c r="CT790" s="90"/>
      <c r="CU790" s="90"/>
      <c r="CV790" s="90"/>
      <c r="CW790" s="90"/>
    </row>
    <row r="791" ht="16.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H791" s="90"/>
      <c r="BI791" s="90"/>
      <c r="BJ791" s="90"/>
      <c r="BK791" s="90"/>
      <c r="BL791" s="90"/>
      <c r="BM791" s="90"/>
      <c r="BN791" s="90"/>
      <c r="BO791" s="90"/>
      <c r="BP791" s="90"/>
      <c r="BQ791" s="90"/>
      <c r="BR791" s="90"/>
      <c r="BS791" s="90"/>
      <c r="BT791" s="90"/>
      <c r="BU791" s="90"/>
      <c r="BV791" s="90"/>
      <c r="BW791" s="90"/>
      <c r="BX791" s="90"/>
      <c r="BY791" s="90"/>
      <c r="BZ791" s="90"/>
      <c r="CA791" s="90"/>
      <c r="CB791" s="90"/>
      <c r="CC791" s="90"/>
      <c r="CD791" s="90"/>
      <c r="CE791" s="90"/>
      <c r="CF791" s="90"/>
      <c r="CG791" s="90"/>
      <c r="CH791" s="90"/>
      <c r="CI791" s="90"/>
      <c r="CJ791" s="90"/>
      <c r="CK791" s="90"/>
      <c r="CL791" s="90"/>
      <c r="CM791" s="90"/>
      <c r="CN791" s="90"/>
      <c r="CO791" s="90"/>
      <c r="CP791" s="90"/>
      <c r="CQ791" s="90"/>
      <c r="CR791" s="90"/>
      <c r="CS791" s="90"/>
      <c r="CT791" s="90"/>
      <c r="CU791" s="90"/>
      <c r="CV791" s="90"/>
      <c r="CW791" s="90"/>
    </row>
    <row r="792" ht="16.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0"/>
      <c r="BQ792" s="90"/>
      <c r="BR792" s="90"/>
      <c r="BS792" s="90"/>
      <c r="BT792" s="90"/>
      <c r="BU792" s="90"/>
      <c r="BV792" s="90"/>
      <c r="BW792" s="90"/>
      <c r="BX792" s="90"/>
      <c r="BY792" s="90"/>
      <c r="BZ792" s="90"/>
      <c r="CA792" s="90"/>
      <c r="CB792" s="90"/>
      <c r="CC792" s="90"/>
      <c r="CD792" s="90"/>
      <c r="CE792" s="90"/>
      <c r="CF792" s="90"/>
      <c r="CG792" s="90"/>
      <c r="CH792" s="90"/>
      <c r="CI792" s="90"/>
      <c r="CJ792" s="90"/>
      <c r="CK792" s="90"/>
      <c r="CL792" s="90"/>
      <c r="CM792" s="90"/>
      <c r="CN792" s="90"/>
      <c r="CO792" s="90"/>
      <c r="CP792" s="90"/>
      <c r="CQ792" s="90"/>
      <c r="CR792" s="90"/>
      <c r="CS792" s="90"/>
      <c r="CT792" s="90"/>
      <c r="CU792" s="90"/>
      <c r="CV792" s="90"/>
      <c r="CW792" s="90"/>
    </row>
    <row r="793" ht="16.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0"/>
      <c r="BJ793" s="90"/>
      <c r="BK793" s="90"/>
      <c r="BL793" s="90"/>
      <c r="BM793" s="90"/>
      <c r="BN793" s="90"/>
      <c r="BO793" s="90"/>
      <c r="BP793" s="90"/>
      <c r="BQ793" s="90"/>
      <c r="BR793" s="90"/>
      <c r="BS793" s="90"/>
      <c r="BT793" s="90"/>
      <c r="BU793" s="90"/>
      <c r="BV793" s="90"/>
      <c r="BW793" s="90"/>
      <c r="BX793" s="90"/>
      <c r="BY793" s="90"/>
      <c r="BZ793" s="90"/>
      <c r="CA793" s="90"/>
      <c r="CB793" s="90"/>
      <c r="CC793" s="90"/>
      <c r="CD793" s="90"/>
      <c r="CE793" s="90"/>
      <c r="CF793" s="90"/>
      <c r="CG793" s="90"/>
      <c r="CH793" s="90"/>
      <c r="CI793" s="90"/>
      <c r="CJ793" s="90"/>
      <c r="CK793" s="90"/>
      <c r="CL793" s="90"/>
      <c r="CM793" s="90"/>
      <c r="CN793" s="90"/>
      <c r="CO793" s="90"/>
      <c r="CP793" s="90"/>
      <c r="CQ793" s="90"/>
      <c r="CR793" s="90"/>
      <c r="CS793" s="90"/>
      <c r="CT793" s="90"/>
      <c r="CU793" s="90"/>
      <c r="CV793" s="90"/>
      <c r="CW793" s="90"/>
    </row>
    <row r="794" ht="16.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0"/>
      <c r="BQ794" s="90"/>
      <c r="BR794" s="90"/>
      <c r="BS794" s="90"/>
      <c r="BT794" s="90"/>
      <c r="BU794" s="90"/>
      <c r="BV794" s="90"/>
      <c r="BW794" s="90"/>
      <c r="BX794" s="90"/>
      <c r="BY794" s="90"/>
      <c r="BZ794" s="90"/>
      <c r="CA794" s="90"/>
      <c r="CB794" s="90"/>
      <c r="CC794" s="90"/>
      <c r="CD794" s="90"/>
      <c r="CE794" s="90"/>
      <c r="CF794" s="90"/>
      <c r="CG794" s="90"/>
      <c r="CH794" s="90"/>
      <c r="CI794" s="90"/>
      <c r="CJ794" s="90"/>
      <c r="CK794" s="90"/>
      <c r="CL794" s="90"/>
      <c r="CM794" s="90"/>
      <c r="CN794" s="90"/>
      <c r="CO794" s="90"/>
      <c r="CP794" s="90"/>
      <c r="CQ794" s="90"/>
      <c r="CR794" s="90"/>
      <c r="CS794" s="90"/>
      <c r="CT794" s="90"/>
      <c r="CU794" s="90"/>
      <c r="CV794" s="90"/>
      <c r="CW794" s="90"/>
    </row>
    <row r="795" ht="16.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  <c r="BK795" s="90"/>
      <c r="BL795" s="90"/>
      <c r="BM795" s="90"/>
      <c r="BN795" s="90"/>
      <c r="BO795" s="90"/>
      <c r="BP795" s="90"/>
      <c r="BQ795" s="90"/>
      <c r="BR795" s="90"/>
      <c r="BS795" s="90"/>
      <c r="BT795" s="90"/>
      <c r="BU795" s="90"/>
      <c r="BV795" s="90"/>
      <c r="BW795" s="90"/>
      <c r="BX795" s="90"/>
      <c r="BY795" s="90"/>
      <c r="BZ795" s="90"/>
      <c r="CA795" s="90"/>
      <c r="CB795" s="90"/>
      <c r="CC795" s="90"/>
      <c r="CD795" s="90"/>
      <c r="CE795" s="90"/>
      <c r="CF795" s="90"/>
      <c r="CG795" s="90"/>
      <c r="CH795" s="90"/>
      <c r="CI795" s="90"/>
      <c r="CJ795" s="90"/>
      <c r="CK795" s="90"/>
      <c r="CL795" s="90"/>
      <c r="CM795" s="90"/>
      <c r="CN795" s="90"/>
      <c r="CO795" s="90"/>
      <c r="CP795" s="90"/>
      <c r="CQ795" s="90"/>
      <c r="CR795" s="90"/>
      <c r="CS795" s="90"/>
      <c r="CT795" s="90"/>
      <c r="CU795" s="90"/>
      <c r="CV795" s="90"/>
      <c r="CW795" s="90"/>
    </row>
    <row r="796" ht="16.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0"/>
      <c r="BQ796" s="90"/>
      <c r="BR796" s="90"/>
      <c r="BS796" s="90"/>
      <c r="BT796" s="90"/>
      <c r="BU796" s="90"/>
      <c r="BV796" s="90"/>
      <c r="BW796" s="90"/>
      <c r="BX796" s="90"/>
      <c r="BY796" s="90"/>
      <c r="BZ796" s="90"/>
      <c r="CA796" s="90"/>
      <c r="CB796" s="90"/>
      <c r="CC796" s="90"/>
      <c r="CD796" s="90"/>
      <c r="CE796" s="90"/>
      <c r="CF796" s="90"/>
      <c r="CG796" s="90"/>
      <c r="CH796" s="90"/>
      <c r="CI796" s="90"/>
      <c r="CJ796" s="90"/>
      <c r="CK796" s="90"/>
      <c r="CL796" s="90"/>
      <c r="CM796" s="90"/>
      <c r="CN796" s="90"/>
      <c r="CO796" s="90"/>
      <c r="CP796" s="90"/>
      <c r="CQ796" s="90"/>
      <c r="CR796" s="90"/>
      <c r="CS796" s="90"/>
      <c r="CT796" s="90"/>
      <c r="CU796" s="90"/>
      <c r="CV796" s="90"/>
      <c r="CW796" s="90"/>
    </row>
    <row r="797" ht="16.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H797" s="90"/>
      <c r="BI797" s="90"/>
      <c r="BJ797" s="90"/>
      <c r="BK797" s="90"/>
      <c r="BL797" s="90"/>
      <c r="BM797" s="90"/>
      <c r="BN797" s="90"/>
      <c r="BO797" s="90"/>
      <c r="BP797" s="90"/>
      <c r="BQ797" s="90"/>
      <c r="BR797" s="90"/>
      <c r="BS797" s="90"/>
      <c r="BT797" s="90"/>
      <c r="BU797" s="90"/>
      <c r="BV797" s="90"/>
      <c r="BW797" s="90"/>
      <c r="BX797" s="90"/>
      <c r="BY797" s="90"/>
      <c r="BZ797" s="90"/>
      <c r="CA797" s="90"/>
      <c r="CB797" s="90"/>
      <c r="CC797" s="90"/>
      <c r="CD797" s="90"/>
      <c r="CE797" s="90"/>
      <c r="CF797" s="90"/>
      <c r="CG797" s="90"/>
      <c r="CH797" s="90"/>
      <c r="CI797" s="90"/>
      <c r="CJ797" s="90"/>
      <c r="CK797" s="90"/>
      <c r="CL797" s="90"/>
      <c r="CM797" s="90"/>
      <c r="CN797" s="90"/>
      <c r="CO797" s="90"/>
      <c r="CP797" s="90"/>
      <c r="CQ797" s="90"/>
      <c r="CR797" s="90"/>
      <c r="CS797" s="90"/>
      <c r="CT797" s="90"/>
      <c r="CU797" s="90"/>
      <c r="CV797" s="90"/>
      <c r="CW797" s="90"/>
    </row>
    <row r="798" ht="16.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0"/>
      <c r="BQ798" s="90"/>
      <c r="BR798" s="90"/>
      <c r="BS798" s="90"/>
      <c r="BT798" s="90"/>
      <c r="BU798" s="90"/>
      <c r="BV798" s="90"/>
      <c r="BW798" s="90"/>
      <c r="BX798" s="90"/>
      <c r="BY798" s="90"/>
      <c r="BZ798" s="90"/>
      <c r="CA798" s="90"/>
      <c r="CB798" s="90"/>
      <c r="CC798" s="90"/>
      <c r="CD798" s="90"/>
      <c r="CE798" s="90"/>
      <c r="CF798" s="90"/>
      <c r="CG798" s="90"/>
      <c r="CH798" s="90"/>
      <c r="CI798" s="90"/>
      <c r="CJ798" s="90"/>
      <c r="CK798" s="90"/>
      <c r="CL798" s="90"/>
      <c r="CM798" s="90"/>
      <c r="CN798" s="90"/>
      <c r="CO798" s="90"/>
      <c r="CP798" s="90"/>
      <c r="CQ798" s="90"/>
      <c r="CR798" s="90"/>
      <c r="CS798" s="90"/>
      <c r="CT798" s="90"/>
      <c r="CU798" s="90"/>
      <c r="CV798" s="90"/>
      <c r="CW798" s="90"/>
    </row>
    <row r="799" ht="16.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H799" s="90"/>
      <c r="BI799" s="90"/>
      <c r="BJ799" s="90"/>
      <c r="BK799" s="90"/>
      <c r="BL799" s="90"/>
      <c r="BM799" s="90"/>
      <c r="BN799" s="90"/>
      <c r="BO799" s="90"/>
      <c r="BP799" s="90"/>
      <c r="BQ799" s="90"/>
      <c r="BR799" s="90"/>
      <c r="BS799" s="90"/>
      <c r="BT799" s="90"/>
      <c r="BU799" s="90"/>
      <c r="BV799" s="90"/>
      <c r="BW799" s="90"/>
      <c r="BX799" s="90"/>
      <c r="BY799" s="90"/>
      <c r="BZ799" s="90"/>
      <c r="CA799" s="90"/>
      <c r="CB799" s="90"/>
      <c r="CC799" s="90"/>
      <c r="CD799" s="90"/>
      <c r="CE799" s="90"/>
      <c r="CF799" s="90"/>
      <c r="CG799" s="90"/>
      <c r="CH799" s="90"/>
      <c r="CI799" s="90"/>
      <c r="CJ799" s="90"/>
      <c r="CK799" s="90"/>
      <c r="CL799" s="90"/>
      <c r="CM799" s="90"/>
      <c r="CN799" s="90"/>
      <c r="CO799" s="90"/>
      <c r="CP799" s="90"/>
      <c r="CQ799" s="90"/>
      <c r="CR799" s="90"/>
      <c r="CS799" s="90"/>
      <c r="CT799" s="90"/>
      <c r="CU799" s="90"/>
      <c r="CV799" s="90"/>
      <c r="CW799" s="90"/>
    </row>
    <row r="800" ht="16.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0"/>
      <c r="BQ800" s="90"/>
      <c r="BR800" s="90"/>
      <c r="BS800" s="90"/>
      <c r="BT800" s="90"/>
      <c r="BU800" s="90"/>
      <c r="BV800" s="90"/>
      <c r="BW800" s="90"/>
      <c r="BX800" s="90"/>
      <c r="BY800" s="90"/>
      <c r="BZ800" s="90"/>
      <c r="CA800" s="90"/>
      <c r="CB800" s="90"/>
      <c r="CC800" s="90"/>
      <c r="CD800" s="90"/>
      <c r="CE800" s="90"/>
      <c r="CF800" s="90"/>
      <c r="CG800" s="90"/>
      <c r="CH800" s="90"/>
      <c r="CI800" s="90"/>
      <c r="CJ800" s="90"/>
      <c r="CK800" s="90"/>
      <c r="CL800" s="90"/>
      <c r="CM800" s="90"/>
      <c r="CN800" s="90"/>
      <c r="CO800" s="90"/>
      <c r="CP800" s="90"/>
      <c r="CQ800" s="90"/>
      <c r="CR800" s="90"/>
      <c r="CS800" s="90"/>
      <c r="CT800" s="90"/>
      <c r="CU800" s="90"/>
      <c r="CV800" s="90"/>
      <c r="CW800" s="90"/>
    </row>
    <row r="801" ht="16.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0"/>
      <c r="BJ801" s="90"/>
      <c r="BK801" s="90"/>
      <c r="BL801" s="90"/>
      <c r="BM801" s="90"/>
      <c r="BN801" s="90"/>
      <c r="BO801" s="90"/>
      <c r="BP801" s="90"/>
      <c r="BQ801" s="90"/>
      <c r="BR801" s="90"/>
      <c r="BS801" s="90"/>
      <c r="BT801" s="90"/>
      <c r="BU801" s="90"/>
      <c r="BV801" s="90"/>
      <c r="BW801" s="90"/>
      <c r="BX801" s="90"/>
      <c r="BY801" s="90"/>
      <c r="BZ801" s="90"/>
      <c r="CA801" s="90"/>
      <c r="CB801" s="90"/>
      <c r="CC801" s="90"/>
      <c r="CD801" s="90"/>
      <c r="CE801" s="90"/>
      <c r="CF801" s="90"/>
      <c r="CG801" s="90"/>
      <c r="CH801" s="90"/>
      <c r="CI801" s="90"/>
      <c r="CJ801" s="90"/>
      <c r="CK801" s="90"/>
      <c r="CL801" s="90"/>
      <c r="CM801" s="90"/>
      <c r="CN801" s="90"/>
      <c r="CO801" s="90"/>
      <c r="CP801" s="90"/>
      <c r="CQ801" s="90"/>
      <c r="CR801" s="90"/>
      <c r="CS801" s="90"/>
      <c r="CT801" s="90"/>
      <c r="CU801" s="90"/>
      <c r="CV801" s="90"/>
      <c r="CW801" s="90"/>
    </row>
    <row r="802" ht="16.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0"/>
      <c r="BQ802" s="90"/>
      <c r="BR802" s="90"/>
      <c r="BS802" s="90"/>
      <c r="BT802" s="90"/>
      <c r="BU802" s="90"/>
      <c r="BV802" s="90"/>
      <c r="BW802" s="90"/>
      <c r="BX802" s="90"/>
      <c r="BY802" s="90"/>
      <c r="BZ802" s="90"/>
      <c r="CA802" s="90"/>
      <c r="CB802" s="90"/>
      <c r="CC802" s="90"/>
      <c r="CD802" s="90"/>
      <c r="CE802" s="90"/>
      <c r="CF802" s="90"/>
      <c r="CG802" s="90"/>
      <c r="CH802" s="90"/>
      <c r="CI802" s="90"/>
      <c r="CJ802" s="90"/>
      <c r="CK802" s="90"/>
      <c r="CL802" s="90"/>
      <c r="CM802" s="90"/>
      <c r="CN802" s="90"/>
      <c r="CO802" s="90"/>
      <c r="CP802" s="90"/>
      <c r="CQ802" s="90"/>
      <c r="CR802" s="90"/>
      <c r="CS802" s="90"/>
      <c r="CT802" s="90"/>
      <c r="CU802" s="90"/>
      <c r="CV802" s="90"/>
      <c r="CW802" s="90"/>
    </row>
    <row r="803" ht="16.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H803" s="90"/>
      <c r="BI803" s="90"/>
      <c r="BJ803" s="90"/>
      <c r="BK803" s="90"/>
      <c r="BL803" s="90"/>
      <c r="BM803" s="90"/>
      <c r="BN803" s="90"/>
      <c r="BO803" s="90"/>
      <c r="BP803" s="90"/>
      <c r="BQ803" s="90"/>
      <c r="BR803" s="90"/>
      <c r="BS803" s="90"/>
      <c r="BT803" s="90"/>
      <c r="BU803" s="90"/>
      <c r="BV803" s="90"/>
      <c r="BW803" s="90"/>
      <c r="BX803" s="90"/>
      <c r="BY803" s="90"/>
      <c r="BZ803" s="90"/>
      <c r="CA803" s="90"/>
      <c r="CB803" s="90"/>
      <c r="CC803" s="90"/>
      <c r="CD803" s="90"/>
      <c r="CE803" s="90"/>
      <c r="CF803" s="90"/>
      <c r="CG803" s="90"/>
      <c r="CH803" s="90"/>
      <c r="CI803" s="90"/>
      <c r="CJ803" s="90"/>
      <c r="CK803" s="90"/>
      <c r="CL803" s="90"/>
      <c r="CM803" s="90"/>
      <c r="CN803" s="90"/>
      <c r="CO803" s="90"/>
      <c r="CP803" s="90"/>
      <c r="CQ803" s="90"/>
      <c r="CR803" s="90"/>
      <c r="CS803" s="90"/>
      <c r="CT803" s="90"/>
      <c r="CU803" s="90"/>
      <c r="CV803" s="90"/>
      <c r="CW803" s="90"/>
    </row>
    <row r="804" ht="16.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0"/>
      <c r="BQ804" s="90"/>
      <c r="BR804" s="90"/>
      <c r="BS804" s="90"/>
      <c r="BT804" s="90"/>
      <c r="BU804" s="90"/>
      <c r="BV804" s="90"/>
      <c r="BW804" s="90"/>
      <c r="BX804" s="90"/>
      <c r="BY804" s="90"/>
      <c r="BZ804" s="90"/>
      <c r="CA804" s="90"/>
      <c r="CB804" s="90"/>
      <c r="CC804" s="90"/>
      <c r="CD804" s="90"/>
      <c r="CE804" s="90"/>
      <c r="CF804" s="90"/>
      <c r="CG804" s="90"/>
      <c r="CH804" s="90"/>
      <c r="CI804" s="90"/>
      <c r="CJ804" s="90"/>
      <c r="CK804" s="90"/>
      <c r="CL804" s="90"/>
      <c r="CM804" s="90"/>
      <c r="CN804" s="90"/>
      <c r="CO804" s="90"/>
      <c r="CP804" s="90"/>
      <c r="CQ804" s="90"/>
      <c r="CR804" s="90"/>
      <c r="CS804" s="90"/>
      <c r="CT804" s="90"/>
      <c r="CU804" s="90"/>
      <c r="CV804" s="90"/>
      <c r="CW804" s="90"/>
    </row>
    <row r="805" ht="16.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H805" s="90"/>
      <c r="BI805" s="90"/>
      <c r="BJ805" s="90"/>
      <c r="BK805" s="90"/>
      <c r="BL805" s="90"/>
      <c r="BM805" s="90"/>
      <c r="BN805" s="90"/>
      <c r="BO805" s="90"/>
      <c r="BP805" s="90"/>
      <c r="BQ805" s="90"/>
      <c r="BR805" s="90"/>
      <c r="BS805" s="90"/>
      <c r="BT805" s="90"/>
      <c r="BU805" s="90"/>
      <c r="BV805" s="90"/>
      <c r="BW805" s="90"/>
      <c r="BX805" s="90"/>
      <c r="BY805" s="90"/>
      <c r="BZ805" s="90"/>
      <c r="CA805" s="90"/>
      <c r="CB805" s="90"/>
      <c r="CC805" s="90"/>
      <c r="CD805" s="90"/>
      <c r="CE805" s="90"/>
      <c r="CF805" s="90"/>
      <c r="CG805" s="90"/>
      <c r="CH805" s="90"/>
      <c r="CI805" s="90"/>
      <c r="CJ805" s="90"/>
      <c r="CK805" s="90"/>
      <c r="CL805" s="90"/>
      <c r="CM805" s="90"/>
      <c r="CN805" s="90"/>
      <c r="CO805" s="90"/>
      <c r="CP805" s="90"/>
      <c r="CQ805" s="90"/>
      <c r="CR805" s="90"/>
      <c r="CS805" s="90"/>
      <c r="CT805" s="90"/>
      <c r="CU805" s="90"/>
      <c r="CV805" s="90"/>
      <c r="CW805" s="90"/>
    </row>
    <row r="806" ht="16.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0"/>
      <c r="BQ806" s="90"/>
      <c r="BR806" s="90"/>
      <c r="BS806" s="90"/>
      <c r="BT806" s="90"/>
      <c r="BU806" s="90"/>
      <c r="BV806" s="90"/>
      <c r="BW806" s="90"/>
      <c r="BX806" s="90"/>
      <c r="BY806" s="90"/>
      <c r="BZ806" s="90"/>
      <c r="CA806" s="90"/>
      <c r="CB806" s="90"/>
      <c r="CC806" s="90"/>
      <c r="CD806" s="90"/>
      <c r="CE806" s="90"/>
      <c r="CF806" s="90"/>
      <c r="CG806" s="90"/>
      <c r="CH806" s="90"/>
      <c r="CI806" s="90"/>
      <c r="CJ806" s="90"/>
      <c r="CK806" s="90"/>
      <c r="CL806" s="90"/>
      <c r="CM806" s="90"/>
      <c r="CN806" s="90"/>
      <c r="CO806" s="90"/>
      <c r="CP806" s="90"/>
      <c r="CQ806" s="90"/>
      <c r="CR806" s="90"/>
      <c r="CS806" s="90"/>
      <c r="CT806" s="90"/>
      <c r="CU806" s="90"/>
      <c r="CV806" s="90"/>
      <c r="CW806" s="90"/>
    </row>
    <row r="807" ht="16.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H807" s="90"/>
      <c r="BI807" s="90"/>
      <c r="BJ807" s="90"/>
      <c r="BK807" s="90"/>
      <c r="BL807" s="90"/>
      <c r="BM807" s="90"/>
      <c r="BN807" s="90"/>
      <c r="BO807" s="90"/>
      <c r="BP807" s="90"/>
      <c r="BQ807" s="90"/>
      <c r="BR807" s="90"/>
      <c r="BS807" s="90"/>
      <c r="BT807" s="90"/>
      <c r="BU807" s="90"/>
      <c r="BV807" s="90"/>
      <c r="BW807" s="90"/>
      <c r="BX807" s="90"/>
      <c r="BY807" s="90"/>
      <c r="BZ807" s="90"/>
      <c r="CA807" s="90"/>
      <c r="CB807" s="90"/>
      <c r="CC807" s="90"/>
      <c r="CD807" s="90"/>
      <c r="CE807" s="90"/>
      <c r="CF807" s="90"/>
      <c r="CG807" s="90"/>
      <c r="CH807" s="90"/>
      <c r="CI807" s="90"/>
      <c r="CJ807" s="90"/>
      <c r="CK807" s="90"/>
      <c r="CL807" s="90"/>
      <c r="CM807" s="90"/>
      <c r="CN807" s="90"/>
      <c r="CO807" s="90"/>
      <c r="CP807" s="90"/>
      <c r="CQ807" s="90"/>
      <c r="CR807" s="90"/>
      <c r="CS807" s="90"/>
      <c r="CT807" s="90"/>
      <c r="CU807" s="90"/>
      <c r="CV807" s="90"/>
      <c r="CW807" s="90"/>
    </row>
    <row r="808" ht="16.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0"/>
      <c r="BQ808" s="90"/>
      <c r="BR808" s="90"/>
      <c r="BS808" s="90"/>
      <c r="BT808" s="90"/>
      <c r="BU808" s="90"/>
      <c r="BV808" s="90"/>
      <c r="BW808" s="90"/>
      <c r="BX808" s="90"/>
      <c r="BY808" s="90"/>
      <c r="BZ808" s="90"/>
      <c r="CA808" s="90"/>
      <c r="CB808" s="90"/>
      <c r="CC808" s="90"/>
      <c r="CD808" s="90"/>
      <c r="CE808" s="90"/>
      <c r="CF808" s="90"/>
      <c r="CG808" s="90"/>
      <c r="CH808" s="90"/>
      <c r="CI808" s="90"/>
      <c r="CJ808" s="90"/>
      <c r="CK808" s="90"/>
      <c r="CL808" s="90"/>
      <c r="CM808" s="90"/>
      <c r="CN808" s="90"/>
      <c r="CO808" s="90"/>
      <c r="CP808" s="90"/>
      <c r="CQ808" s="90"/>
      <c r="CR808" s="90"/>
      <c r="CS808" s="90"/>
      <c r="CT808" s="90"/>
      <c r="CU808" s="90"/>
      <c r="CV808" s="90"/>
      <c r="CW808" s="90"/>
    </row>
    <row r="809" ht="16.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H809" s="90"/>
      <c r="BI809" s="90"/>
      <c r="BJ809" s="90"/>
      <c r="BK809" s="90"/>
      <c r="BL809" s="90"/>
      <c r="BM809" s="90"/>
      <c r="BN809" s="90"/>
      <c r="BO809" s="90"/>
      <c r="BP809" s="90"/>
      <c r="BQ809" s="90"/>
      <c r="BR809" s="90"/>
      <c r="BS809" s="90"/>
      <c r="BT809" s="90"/>
      <c r="BU809" s="90"/>
      <c r="BV809" s="90"/>
      <c r="BW809" s="90"/>
      <c r="BX809" s="90"/>
      <c r="BY809" s="90"/>
      <c r="BZ809" s="90"/>
      <c r="CA809" s="90"/>
      <c r="CB809" s="90"/>
      <c r="CC809" s="90"/>
      <c r="CD809" s="90"/>
      <c r="CE809" s="90"/>
      <c r="CF809" s="90"/>
      <c r="CG809" s="90"/>
      <c r="CH809" s="90"/>
      <c r="CI809" s="90"/>
      <c r="CJ809" s="90"/>
      <c r="CK809" s="90"/>
      <c r="CL809" s="90"/>
      <c r="CM809" s="90"/>
      <c r="CN809" s="90"/>
      <c r="CO809" s="90"/>
      <c r="CP809" s="90"/>
      <c r="CQ809" s="90"/>
      <c r="CR809" s="90"/>
      <c r="CS809" s="90"/>
      <c r="CT809" s="90"/>
      <c r="CU809" s="90"/>
      <c r="CV809" s="90"/>
      <c r="CW809" s="90"/>
    </row>
    <row r="810" ht="16.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0"/>
      <c r="BQ810" s="90"/>
      <c r="BR810" s="90"/>
      <c r="BS810" s="90"/>
      <c r="BT810" s="90"/>
      <c r="BU810" s="90"/>
      <c r="BV810" s="90"/>
      <c r="BW810" s="90"/>
      <c r="BX810" s="90"/>
      <c r="BY810" s="90"/>
      <c r="BZ810" s="90"/>
      <c r="CA810" s="90"/>
      <c r="CB810" s="90"/>
      <c r="CC810" s="90"/>
      <c r="CD810" s="90"/>
      <c r="CE810" s="90"/>
      <c r="CF810" s="90"/>
      <c r="CG810" s="90"/>
      <c r="CH810" s="90"/>
      <c r="CI810" s="90"/>
      <c r="CJ810" s="90"/>
      <c r="CK810" s="90"/>
      <c r="CL810" s="90"/>
      <c r="CM810" s="90"/>
      <c r="CN810" s="90"/>
      <c r="CO810" s="90"/>
      <c r="CP810" s="90"/>
      <c r="CQ810" s="90"/>
      <c r="CR810" s="90"/>
      <c r="CS810" s="90"/>
      <c r="CT810" s="90"/>
      <c r="CU810" s="90"/>
      <c r="CV810" s="90"/>
      <c r="CW810" s="90"/>
    </row>
    <row r="811" ht="16.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  <c r="BJ811" s="90"/>
      <c r="BK811" s="90"/>
      <c r="BL811" s="90"/>
      <c r="BM811" s="90"/>
      <c r="BN811" s="90"/>
      <c r="BO811" s="90"/>
      <c r="BP811" s="90"/>
      <c r="BQ811" s="90"/>
      <c r="BR811" s="90"/>
      <c r="BS811" s="90"/>
      <c r="BT811" s="90"/>
      <c r="BU811" s="90"/>
      <c r="BV811" s="90"/>
      <c r="BW811" s="90"/>
      <c r="BX811" s="90"/>
      <c r="BY811" s="90"/>
      <c r="BZ811" s="90"/>
      <c r="CA811" s="90"/>
      <c r="CB811" s="90"/>
      <c r="CC811" s="90"/>
      <c r="CD811" s="90"/>
      <c r="CE811" s="90"/>
      <c r="CF811" s="90"/>
      <c r="CG811" s="90"/>
      <c r="CH811" s="90"/>
      <c r="CI811" s="90"/>
      <c r="CJ811" s="90"/>
      <c r="CK811" s="90"/>
      <c r="CL811" s="90"/>
      <c r="CM811" s="90"/>
      <c r="CN811" s="90"/>
      <c r="CO811" s="90"/>
      <c r="CP811" s="90"/>
      <c r="CQ811" s="90"/>
      <c r="CR811" s="90"/>
      <c r="CS811" s="90"/>
      <c r="CT811" s="90"/>
      <c r="CU811" s="90"/>
      <c r="CV811" s="90"/>
      <c r="CW811" s="90"/>
    </row>
    <row r="812" ht="16.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0"/>
      <c r="BQ812" s="90"/>
      <c r="BR812" s="90"/>
      <c r="BS812" s="90"/>
      <c r="BT812" s="90"/>
      <c r="BU812" s="90"/>
      <c r="BV812" s="90"/>
      <c r="BW812" s="90"/>
      <c r="BX812" s="90"/>
      <c r="BY812" s="90"/>
      <c r="BZ812" s="90"/>
      <c r="CA812" s="90"/>
      <c r="CB812" s="90"/>
      <c r="CC812" s="90"/>
      <c r="CD812" s="90"/>
      <c r="CE812" s="90"/>
      <c r="CF812" s="90"/>
      <c r="CG812" s="90"/>
      <c r="CH812" s="90"/>
      <c r="CI812" s="90"/>
      <c r="CJ812" s="90"/>
      <c r="CK812" s="90"/>
      <c r="CL812" s="90"/>
      <c r="CM812" s="90"/>
      <c r="CN812" s="90"/>
      <c r="CO812" s="90"/>
      <c r="CP812" s="90"/>
      <c r="CQ812" s="90"/>
      <c r="CR812" s="90"/>
      <c r="CS812" s="90"/>
      <c r="CT812" s="90"/>
      <c r="CU812" s="90"/>
      <c r="CV812" s="90"/>
      <c r="CW812" s="90"/>
    </row>
    <row r="813" ht="16.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H813" s="90"/>
      <c r="BI813" s="90"/>
      <c r="BJ813" s="90"/>
      <c r="BK813" s="90"/>
      <c r="BL813" s="90"/>
      <c r="BM813" s="90"/>
      <c r="BN813" s="90"/>
      <c r="BO813" s="90"/>
      <c r="BP813" s="90"/>
      <c r="BQ813" s="90"/>
      <c r="BR813" s="90"/>
      <c r="BS813" s="90"/>
      <c r="BT813" s="90"/>
      <c r="BU813" s="90"/>
      <c r="BV813" s="90"/>
      <c r="BW813" s="90"/>
      <c r="BX813" s="90"/>
      <c r="BY813" s="90"/>
      <c r="BZ813" s="90"/>
      <c r="CA813" s="90"/>
      <c r="CB813" s="90"/>
      <c r="CC813" s="90"/>
      <c r="CD813" s="90"/>
      <c r="CE813" s="90"/>
      <c r="CF813" s="90"/>
      <c r="CG813" s="90"/>
      <c r="CH813" s="90"/>
      <c r="CI813" s="90"/>
      <c r="CJ813" s="90"/>
      <c r="CK813" s="90"/>
      <c r="CL813" s="90"/>
      <c r="CM813" s="90"/>
      <c r="CN813" s="90"/>
      <c r="CO813" s="90"/>
      <c r="CP813" s="90"/>
      <c r="CQ813" s="90"/>
      <c r="CR813" s="90"/>
      <c r="CS813" s="90"/>
      <c r="CT813" s="90"/>
      <c r="CU813" s="90"/>
      <c r="CV813" s="90"/>
      <c r="CW813" s="90"/>
    </row>
    <row r="814" ht="16.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0"/>
      <c r="BQ814" s="90"/>
      <c r="BR814" s="90"/>
      <c r="BS814" s="90"/>
      <c r="BT814" s="90"/>
      <c r="BU814" s="90"/>
      <c r="BV814" s="90"/>
      <c r="BW814" s="90"/>
      <c r="BX814" s="90"/>
      <c r="BY814" s="90"/>
      <c r="BZ814" s="90"/>
      <c r="CA814" s="90"/>
      <c r="CB814" s="90"/>
      <c r="CC814" s="90"/>
      <c r="CD814" s="90"/>
      <c r="CE814" s="90"/>
      <c r="CF814" s="90"/>
      <c r="CG814" s="90"/>
      <c r="CH814" s="90"/>
      <c r="CI814" s="90"/>
      <c r="CJ814" s="90"/>
      <c r="CK814" s="90"/>
      <c r="CL814" s="90"/>
      <c r="CM814" s="90"/>
      <c r="CN814" s="90"/>
      <c r="CO814" s="90"/>
      <c r="CP814" s="90"/>
      <c r="CQ814" s="90"/>
      <c r="CR814" s="90"/>
      <c r="CS814" s="90"/>
      <c r="CT814" s="90"/>
      <c r="CU814" s="90"/>
      <c r="CV814" s="90"/>
      <c r="CW814" s="90"/>
    </row>
    <row r="815" ht="16.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H815" s="90"/>
      <c r="BI815" s="90"/>
      <c r="BJ815" s="90"/>
      <c r="BK815" s="90"/>
      <c r="BL815" s="90"/>
      <c r="BM815" s="90"/>
      <c r="BN815" s="90"/>
      <c r="BO815" s="90"/>
      <c r="BP815" s="90"/>
      <c r="BQ815" s="90"/>
      <c r="BR815" s="90"/>
      <c r="BS815" s="90"/>
      <c r="BT815" s="90"/>
      <c r="BU815" s="90"/>
      <c r="BV815" s="90"/>
      <c r="BW815" s="90"/>
      <c r="BX815" s="90"/>
      <c r="BY815" s="90"/>
      <c r="BZ815" s="90"/>
      <c r="CA815" s="90"/>
      <c r="CB815" s="90"/>
      <c r="CC815" s="90"/>
      <c r="CD815" s="90"/>
      <c r="CE815" s="90"/>
      <c r="CF815" s="90"/>
      <c r="CG815" s="90"/>
      <c r="CH815" s="90"/>
      <c r="CI815" s="90"/>
      <c r="CJ815" s="90"/>
      <c r="CK815" s="90"/>
      <c r="CL815" s="90"/>
      <c r="CM815" s="90"/>
      <c r="CN815" s="90"/>
      <c r="CO815" s="90"/>
      <c r="CP815" s="90"/>
      <c r="CQ815" s="90"/>
      <c r="CR815" s="90"/>
      <c r="CS815" s="90"/>
      <c r="CT815" s="90"/>
      <c r="CU815" s="90"/>
      <c r="CV815" s="90"/>
      <c r="CW815" s="90"/>
    </row>
    <row r="816" ht="16.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0"/>
      <c r="BQ816" s="90"/>
      <c r="BR816" s="90"/>
      <c r="BS816" s="90"/>
      <c r="BT816" s="90"/>
      <c r="BU816" s="90"/>
      <c r="BV816" s="90"/>
      <c r="BW816" s="90"/>
      <c r="BX816" s="90"/>
      <c r="BY816" s="90"/>
      <c r="BZ816" s="90"/>
      <c r="CA816" s="90"/>
      <c r="CB816" s="90"/>
      <c r="CC816" s="90"/>
      <c r="CD816" s="90"/>
      <c r="CE816" s="90"/>
      <c r="CF816" s="90"/>
      <c r="CG816" s="90"/>
      <c r="CH816" s="90"/>
      <c r="CI816" s="90"/>
      <c r="CJ816" s="90"/>
      <c r="CK816" s="90"/>
      <c r="CL816" s="90"/>
      <c r="CM816" s="90"/>
      <c r="CN816" s="90"/>
      <c r="CO816" s="90"/>
      <c r="CP816" s="90"/>
      <c r="CQ816" s="90"/>
      <c r="CR816" s="90"/>
      <c r="CS816" s="90"/>
      <c r="CT816" s="90"/>
      <c r="CU816" s="90"/>
      <c r="CV816" s="90"/>
      <c r="CW816" s="90"/>
    </row>
    <row r="817" ht="16.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H817" s="90"/>
      <c r="BI817" s="90"/>
      <c r="BJ817" s="90"/>
      <c r="BK817" s="90"/>
      <c r="BL817" s="90"/>
      <c r="BM817" s="90"/>
      <c r="BN817" s="90"/>
      <c r="BO817" s="90"/>
      <c r="BP817" s="90"/>
      <c r="BQ817" s="90"/>
      <c r="BR817" s="90"/>
      <c r="BS817" s="90"/>
      <c r="BT817" s="90"/>
      <c r="BU817" s="90"/>
      <c r="BV817" s="90"/>
      <c r="BW817" s="90"/>
      <c r="BX817" s="90"/>
      <c r="BY817" s="90"/>
      <c r="BZ817" s="90"/>
      <c r="CA817" s="90"/>
      <c r="CB817" s="90"/>
      <c r="CC817" s="90"/>
      <c r="CD817" s="90"/>
      <c r="CE817" s="90"/>
      <c r="CF817" s="90"/>
      <c r="CG817" s="90"/>
      <c r="CH817" s="90"/>
      <c r="CI817" s="90"/>
      <c r="CJ817" s="90"/>
      <c r="CK817" s="90"/>
      <c r="CL817" s="90"/>
      <c r="CM817" s="90"/>
      <c r="CN817" s="90"/>
      <c r="CO817" s="90"/>
      <c r="CP817" s="90"/>
      <c r="CQ817" s="90"/>
      <c r="CR817" s="90"/>
      <c r="CS817" s="90"/>
      <c r="CT817" s="90"/>
      <c r="CU817" s="90"/>
      <c r="CV817" s="90"/>
      <c r="CW817" s="90"/>
    </row>
    <row r="818" ht="16.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0"/>
      <c r="BQ818" s="90"/>
      <c r="BR818" s="90"/>
      <c r="BS818" s="90"/>
      <c r="BT818" s="90"/>
      <c r="BU818" s="90"/>
      <c r="BV818" s="90"/>
      <c r="BW818" s="90"/>
      <c r="BX818" s="90"/>
      <c r="BY818" s="90"/>
      <c r="BZ818" s="90"/>
      <c r="CA818" s="90"/>
      <c r="CB818" s="90"/>
      <c r="CC818" s="90"/>
      <c r="CD818" s="90"/>
      <c r="CE818" s="90"/>
      <c r="CF818" s="90"/>
      <c r="CG818" s="90"/>
      <c r="CH818" s="90"/>
      <c r="CI818" s="90"/>
      <c r="CJ818" s="90"/>
      <c r="CK818" s="90"/>
      <c r="CL818" s="90"/>
      <c r="CM818" s="90"/>
      <c r="CN818" s="90"/>
      <c r="CO818" s="90"/>
      <c r="CP818" s="90"/>
      <c r="CQ818" s="90"/>
      <c r="CR818" s="90"/>
      <c r="CS818" s="90"/>
      <c r="CT818" s="90"/>
      <c r="CU818" s="90"/>
      <c r="CV818" s="90"/>
      <c r="CW818" s="90"/>
    </row>
    <row r="819" ht="16.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H819" s="90"/>
      <c r="BI819" s="90"/>
      <c r="BJ819" s="90"/>
      <c r="BK819" s="90"/>
      <c r="BL819" s="90"/>
      <c r="BM819" s="90"/>
      <c r="BN819" s="90"/>
      <c r="BO819" s="90"/>
      <c r="BP819" s="90"/>
      <c r="BQ819" s="90"/>
      <c r="BR819" s="90"/>
      <c r="BS819" s="90"/>
      <c r="BT819" s="90"/>
      <c r="BU819" s="90"/>
      <c r="BV819" s="90"/>
      <c r="BW819" s="90"/>
      <c r="BX819" s="90"/>
      <c r="BY819" s="90"/>
      <c r="BZ819" s="90"/>
      <c r="CA819" s="90"/>
      <c r="CB819" s="90"/>
      <c r="CC819" s="90"/>
      <c r="CD819" s="90"/>
      <c r="CE819" s="90"/>
      <c r="CF819" s="90"/>
      <c r="CG819" s="90"/>
      <c r="CH819" s="90"/>
      <c r="CI819" s="90"/>
      <c r="CJ819" s="90"/>
      <c r="CK819" s="90"/>
      <c r="CL819" s="90"/>
      <c r="CM819" s="90"/>
      <c r="CN819" s="90"/>
      <c r="CO819" s="90"/>
      <c r="CP819" s="90"/>
      <c r="CQ819" s="90"/>
      <c r="CR819" s="90"/>
      <c r="CS819" s="90"/>
      <c r="CT819" s="90"/>
      <c r="CU819" s="90"/>
      <c r="CV819" s="90"/>
      <c r="CW819" s="90"/>
    </row>
    <row r="820" ht="16.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0"/>
      <c r="BQ820" s="90"/>
      <c r="BR820" s="90"/>
      <c r="BS820" s="90"/>
      <c r="BT820" s="90"/>
      <c r="BU820" s="90"/>
      <c r="BV820" s="90"/>
      <c r="BW820" s="90"/>
      <c r="BX820" s="90"/>
      <c r="BY820" s="90"/>
      <c r="BZ820" s="90"/>
      <c r="CA820" s="90"/>
      <c r="CB820" s="90"/>
      <c r="CC820" s="90"/>
      <c r="CD820" s="90"/>
      <c r="CE820" s="90"/>
      <c r="CF820" s="90"/>
      <c r="CG820" s="90"/>
      <c r="CH820" s="90"/>
      <c r="CI820" s="90"/>
      <c r="CJ820" s="90"/>
      <c r="CK820" s="90"/>
      <c r="CL820" s="90"/>
      <c r="CM820" s="90"/>
      <c r="CN820" s="90"/>
      <c r="CO820" s="90"/>
      <c r="CP820" s="90"/>
      <c r="CQ820" s="90"/>
      <c r="CR820" s="90"/>
      <c r="CS820" s="90"/>
      <c r="CT820" s="90"/>
      <c r="CU820" s="90"/>
      <c r="CV820" s="90"/>
      <c r="CW820" s="90"/>
    </row>
    <row r="821" ht="16.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H821" s="90"/>
      <c r="BI821" s="90"/>
      <c r="BJ821" s="90"/>
      <c r="BK821" s="90"/>
      <c r="BL821" s="90"/>
      <c r="BM821" s="90"/>
      <c r="BN821" s="90"/>
      <c r="BO821" s="90"/>
      <c r="BP821" s="90"/>
      <c r="BQ821" s="90"/>
      <c r="BR821" s="90"/>
      <c r="BS821" s="90"/>
      <c r="BT821" s="90"/>
      <c r="BU821" s="90"/>
      <c r="BV821" s="90"/>
      <c r="BW821" s="90"/>
      <c r="BX821" s="90"/>
      <c r="BY821" s="90"/>
      <c r="BZ821" s="90"/>
      <c r="CA821" s="90"/>
      <c r="CB821" s="90"/>
      <c r="CC821" s="90"/>
      <c r="CD821" s="90"/>
      <c r="CE821" s="90"/>
      <c r="CF821" s="90"/>
      <c r="CG821" s="90"/>
      <c r="CH821" s="90"/>
      <c r="CI821" s="90"/>
      <c r="CJ821" s="90"/>
      <c r="CK821" s="90"/>
      <c r="CL821" s="90"/>
      <c r="CM821" s="90"/>
      <c r="CN821" s="90"/>
      <c r="CO821" s="90"/>
      <c r="CP821" s="90"/>
      <c r="CQ821" s="90"/>
      <c r="CR821" s="90"/>
      <c r="CS821" s="90"/>
      <c r="CT821" s="90"/>
      <c r="CU821" s="90"/>
      <c r="CV821" s="90"/>
      <c r="CW821" s="90"/>
    </row>
    <row r="822" ht="16.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0"/>
      <c r="BQ822" s="90"/>
      <c r="BR822" s="90"/>
      <c r="BS822" s="90"/>
      <c r="BT822" s="90"/>
      <c r="BU822" s="90"/>
      <c r="BV822" s="90"/>
      <c r="BW822" s="90"/>
      <c r="BX822" s="90"/>
      <c r="BY822" s="90"/>
      <c r="BZ822" s="90"/>
      <c r="CA822" s="90"/>
      <c r="CB822" s="90"/>
      <c r="CC822" s="90"/>
      <c r="CD822" s="90"/>
      <c r="CE822" s="90"/>
      <c r="CF822" s="90"/>
      <c r="CG822" s="90"/>
      <c r="CH822" s="90"/>
      <c r="CI822" s="90"/>
      <c r="CJ822" s="90"/>
      <c r="CK822" s="90"/>
      <c r="CL822" s="90"/>
      <c r="CM822" s="90"/>
      <c r="CN822" s="90"/>
      <c r="CO822" s="90"/>
      <c r="CP822" s="90"/>
      <c r="CQ822" s="90"/>
      <c r="CR822" s="90"/>
      <c r="CS822" s="90"/>
      <c r="CT822" s="90"/>
      <c r="CU822" s="90"/>
      <c r="CV822" s="90"/>
      <c r="CW822" s="90"/>
    </row>
    <row r="823" ht="16.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H823" s="90"/>
      <c r="BI823" s="90"/>
      <c r="BJ823" s="90"/>
      <c r="BK823" s="90"/>
      <c r="BL823" s="90"/>
      <c r="BM823" s="90"/>
      <c r="BN823" s="90"/>
      <c r="BO823" s="90"/>
      <c r="BP823" s="90"/>
      <c r="BQ823" s="90"/>
      <c r="BR823" s="90"/>
      <c r="BS823" s="90"/>
      <c r="BT823" s="90"/>
      <c r="BU823" s="90"/>
      <c r="BV823" s="90"/>
      <c r="BW823" s="90"/>
      <c r="BX823" s="90"/>
      <c r="BY823" s="90"/>
      <c r="BZ823" s="90"/>
      <c r="CA823" s="90"/>
      <c r="CB823" s="90"/>
      <c r="CC823" s="90"/>
      <c r="CD823" s="90"/>
      <c r="CE823" s="90"/>
      <c r="CF823" s="90"/>
      <c r="CG823" s="90"/>
      <c r="CH823" s="90"/>
      <c r="CI823" s="90"/>
      <c r="CJ823" s="90"/>
      <c r="CK823" s="90"/>
      <c r="CL823" s="90"/>
      <c r="CM823" s="90"/>
      <c r="CN823" s="90"/>
      <c r="CO823" s="90"/>
      <c r="CP823" s="90"/>
      <c r="CQ823" s="90"/>
      <c r="CR823" s="90"/>
      <c r="CS823" s="90"/>
      <c r="CT823" s="90"/>
      <c r="CU823" s="90"/>
      <c r="CV823" s="90"/>
      <c r="CW823" s="90"/>
    </row>
    <row r="824" ht="16.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0"/>
      <c r="BQ824" s="90"/>
      <c r="BR824" s="90"/>
      <c r="BS824" s="90"/>
      <c r="BT824" s="90"/>
      <c r="BU824" s="90"/>
      <c r="BV824" s="90"/>
      <c r="BW824" s="90"/>
      <c r="BX824" s="90"/>
      <c r="BY824" s="90"/>
      <c r="BZ824" s="90"/>
      <c r="CA824" s="90"/>
      <c r="CB824" s="90"/>
      <c r="CC824" s="90"/>
      <c r="CD824" s="90"/>
      <c r="CE824" s="90"/>
      <c r="CF824" s="90"/>
      <c r="CG824" s="90"/>
      <c r="CH824" s="90"/>
      <c r="CI824" s="90"/>
      <c r="CJ824" s="90"/>
      <c r="CK824" s="90"/>
      <c r="CL824" s="90"/>
      <c r="CM824" s="90"/>
      <c r="CN824" s="90"/>
      <c r="CO824" s="90"/>
      <c r="CP824" s="90"/>
      <c r="CQ824" s="90"/>
      <c r="CR824" s="90"/>
      <c r="CS824" s="90"/>
      <c r="CT824" s="90"/>
      <c r="CU824" s="90"/>
      <c r="CV824" s="90"/>
      <c r="CW824" s="90"/>
    </row>
    <row r="825" ht="16.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H825" s="90"/>
      <c r="BI825" s="90"/>
      <c r="BJ825" s="90"/>
      <c r="BK825" s="90"/>
      <c r="BL825" s="90"/>
      <c r="BM825" s="90"/>
      <c r="BN825" s="90"/>
      <c r="BO825" s="90"/>
      <c r="BP825" s="90"/>
      <c r="BQ825" s="90"/>
      <c r="BR825" s="90"/>
      <c r="BS825" s="90"/>
      <c r="BT825" s="90"/>
      <c r="BU825" s="90"/>
      <c r="BV825" s="90"/>
      <c r="BW825" s="90"/>
      <c r="BX825" s="90"/>
      <c r="BY825" s="90"/>
      <c r="BZ825" s="90"/>
      <c r="CA825" s="90"/>
      <c r="CB825" s="90"/>
      <c r="CC825" s="90"/>
      <c r="CD825" s="90"/>
      <c r="CE825" s="90"/>
      <c r="CF825" s="90"/>
      <c r="CG825" s="90"/>
      <c r="CH825" s="90"/>
      <c r="CI825" s="90"/>
      <c r="CJ825" s="90"/>
      <c r="CK825" s="90"/>
      <c r="CL825" s="90"/>
      <c r="CM825" s="90"/>
      <c r="CN825" s="90"/>
      <c r="CO825" s="90"/>
      <c r="CP825" s="90"/>
      <c r="CQ825" s="90"/>
      <c r="CR825" s="90"/>
      <c r="CS825" s="90"/>
      <c r="CT825" s="90"/>
      <c r="CU825" s="90"/>
      <c r="CV825" s="90"/>
      <c r="CW825" s="90"/>
    </row>
    <row r="826" ht="16.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0"/>
      <c r="BQ826" s="90"/>
      <c r="BR826" s="90"/>
      <c r="BS826" s="90"/>
      <c r="BT826" s="90"/>
      <c r="BU826" s="90"/>
      <c r="BV826" s="90"/>
      <c r="BW826" s="90"/>
      <c r="BX826" s="90"/>
      <c r="BY826" s="90"/>
      <c r="BZ826" s="90"/>
      <c r="CA826" s="90"/>
      <c r="CB826" s="90"/>
      <c r="CC826" s="90"/>
      <c r="CD826" s="90"/>
      <c r="CE826" s="90"/>
      <c r="CF826" s="90"/>
      <c r="CG826" s="90"/>
      <c r="CH826" s="90"/>
      <c r="CI826" s="90"/>
      <c r="CJ826" s="90"/>
      <c r="CK826" s="90"/>
      <c r="CL826" s="90"/>
      <c r="CM826" s="90"/>
      <c r="CN826" s="90"/>
      <c r="CO826" s="90"/>
      <c r="CP826" s="90"/>
      <c r="CQ826" s="90"/>
      <c r="CR826" s="90"/>
      <c r="CS826" s="90"/>
      <c r="CT826" s="90"/>
      <c r="CU826" s="90"/>
      <c r="CV826" s="90"/>
      <c r="CW826" s="90"/>
    </row>
    <row r="827" ht="16.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H827" s="90"/>
      <c r="BI827" s="90"/>
      <c r="BJ827" s="90"/>
      <c r="BK827" s="90"/>
      <c r="BL827" s="90"/>
      <c r="BM827" s="90"/>
      <c r="BN827" s="90"/>
      <c r="BO827" s="90"/>
      <c r="BP827" s="90"/>
      <c r="BQ827" s="90"/>
      <c r="BR827" s="90"/>
      <c r="BS827" s="90"/>
      <c r="BT827" s="90"/>
      <c r="BU827" s="90"/>
      <c r="BV827" s="90"/>
      <c r="BW827" s="90"/>
      <c r="BX827" s="90"/>
      <c r="BY827" s="90"/>
      <c r="BZ827" s="90"/>
      <c r="CA827" s="90"/>
      <c r="CB827" s="90"/>
      <c r="CC827" s="90"/>
      <c r="CD827" s="90"/>
      <c r="CE827" s="90"/>
      <c r="CF827" s="90"/>
      <c r="CG827" s="90"/>
      <c r="CH827" s="90"/>
      <c r="CI827" s="90"/>
      <c r="CJ827" s="90"/>
      <c r="CK827" s="90"/>
      <c r="CL827" s="90"/>
      <c r="CM827" s="90"/>
      <c r="CN827" s="90"/>
      <c r="CO827" s="90"/>
      <c r="CP827" s="90"/>
      <c r="CQ827" s="90"/>
      <c r="CR827" s="90"/>
      <c r="CS827" s="90"/>
      <c r="CT827" s="90"/>
      <c r="CU827" s="90"/>
      <c r="CV827" s="90"/>
      <c r="CW827" s="90"/>
    </row>
    <row r="828" ht="16.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0"/>
      <c r="BQ828" s="90"/>
      <c r="BR828" s="90"/>
      <c r="BS828" s="90"/>
      <c r="BT828" s="90"/>
      <c r="BU828" s="90"/>
      <c r="BV828" s="90"/>
      <c r="BW828" s="90"/>
      <c r="BX828" s="90"/>
      <c r="BY828" s="90"/>
      <c r="BZ828" s="90"/>
      <c r="CA828" s="90"/>
      <c r="CB828" s="90"/>
      <c r="CC828" s="90"/>
      <c r="CD828" s="90"/>
      <c r="CE828" s="90"/>
      <c r="CF828" s="90"/>
      <c r="CG828" s="90"/>
      <c r="CH828" s="90"/>
      <c r="CI828" s="90"/>
      <c r="CJ828" s="90"/>
      <c r="CK828" s="90"/>
      <c r="CL828" s="90"/>
      <c r="CM828" s="90"/>
      <c r="CN828" s="90"/>
      <c r="CO828" s="90"/>
      <c r="CP828" s="90"/>
      <c r="CQ828" s="90"/>
      <c r="CR828" s="90"/>
      <c r="CS828" s="90"/>
      <c r="CT828" s="90"/>
      <c r="CU828" s="90"/>
      <c r="CV828" s="90"/>
      <c r="CW828" s="90"/>
    </row>
    <row r="829" ht="16.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H829" s="90"/>
      <c r="BI829" s="90"/>
      <c r="BJ829" s="90"/>
      <c r="BK829" s="90"/>
      <c r="BL829" s="90"/>
      <c r="BM829" s="90"/>
      <c r="BN829" s="90"/>
      <c r="BO829" s="90"/>
      <c r="BP829" s="90"/>
      <c r="BQ829" s="90"/>
      <c r="BR829" s="90"/>
      <c r="BS829" s="90"/>
      <c r="BT829" s="90"/>
      <c r="BU829" s="90"/>
      <c r="BV829" s="90"/>
      <c r="BW829" s="90"/>
      <c r="BX829" s="90"/>
      <c r="BY829" s="90"/>
      <c r="BZ829" s="90"/>
      <c r="CA829" s="90"/>
      <c r="CB829" s="90"/>
      <c r="CC829" s="90"/>
      <c r="CD829" s="90"/>
      <c r="CE829" s="90"/>
      <c r="CF829" s="90"/>
      <c r="CG829" s="90"/>
      <c r="CH829" s="90"/>
      <c r="CI829" s="90"/>
      <c r="CJ829" s="90"/>
      <c r="CK829" s="90"/>
      <c r="CL829" s="90"/>
      <c r="CM829" s="90"/>
      <c r="CN829" s="90"/>
      <c r="CO829" s="90"/>
      <c r="CP829" s="90"/>
      <c r="CQ829" s="90"/>
      <c r="CR829" s="90"/>
      <c r="CS829" s="90"/>
      <c r="CT829" s="90"/>
      <c r="CU829" s="90"/>
      <c r="CV829" s="90"/>
      <c r="CW829" s="90"/>
    </row>
    <row r="830" ht="16.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0"/>
      <c r="BQ830" s="90"/>
      <c r="BR830" s="90"/>
      <c r="BS830" s="90"/>
      <c r="BT830" s="90"/>
      <c r="BU830" s="90"/>
      <c r="BV830" s="90"/>
      <c r="BW830" s="90"/>
      <c r="BX830" s="90"/>
      <c r="BY830" s="90"/>
      <c r="BZ830" s="90"/>
      <c r="CA830" s="90"/>
      <c r="CB830" s="90"/>
      <c r="CC830" s="90"/>
      <c r="CD830" s="90"/>
      <c r="CE830" s="90"/>
      <c r="CF830" s="90"/>
      <c r="CG830" s="90"/>
      <c r="CH830" s="90"/>
      <c r="CI830" s="90"/>
      <c r="CJ830" s="90"/>
      <c r="CK830" s="90"/>
      <c r="CL830" s="90"/>
      <c r="CM830" s="90"/>
      <c r="CN830" s="90"/>
      <c r="CO830" s="90"/>
      <c r="CP830" s="90"/>
      <c r="CQ830" s="90"/>
      <c r="CR830" s="90"/>
      <c r="CS830" s="90"/>
      <c r="CT830" s="90"/>
      <c r="CU830" s="90"/>
      <c r="CV830" s="90"/>
      <c r="CW830" s="90"/>
    </row>
    <row r="831" ht="16.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H831" s="90"/>
      <c r="BI831" s="90"/>
      <c r="BJ831" s="90"/>
      <c r="BK831" s="90"/>
      <c r="BL831" s="90"/>
      <c r="BM831" s="90"/>
      <c r="BN831" s="90"/>
      <c r="BO831" s="90"/>
      <c r="BP831" s="90"/>
      <c r="BQ831" s="90"/>
      <c r="BR831" s="90"/>
      <c r="BS831" s="90"/>
      <c r="BT831" s="90"/>
      <c r="BU831" s="90"/>
      <c r="BV831" s="90"/>
      <c r="BW831" s="90"/>
      <c r="BX831" s="90"/>
      <c r="BY831" s="90"/>
      <c r="BZ831" s="90"/>
      <c r="CA831" s="90"/>
      <c r="CB831" s="90"/>
      <c r="CC831" s="90"/>
      <c r="CD831" s="90"/>
      <c r="CE831" s="90"/>
      <c r="CF831" s="90"/>
      <c r="CG831" s="90"/>
      <c r="CH831" s="90"/>
      <c r="CI831" s="90"/>
      <c r="CJ831" s="90"/>
      <c r="CK831" s="90"/>
      <c r="CL831" s="90"/>
      <c r="CM831" s="90"/>
      <c r="CN831" s="90"/>
      <c r="CO831" s="90"/>
      <c r="CP831" s="90"/>
      <c r="CQ831" s="90"/>
      <c r="CR831" s="90"/>
      <c r="CS831" s="90"/>
      <c r="CT831" s="90"/>
      <c r="CU831" s="90"/>
      <c r="CV831" s="90"/>
      <c r="CW831" s="90"/>
    </row>
    <row r="832" ht="16.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0"/>
      <c r="BQ832" s="90"/>
      <c r="BR832" s="90"/>
      <c r="BS832" s="90"/>
      <c r="BT832" s="90"/>
      <c r="BU832" s="90"/>
      <c r="BV832" s="90"/>
      <c r="BW832" s="90"/>
      <c r="BX832" s="90"/>
      <c r="BY832" s="90"/>
      <c r="BZ832" s="90"/>
      <c r="CA832" s="90"/>
      <c r="CB832" s="90"/>
      <c r="CC832" s="90"/>
      <c r="CD832" s="90"/>
      <c r="CE832" s="90"/>
      <c r="CF832" s="90"/>
      <c r="CG832" s="90"/>
      <c r="CH832" s="90"/>
      <c r="CI832" s="90"/>
      <c r="CJ832" s="90"/>
      <c r="CK832" s="90"/>
      <c r="CL832" s="90"/>
      <c r="CM832" s="90"/>
      <c r="CN832" s="90"/>
      <c r="CO832" s="90"/>
      <c r="CP832" s="90"/>
      <c r="CQ832" s="90"/>
      <c r="CR832" s="90"/>
      <c r="CS832" s="90"/>
      <c r="CT832" s="90"/>
      <c r="CU832" s="90"/>
      <c r="CV832" s="90"/>
      <c r="CW832" s="90"/>
    </row>
    <row r="833" ht="16.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90"/>
      <c r="BI833" s="90"/>
      <c r="BJ833" s="90"/>
      <c r="BK833" s="90"/>
      <c r="BL833" s="90"/>
      <c r="BM833" s="90"/>
      <c r="BN833" s="90"/>
      <c r="BO833" s="90"/>
      <c r="BP833" s="90"/>
      <c r="BQ833" s="90"/>
      <c r="BR833" s="90"/>
      <c r="BS833" s="90"/>
      <c r="BT833" s="90"/>
      <c r="BU833" s="90"/>
      <c r="BV833" s="90"/>
      <c r="BW833" s="90"/>
      <c r="BX833" s="90"/>
      <c r="BY833" s="90"/>
      <c r="BZ833" s="90"/>
      <c r="CA833" s="90"/>
      <c r="CB833" s="90"/>
      <c r="CC833" s="90"/>
      <c r="CD833" s="90"/>
      <c r="CE833" s="90"/>
      <c r="CF833" s="90"/>
      <c r="CG833" s="90"/>
      <c r="CH833" s="90"/>
      <c r="CI833" s="90"/>
      <c r="CJ833" s="90"/>
      <c r="CK833" s="90"/>
      <c r="CL833" s="90"/>
      <c r="CM833" s="90"/>
      <c r="CN833" s="90"/>
      <c r="CO833" s="90"/>
      <c r="CP833" s="90"/>
      <c r="CQ833" s="90"/>
      <c r="CR833" s="90"/>
      <c r="CS833" s="90"/>
      <c r="CT833" s="90"/>
      <c r="CU833" s="90"/>
      <c r="CV833" s="90"/>
      <c r="CW833" s="90"/>
    </row>
    <row r="834" ht="16.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0"/>
      <c r="BQ834" s="90"/>
      <c r="BR834" s="90"/>
      <c r="BS834" s="90"/>
      <c r="BT834" s="90"/>
      <c r="BU834" s="90"/>
      <c r="BV834" s="90"/>
      <c r="BW834" s="90"/>
      <c r="BX834" s="90"/>
      <c r="BY834" s="90"/>
      <c r="BZ834" s="90"/>
      <c r="CA834" s="90"/>
      <c r="CB834" s="90"/>
      <c r="CC834" s="90"/>
      <c r="CD834" s="90"/>
      <c r="CE834" s="90"/>
      <c r="CF834" s="90"/>
      <c r="CG834" s="90"/>
      <c r="CH834" s="90"/>
      <c r="CI834" s="90"/>
      <c r="CJ834" s="90"/>
      <c r="CK834" s="90"/>
      <c r="CL834" s="90"/>
      <c r="CM834" s="90"/>
      <c r="CN834" s="90"/>
      <c r="CO834" s="90"/>
      <c r="CP834" s="90"/>
      <c r="CQ834" s="90"/>
      <c r="CR834" s="90"/>
      <c r="CS834" s="90"/>
      <c r="CT834" s="90"/>
      <c r="CU834" s="90"/>
      <c r="CV834" s="90"/>
      <c r="CW834" s="90"/>
    </row>
    <row r="835" ht="16.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H835" s="90"/>
      <c r="BI835" s="90"/>
      <c r="BJ835" s="90"/>
      <c r="BK835" s="90"/>
      <c r="BL835" s="90"/>
      <c r="BM835" s="90"/>
      <c r="BN835" s="90"/>
      <c r="BO835" s="90"/>
      <c r="BP835" s="90"/>
      <c r="BQ835" s="90"/>
      <c r="BR835" s="90"/>
      <c r="BS835" s="90"/>
      <c r="BT835" s="90"/>
      <c r="BU835" s="90"/>
      <c r="BV835" s="90"/>
      <c r="BW835" s="90"/>
      <c r="BX835" s="90"/>
      <c r="BY835" s="90"/>
      <c r="BZ835" s="90"/>
      <c r="CA835" s="90"/>
      <c r="CB835" s="90"/>
      <c r="CC835" s="90"/>
      <c r="CD835" s="90"/>
      <c r="CE835" s="90"/>
      <c r="CF835" s="90"/>
      <c r="CG835" s="90"/>
      <c r="CH835" s="90"/>
      <c r="CI835" s="90"/>
      <c r="CJ835" s="90"/>
      <c r="CK835" s="90"/>
      <c r="CL835" s="90"/>
      <c r="CM835" s="90"/>
      <c r="CN835" s="90"/>
      <c r="CO835" s="90"/>
      <c r="CP835" s="90"/>
      <c r="CQ835" s="90"/>
      <c r="CR835" s="90"/>
      <c r="CS835" s="90"/>
      <c r="CT835" s="90"/>
      <c r="CU835" s="90"/>
      <c r="CV835" s="90"/>
      <c r="CW835" s="90"/>
    </row>
    <row r="836" ht="16.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0"/>
      <c r="BQ836" s="90"/>
      <c r="BR836" s="90"/>
      <c r="BS836" s="90"/>
      <c r="BT836" s="90"/>
      <c r="BU836" s="90"/>
      <c r="BV836" s="90"/>
      <c r="BW836" s="90"/>
      <c r="BX836" s="90"/>
      <c r="BY836" s="90"/>
      <c r="BZ836" s="90"/>
      <c r="CA836" s="90"/>
      <c r="CB836" s="90"/>
      <c r="CC836" s="90"/>
      <c r="CD836" s="90"/>
      <c r="CE836" s="90"/>
      <c r="CF836" s="90"/>
      <c r="CG836" s="90"/>
      <c r="CH836" s="90"/>
      <c r="CI836" s="90"/>
      <c r="CJ836" s="90"/>
      <c r="CK836" s="90"/>
      <c r="CL836" s="90"/>
      <c r="CM836" s="90"/>
      <c r="CN836" s="90"/>
      <c r="CO836" s="90"/>
      <c r="CP836" s="90"/>
      <c r="CQ836" s="90"/>
      <c r="CR836" s="90"/>
      <c r="CS836" s="90"/>
      <c r="CT836" s="90"/>
      <c r="CU836" s="90"/>
      <c r="CV836" s="90"/>
      <c r="CW836" s="90"/>
    </row>
    <row r="837" ht="16.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H837" s="90"/>
      <c r="BI837" s="90"/>
      <c r="BJ837" s="90"/>
      <c r="BK837" s="90"/>
      <c r="BL837" s="90"/>
      <c r="BM837" s="90"/>
      <c r="BN837" s="90"/>
      <c r="BO837" s="90"/>
      <c r="BP837" s="90"/>
      <c r="BQ837" s="90"/>
      <c r="BR837" s="90"/>
      <c r="BS837" s="90"/>
      <c r="BT837" s="90"/>
      <c r="BU837" s="90"/>
      <c r="BV837" s="90"/>
      <c r="BW837" s="90"/>
      <c r="BX837" s="90"/>
      <c r="BY837" s="90"/>
      <c r="BZ837" s="90"/>
      <c r="CA837" s="90"/>
      <c r="CB837" s="90"/>
      <c r="CC837" s="90"/>
      <c r="CD837" s="90"/>
      <c r="CE837" s="90"/>
      <c r="CF837" s="90"/>
      <c r="CG837" s="90"/>
      <c r="CH837" s="90"/>
      <c r="CI837" s="90"/>
      <c r="CJ837" s="90"/>
      <c r="CK837" s="90"/>
      <c r="CL837" s="90"/>
      <c r="CM837" s="90"/>
      <c r="CN837" s="90"/>
      <c r="CO837" s="90"/>
      <c r="CP837" s="90"/>
      <c r="CQ837" s="90"/>
      <c r="CR837" s="90"/>
      <c r="CS837" s="90"/>
      <c r="CT837" s="90"/>
      <c r="CU837" s="90"/>
      <c r="CV837" s="90"/>
      <c r="CW837" s="90"/>
    </row>
    <row r="838" ht="16.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0"/>
      <c r="BQ838" s="90"/>
      <c r="BR838" s="90"/>
      <c r="BS838" s="90"/>
      <c r="BT838" s="90"/>
      <c r="BU838" s="90"/>
      <c r="BV838" s="90"/>
      <c r="BW838" s="90"/>
      <c r="BX838" s="90"/>
      <c r="BY838" s="90"/>
      <c r="BZ838" s="90"/>
      <c r="CA838" s="90"/>
      <c r="CB838" s="90"/>
      <c r="CC838" s="90"/>
      <c r="CD838" s="90"/>
      <c r="CE838" s="90"/>
      <c r="CF838" s="90"/>
      <c r="CG838" s="90"/>
      <c r="CH838" s="90"/>
      <c r="CI838" s="90"/>
      <c r="CJ838" s="90"/>
      <c r="CK838" s="90"/>
      <c r="CL838" s="90"/>
      <c r="CM838" s="90"/>
      <c r="CN838" s="90"/>
      <c r="CO838" s="90"/>
      <c r="CP838" s="90"/>
      <c r="CQ838" s="90"/>
      <c r="CR838" s="90"/>
      <c r="CS838" s="90"/>
      <c r="CT838" s="90"/>
      <c r="CU838" s="90"/>
      <c r="CV838" s="90"/>
      <c r="CW838" s="90"/>
    </row>
    <row r="839" ht="16.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H839" s="90"/>
      <c r="BI839" s="90"/>
      <c r="BJ839" s="90"/>
      <c r="BK839" s="90"/>
      <c r="BL839" s="90"/>
      <c r="BM839" s="90"/>
      <c r="BN839" s="90"/>
      <c r="BO839" s="90"/>
      <c r="BP839" s="90"/>
      <c r="BQ839" s="90"/>
      <c r="BR839" s="90"/>
      <c r="BS839" s="90"/>
      <c r="BT839" s="90"/>
      <c r="BU839" s="90"/>
      <c r="BV839" s="90"/>
      <c r="BW839" s="90"/>
      <c r="BX839" s="90"/>
      <c r="BY839" s="90"/>
      <c r="BZ839" s="90"/>
      <c r="CA839" s="90"/>
      <c r="CB839" s="90"/>
      <c r="CC839" s="90"/>
      <c r="CD839" s="90"/>
      <c r="CE839" s="90"/>
      <c r="CF839" s="90"/>
      <c r="CG839" s="90"/>
      <c r="CH839" s="90"/>
      <c r="CI839" s="90"/>
      <c r="CJ839" s="90"/>
      <c r="CK839" s="90"/>
      <c r="CL839" s="90"/>
      <c r="CM839" s="90"/>
      <c r="CN839" s="90"/>
      <c r="CO839" s="90"/>
      <c r="CP839" s="90"/>
      <c r="CQ839" s="90"/>
      <c r="CR839" s="90"/>
      <c r="CS839" s="90"/>
      <c r="CT839" s="90"/>
      <c r="CU839" s="90"/>
      <c r="CV839" s="90"/>
      <c r="CW839" s="90"/>
    </row>
    <row r="840" ht="16.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0"/>
      <c r="BQ840" s="90"/>
      <c r="BR840" s="90"/>
      <c r="BS840" s="90"/>
      <c r="BT840" s="90"/>
      <c r="BU840" s="90"/>
      <c r="BV840" s="90"/>
      <c r="BW840" s="90"/>
      <c r="BX840" s="90"/>
      <c r="BY840" s="90"/>
      <c r="BZ840" s="90"/>
      <c r="CA840" s="90"/>
      <c r="CB840" s="90"/>
      <c r="CC840" s="90"/>
      <c r="CD840" s="90"/>
      <c r="CE840" s="90"/>
      <c r="CF840" s="90"/>
      <c r="CG840" s="90"/>
      <c r="CH840" s="90"/>
      <c r="CI840" s="90"/>
      <c r="CJ840" s="90"/>
      <c r="CK840" s="90"/>
      <c r="CL840" s="90"/>
      <c r="CM840" s="90"/>
      <c r="CN840" s="90"/>
      <c r="CO840" s="90"/>
      <c r="CP840" s="90"/>
      <c r="CQ840" s="90"/>
      <c r="CR840" s="90"/>
      <c r="CS840" s="90"/>
      <c r="CT840" s="90"/>
      <c r="CU840" s="90"/>
      <c r="CV840" s="90"/>
      <c r="CW840" s="90"/>
    </row>
    <row r="841" ht="16.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90"/>
      <c r="BI841" s="90"/>
      <c r="BJ841" s="90"/>
      <c r="BK841" s="90"/>
      <c r="BL841" s="90"/>
      <c r="BM841" s="90"/>
      <c r="BN841" s="90"/>
      <c r="BO841" s="90"/>
      <c r="BP841" s="90"/>
      <c r="BQ841" s="90"/>
      <c r="BR841" s="90"/>
      <c r="BS841" s="90"/>
      <c r="BT841" s="90"/>
      <c r="BU841" s="90"/>
      <c r="BV841" s="90"/>
      <c r="BW841" s="90"/>
      <c r="BX841" s="90"/>
      <c r="BY841" s="90"/>
      <c r="BZ841" s="90"/>
      <c r="CA841" s="90"/>
      <c r="CB841" s="90"/>
      <c r="CC841" s="90"/>
      <c r="CD841" s="90"/>
      <c r="CE841" s="90"/>
      <c r="CF841" s="90"/>
      <c r="CG841" s="90"/>
      <c r="CH841" s="90"/>
      <c r="CI841" s="90"/>
      <c r="CJ841" s="90"/>
      <c r="CK841" s="90"/>
      <c r="CL841" s="90"/>
      <c r="CM841" s="90"/>
      <c r="CN841" s="90"/>
      <c r="CO841" s="90"/>
      <c r="CP841" s="90"/>
      <c r="CQ841" s="90"/>
      <c r="CR841" s="90"/>
      <c r="CS841" s="90"/>
      <c r="CT841" s="90"/>
      <c r="CU841" s="90"/>
      <c r="CV841" s="90"/>
      <c r="CW841" s="90"/>
    </row>
    <row r="842" ht="16.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0"/>
      <c r="BQ842" s="90"/>
      <c r="BR842" s="90"/>
      <c r="BS842" s="90"/>
      <c r="BT842" s="90"/>
      <c r="BU842" s="90"/>
      <c r="BV842" s="90"/>
      <c r="BW842" s="90"/>
      <c r="BX842" s="90"/>
      <c r="BY842" s="90"/>
      <c r="BZ842" s="90"/>
      <c r="CA842" s="90"/>
      <c r="CB842" s="90"/>
      <c r="CC842" s="90"/>
      <c r="CD842" s="90"/>
      <c r="CE842" s="90"/>
      <c r="CF842" s="90"/>
      <c r="CG842" s="90"/>
      <c r="CH842" s="90"/>
      <c r="CI842" s="90"/>
      <c r="CJ842" s="90"/>
      <c r="CK842" s="90"/>
      <c r="CL842" s="90"/>
      <c r="CM842" s="90"/>
      <c r="CN842" s="90"/>
      <c r="CO842" s="90"/>
      <c r="CP842" s="90"/>
      <c r="CQ842" s="90"/>
      <c r="CR842" s="90"/>
      <c r="CS842" s="90"/>
      <c r="CT842" s="90"/>
      <c r="CU842" s="90"/>
      <c r="CV842" s="90"/>
      <c r="CW842" s="90"/>
    </row>
    <row r="843" ht="16.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H843" s="90"/>
      <c r="BI843" s="90"/>
      <c r="BJ843" s="90"/>
      <c r="BK843" s="90"/>
      <c r="BL843" s="90"/>
      <c r="BM843" s="90"/>
      <c r="BN843" s="90"/>
      <c r="BO843" s="90"/>
      <c r="BP843" s="90"/>
      <c r="BQ843" s="90"/>
      <c r="BR843" s="90"/>
      <c r="BS843" s="90"/>
      <c r="BT843" s="90"/>
      <c r="BU843" s="90"/>
      <c r="BV843" s="90"/>
      <c r="BW843" s="90"/>
      <c r="BX843" s="90"/>
      <c r="BY843" s="90"/>
      <c r="BZ843" s="90"/>
      <c r="CA843" s="90"/>
      <c r="CB843" s="90"/>
      <c r="CC843" s="90"/>
      <c r="CD843" s="90"/>
      <c r="CE843" s="90"/>
      <c r="CF843" s="90"/>
      <c r="CG843" s="90"/>
      <c r="CH843" s="90"/>
      <c r="CI843" s="90"/>
      <c r="CJ843" s="90"/>
      <c r="CK843" s="90"/>
      <c r="CL843" s="90"/>
      <c r="CM843" s="90"/>
      <c r="CN843" s="90"/>
      <c r="CO843" s="90"/>
      <c r="CP843" s="90"/>
      <c r="CQ843" s="90"/>
      <c r="CR843" s="90"/>
      <c r="CS843" s="90"/>
      <c r="CT843" s="90"/>
      <c r="CU843" s="90"/>
      <c r="CV843" s="90"/>
      <c r="CW843" s="90"/>
    </row>
    <row r="844" ht="16.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0"/>
      <c r="BQ844" s="90"/>
      <c r="BR844" s="90"/>
      <c r="BS844" s="90"/>
      <c r="BT844" s="90"/>
      <c r="BU844" s="90"/>
      <c r="BV844" s="90"/>
      <c r="BW844" s="90"/>
      <c r="BX844" s="90"/>
      <c r="BY844" s="90"/>
      <c r="BZ844" s="90"/>
      <c r="CA844" s="90"/>
      <c r="CB844" s="90"/>
      <c r="CC844" s="90"/>
      <c r="CD844" s="90"/>
      <c r="CE844" s="90"/>
      <c r="CF844" s="90"/>
      <c r="CG844" s="90"/>
      <c r="CH844" s="90"/>
      <c r="CI844" s="90"/>
      <c r="CJ844" s="90"/>
      <c r="CK844" s="90"/>
      <c r="CL844" s="90"/>
      <c r="CM844" s="90"/>
      <c r="CN844" s="90"/>
      <c r="CO844" s="90"/>
      <c r="CP844" s="90"/>
      <c r="CQ844" s="90"/>
      <c r="CR844" s="90"/>
      <c r="CS844" s="90"/>
      <c r="CT844" s="90"/>
      <c r="CU844" s="90"/>
      <c r="CV844" s="90"/>
      <c r="CW844" s="90"/>
    </row>
    <row r="845" ht="16.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H845" s="90"/>
      <c r="BI845" s="90"/>
      <c r="BJ845" s="90"/>
      <c r="BK845" s="90"/>
      <c r="BL845" s="90"/>
      <c r="BM845" s="90"/>
      <c r="BN845" s="90"/>
      <c r="BO845" s="90"/>
      <c r="BP845" s="90"/>
      <c r="BQ845" s="90"/>
      <c r="BR845" s="90"/>
      <c r="BS845" s="90"/>
      <c r="BT845" s="90"/>
      <c r="BU845" s="90"/>
      <c r="BV845" s="90"/>
      <c r="BW845" s="90"/>
      <c r="BX845" s="90"/>
      <c r="BY845" s="90"/>
      <c r="BZ845" s="90"/>
      <c r="CA845" s="90"/>
      <c r="CB845" s="90"/>
      <c r="CC845" s="90"/>
      <c r="CD845" s="90"/>
      <c r="CE845" s="90"/>
      <c r="CF845" s="90"/>
      <c r="CG845" s="90"/>
      <c r="CH845" s="90"/>
      <c r="CI845" s="90"/>
      <c r="CJ845" s="90"/>
      <c r="CK845" s="90"/>
      <c r="CL845" s="90"/>
      <c r="CM845" s="90"/>
      <c r="CN845" s="90"/>
      <c r="CO845" s="90"/>
      <c r="CP845" s="90"/>
      <c r="CQ845" s="90"/>
      <c r="CR845" s="90"/>
      <c r="CS845" s="90"/>
      <c r="CT845" s="90"/>
      <c r="CU845" s="90"/>
      <c r="CV845" s="90"/>
      <c r="CW845" s="90"/>
    </row>
    <row r="846" ht="16.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0"/>
      <c r="BQ846" s="90"/>
      <c r="BR846" s="90"/>
      <c r="BS846" s="90"/>
      <c r="BT846" s="90"/>
      <c r="BU846" s="90"/>
      <c r="BV846" s="90"/>
      <c r="BW846" s="90"/>
      <c r="BX846" s="90"/>
      <c r="BY846" s="90"/>
      <c r="BZ846" s="90"/>
      <c r="CA846" s="90"/>
      <c r="CB846" s="90"/>
      <c r="CC846" s="90"/>
      <c r="CD846" s="90"/>
      <c r="CE846" s="90"/>
      <c r="CF846" s="90"/>
      <c r="CG846" s="90"/>
      <c r="CH846" s="90"/>
      <c r="CI846" s="90"/>
      <c r="CJ846" s="90"/>
      <c r="CK846" s="90"/>
      <c r="CL846" s="90"/>
      <c r="CM846" s="90"/>
      <c r="CN846" s="90"/>
      <c r="CO846" s="90"/>
      <c r="CP846" s="90"/>
      <c r="CQ846" s="90"/>
      <c r="CR846" s="90"/>
      <c r="CS846" s="90"/>
      <c r="CT846" s="90"/>
      <c r="CU846" s="90"/>
      <c r="CV846" s="90"/>
      <c r="CW846" s="90"/>
    </row>
    <row r="847" ht="16.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90"/>
      <c r="BI847" s="90"/>
      <c r="BJ847" s="90"/>
      <c r="BK847" s="90"/>
      <c r="BL847" s="90"/>
      <c r="BM847" s="90"/>
      <c r="BN847" s="90"/>
      <c r="BO847" s="90"/>
      <c r="BP847" s="90"/>
      <c r="BQ847" s="90"/>
      <c r="BR847" s="90"/>
      <c r="BS847" s="90"/>
      <c r="BT847" s="90"/>
      <c r="BU847" s="90"/>
      <c r="BV847" s="90"/>
      <c r="BW847" s="90"/>
      <c r="BX847" s="90"/>
      <c r="BY847" s="90"/>
      <c r="BZ847" s="90"/>
      <c r="CA847" s="90"/>
      <c r="CB847" s="90"/>
      <c r="CC847" s="90"/>
      <c r="CD847" s="90"/>
      <c r="CE847" s="90"/>
      <c r="CF847" s="90"/>
      <c r="CG847" s="90"/>
      <c r="CH847" s="90"/>
      <c r="CI847" s="90"/>
      <c r="CJ847" s="90"/>
      <c r="CK847" s="90"/>
      <c r="CL847" s="90"/>
      <c r="CM847" s="90"/>
      <c r="CN847" s="90"/>
      <c r="CO847" s="90"/>
      <c r="CP847" s="90"/>
      <c r="CQ847" s="90"/>
      <c r="CR847" s="90"/>
      <c r="CS847" s="90"/>
      <c r="CT847" s="90"/>
      <c r="CU847" s="90"/>
      <c r="CV847" s="90"/>
      <c r="CW847" s="90"/>
    </row>
    <row r="848" ht="16.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0"/>
      <c r="BQ848" s="90"/>
      <c r="BR848" s="90"/>
      <c r="BS848" s="90"/>
      <c r="BT848" s="90"/>
      <c r="BU848" s="90"/>
      <c r="BV848" s="90"/>
      <c r="BW848" s="90"/>
      <c r="BX848" s="90"/>
      <c r="BY848" s="90"/>
      <c r="BZ848" s="90"/>
      <c r="CA848" s="90"/>
      <c r="CB848" s="90"/>
      <c r="CC848" s="90"/>
      <c r="CD848" s="90"/>
      <c r="CE848" s="90"/>
      <c r="CF848" s="90"/>
      <c r="CG848" s="90"/>
      <c r="CH848" s="90"/>
      <c r="CI848" s="90"/>
      <c r="CJ848" s="90"/>
      <c r="CK848" s="90"/>
      <c r="CL848" s="90"/>
      <c r="CM848" s="90"/>
      <c r="CN848" s="90"/>
      <c r="CO848" s="90"/>
      <c r="CP848" s="90"/>
      <c r="CQ848" s="90"/>
      <c r="CR848" s="90"/>
      <c r="CS848" s="90"/>
      <c r="CT848" s="90"/>
      <c r="CU848" s="90"/>
      <c r="CV848" s="90"/>
      <c r="CW848" s="90"/>
    </row>
    <row r="849" ht="16.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H849" s="90"/>
      <c r="BI849" s="90"/>
      <c r="BJ849" s="90"/>
      <c r="BK849" s="90"/>
      <c r="BL849" s="90"/>
      <c r="BM849" s="90"/>
      <c r="BN849" s="90"/>
      <c r="BO849" s="90"/>
      <c r="BP849" s="90"/>
      <c r="BQ849" s="90"/>
      <c r="BR849" s="90"/>
      <c r="BS849" s="90"/>
      <c r="BT849" s="90"/>
      <c r="BU849" s="90"/>
      <c r="BV849" s="90"/>
      <c r="BW849" s="90"/>
      <c r="BX849" s="90"/>
      <c r="BY849" s="90"/>
      <c r="BZ849" s="90"/>
      <c r="CA849" s="90"/>
      <c r="CB849" s="90"/>
      <c r="CC849" s="90"/>
      <c r="CD849" s="90"/>
      <c r="CE849" s="90"/>
      <c r="CF849" s="90"/>
      <c r="CG849" s="90"/>
      <c r="CH849" s="90"/>
      <c r="CI849" s="90"/>
      <c r="CJ849" s="90"/>
      <c r="CK849" s="90"/>
      <c r="CL849" s="90"/>
      <c r="CM849" s="90"/>
      <c r="CN849" s="90"/>
      <c r="CO849" s="90"/>
      <c r="CP849" s="90"/>
      <c r="CQ849" s="90"/>
      <c r="CR849" s="90"/>
      <c r="CS849" s="90"/>
      <c r="CT849" s="90"/>
      <c r="CU849" s="90"/>
      <c r="CV849" s="90"/>
      <c r="CW849" s="90"/>
    </row>
    <row r="850" ht="16.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0"/>
      <c r="BQ850" s="90"/>
      <c r="BR850" s="90"/>
      <c r="BS850" s="90"/>
      <c r="BT850" s="90"/>
      <c r="BU850" s="90"/>
      <c r="BV850" s="90"/>
      <c r="BW850" s="90"/>
      <c r="BX850" s="90"/>
      <c r="BY850" s="90"/>
      <c r="BZ850" s="90"/>
      <c r="CA850" s="90"/>
      <c r="CB850" s="90"/>
      <c r="CC850" s="90"/>
      <c r="CD850" s="90"/>
      <c r="CE850" s="90"/>
      <c r="CF850" s="90"/>
      <c r="CG850" s="90"/>
      <c r="CH850" s="90"/>
      <c r="CI850" s="90"/>
      <c r="CJ850" s="90"/>
      <c r="CK850" s="90"/>
      <c r="CL850" s="90"/>
      <c r="CM850" s="90"/>
      <c r="CN850" s="90"/>
      <c r="CO850" s="90"/>
      <c r="CP850" s="90"/>
      <c r="CQ850" s="90"/>
      <c r="CR850" s="90"/>
      <c r="CS850" s="90"/>
      <c r="CT850" s="90"/>
      <c r="CU850" s="90"/>
      <c r="CV850" s="90"/>
      <c r="CW850" s="90"/>
    </row>
    <row r="851" ht="16.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H851" s="90"/>
      <c r="BI851" s="90"/>
      <c r="BJ851" s="90"/>
      <c r="BK851" s="90"/>
      <c r="BL851" s="90"/>
      <c r="BM851" s="90"/>
      <c r="BN851" s="90"/>
      <c r="BO851" s="90"/>
      <c r="BP851" s="90"/>
      <c r="BQ851" s="90"/>
      <c r="BR851" s="90"/>
      <c r="BS851" s="90"/>
      <c r="BT851" s="90"/>
      <c r="BU851" s="90"/>
      <c r="BV851" s="90"/>
      <c r="BW851" s="90"/>
      <c r="BX851" s="90"/>
      <c r="BY851" s="90"/>
      <c r="BZ851" s="90"/>
      <c r="CA851" s="90"/>
      <c r="CB851" s="90"/>
      <c r="CC851" s="90"/>
      <c r="CD851" s="90"/>
      <c r="CE851" s="90"/>
      <c r="CF851" s="90"/>
      <c r="CG851" s="90"/>
      <c r="CH851" s="90"/>
      <c r="CI851" s="90"/>
      <c r="CJ851" s="90"/>
      <c r="CK851" s="90"/>
      <c r="CL851" s="90"/>
      <c r="CM851" s="90"/>
      <c r="CN851" s="90"/>
      <c r="CO851" s="90"/>
      <c r="CP851" s="90"/>
      <c r="CQ851" s="90"/>
      <c r="CR851" s="90"/>
      <c r="CS851" s="90"/>
      <c r="CT851" s="90"/>
      <c r="CU851" s="90"/>
      <c r="CV851" s="90"/>
      <c r="CW851" s="90"/>
    </row>
    <row r="852" ht="16.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0"/>
      <c r="BQ852" s="90"/>
      <c r="BR852" s="90"/>
      <c r="BS852" s="90"/>
      <c r="BT852" s="90"/>
      <c r="BU852" s="90"/>
      <c r="BV852" s="90"/>
      <c r="BW852" s="90"/>
      <c r="BX852" s="90"/>
      <c r="BY852" s="90"/>
      <c r="BZ852" s="90"/>
      <c r="CA852" s="90"/>
      <c r="CB852" s="90"/>
      <c r="CC852" s="90"/>
      <c r="CD852" s="90"/>
      <c r="CE852" s="90"/>
      <c r="CF852" s="90"/>
      <c r="CG852" s="90"/>
      <c r="CH852" s="90"/>
      <c r="CI852" s="90"/>
      <c r="CJ852" s="90"/>
      <c r="CK852" s="90"/>
      <c r="CL852" s="90"/>
      <c r="CM852" s="90"/>
      <c r="CN852" s="90"/>
      <c r="CO852" s="90"/>
      <c r="CP852" s="90"/>
      <c r="CQ852" s="90"/>
      <c r="CR852" s="90"/>
      <c r="CS852" s="90"/>
      <c r="CT852" s="90"/>
      <c r="CU852" s="90"/>
      <c r="CV852" s="90"/>
      <c r="CW852" s="90"/>
    </row>
    <row r="853" ht="16.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H853" s="90"/>
      <c r="BI853" s="90"/>
      <c r="BJ853" s="90"/>
      <c r="BK853" s="90"/>
      <c r="BL853" s="90"/>
      <c r="BM853" s="90"/>
      <c r="BN853" s="90"/>
      <c r="BO853" s="90"/>
      <c r="BP853" s="90"/>
      <c r="BQ853" s="90"/>
      <c r="BR853" s="90"/>
      <c r="BS853" s="90"/>
      <c r="BT853" s="90"/>
      <c r="BU853" s="90"/>
      <c r="BV853" s="90"/>
      <c r="BW853" s="90"/>
      <c r="BX853" s="90"/>
      <c r="BY853" s="90"/>
      <c r="BZ853" s="90"/>
      <c r="CA853" s="90"/>
      <c r="CB853" s="90"/>
      <c r="CC853" s="90"/>
      <c r="CD853" s="90"/>
      <c r="CE853" s="90"/>
      <c r="CF853" s="90"/>
      <c r="CG853" s="90"/>
      <c r="CH853" s="90"/>
      <c r="CI853" s="90"/>
      <c r="CJ853" s="90"/>
      <c r="CK853" s="90"/>
      <c r="CL853" s="90"/>
      <c r="CM853" s="90"/>
      <c r="CN853" s="90"/>
      <c r="CO853" s="90"/>
      <c r="CP853" s="90"/>
      <c r="CQ853" s="90"/>
      <c r="CR853" s="90"/>
      <c r="CS853" s="90"/>
      <c r="CT853" s="90"/>
      <c r="CU853" s="90"/>
      <c r="CV853" s="90"/>
      <c r="CW853" s="90"/>
    </row>
    <row r="854" ht="16.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0"/>
      <c r="BQ854" s="90"/>
      <c r="BR854" s="90"/>
      <c r="BS854" s="90"/>
      <c r="BT854" s="90"/>
      <c r="BU854" s="90"/>
      <c r="BV854" s="90"/>
      <c r="BW854" s="90"/>
      <c r="BX854" s="90"/>
      <c r="BY854" s="90"/>
      <c r="BZ854" s="90"/>
      <c r="CA854" s="90"/>
      <c r="CB854" s="90"/>
      <c r="CC854" s="90"/>
      <c r="CD854" s="90"/>
      <c r="CE854" s="90"/>
      <c r="CF854" s="90"/>
      <c r="CG854" s="90"/>
      <c r="CH854" s="90"/>
      <c r="CI854" s="90"/>
      <c r="CJ854" s="90"/>
      <c r="CK854" s="90"/>
      <c r="CL854" s="90"/>
      <c r="CM854" s="90"/>
      <c r="CN854" s="90"/>
      <c r="CO854" s="90"/>
      <c r="CP854" s="90"/>
      <c r="CQ854" s="90"/>
      <c r="CR854" s="90"/>
      <c r="CS854" s="90"/>
      <c r="CT854" s="90"/>
      <c r="CU854" s="90"/>
      <c r="CV854" s="90"/>
      <c r="CW854" s="90"/>
    </row>
    <row r="855" ht="16.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H855" s="90"/>
      <c r="BI855" s="90"/>
      <c r="BJ855" s="90"/>
      <c r="BK855" s="90"/>
      <c r="BL855" s="90"/>
      <c r="BM855" s="90"/>
      <c r="BN855" s="90"/>
      <c r="BO855" s="90"/>
      <c r="BP855" s="90"/>
      <c r="BQ855" s="90"/>
      <c r="BR855" s="90"/>
      <c r="BS855" s="90"/>
      <c r="BT855" s="90"/>
      <c r="BU855" s="90"/>
      <c r="BV855" s="90"/>
      <c r="BW855" s="90"/>
      <c r="BX855" s="90"/>
      <c r="BY855" s="90"/>
      <c r="BZ855" s="90"/>
      <c r="CA855" s="90"/>
      <c r="CB855" s="90"/>
      <c r="CC855" s="90"/>
      <c r="CD855" s="90"/>
      <c r="CE855" s="90"/>
      <c r="CF855" s="90"/>
      <c r="CG855" s="90"/>
      <c r="CH855" s="90"/>
      <c r="CI855" s="90"/>
      <c r="CJ855" s="90"/>
      <c r="CK855" s="90"/>
      <c r="CL855" s="90"/>
      <c r="CM855" s="90"/>
      <c r="CN855" s="90"/>
      <c r="CO855" s="90"/>
      <c r="CP855" s="90"/>
      <c r="CQ855" s="90"/>
      <c r="CR855" s="90"/>
      <c r="CS855" s="90"/>
      <c r="CT855" s="90"/>
      <c r="CU855" s="90"/>
      <c r="CV855" s="90"/>
      <c r="CW855" s="90"/>
    </row>
    <row r="856" ht="16.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0"/>
      <c r="BQ856" s="90"/>
      <c r="BR856" s="90"/>
      <c r="BS856" s="90"/>
      <c r="BT856" s="90"/>
      <c r="BU856" s="90"/>
      <c r="BV856" s="90"/>
      <c r="BW856" s="90"/>
      <c r="BX856" s="90"/>
      <c r="BY856" s="90"/>
      <c r="BZ856" s="90"/>
      <c r="CA856" s="90"/>
      <c r="CB856" s="90"/>
      <c r="CC856" s="90"/>
      <c r="CD856" s="90"/>
      <c r="CE856" s="90"/>
      <c r="CF856" s="90"/>
      <c r="CG856" s="90"/>
      <c r="CH856" s="90"/>
      <c r="CI856" s="90"/>
      <c r="CJ856" s="90"/>
      <c r="CK856" s="90"/>
      <c r="CL856" s="90"/>
      <c r="CM856" s="90"/>
      <c r="CN856" s="90"/>
      <c r="CO856" s="90"/>
      <c r="CP856" s="90"/>
      <c r="CQ856" s="90"/>
      <c r="CR856" s="90"/>
      <c r="CS856" s="90"/>
      <c r="CT856" s="90"/>
      <c r="CU856" s="90"/>
      <c r="CV856" s="90"/>
      <c r="CW856" s="90"/>
    </row>
    <row r="857" ht="16.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H857" s="90"/>
      <c r="BI857" s="90"/>
      <c r="BJ857" s="90"/>
      <c r="BK857" s="90"/>
      <c r="BL857" s="90"/>
      <c r="BM857" s="90"/>
      <c r="BN857" s="90"/>
      <c r="BO857" s="90"/>
      <c r="BP857" s="90"/>
      <c r="BQ857" s="90"/>
      <c r="BR857" s="90"/>
      <c r="BS857" s="90"/>
      <c r="BT857" s="90"/>
      <c r="BU857" s="90"/>
      <c r="BV857" s="90"/>
      <c r="BW857" s="90"/>
      <c r="BX857" s="90"/>
      <c r="BY857" s="90"/>
      <c r="BZ857" s="90"/>
      <c r="CA857" s="90"/>
      <c r="CB857" s="90"/>
      <c r="CC857" s="90"/>
      <c r="CD857" s="90"/>
      <c r="CE857" s="90"/>
      <c r="CF857" s="90"/>
      <c r="CG857" s="90"/>
      <c r="CH857" s="90"/>
      <c r="CI857" s="90"/>
      <c r="CJ857" s="90"/>
      <c r="CK857" s="90"/>
      <c r="CL857" s="90"/>
      <c r="CM857" s="90"/>
      <c r="CN857" s="90"/>
      <c r="CO857" s="90"/>
      <c r="CP857" s="90"/>
      <c r="CQ857" s="90"/>
      <c r="CR857" s="90"/>
      <c r="CS857" s="90"/>
      <c r="CT857" s="90"/>
      <c r="CU857" s="90"/>
      <c r="CV857" s="90"/>
      <c r="CW857" s="90"/>
    </row>
    <row r="858" ht="16.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0"/>
      <c r="BQ858" s="90"/>
      <c r="BR858" s="90"/>
      <c r="BS858" s="90"/>
      <c r="BT858" s="90"/>
      <c r="BU858" s="90"/>
      <c r="BV858" s="90"/>
      <c r="BW858" s="90"/>
      <c r="BX858" s="90"/>
      <c r="BY858" s="90"/>
      <c r="BZ858" s="90"/>
      <c r="CA858" s="90"/>
      <c r="CB858" s="90"/>
      <c r="CC858" s="90"/>
      <c r="CD858" s="90"/>
      <c r="CE858" s="90"/>
      <c r="CF858" s="90"/>
      <c r="CG858" s="90"/>
      <c r="CH858" s="90"/>
      <c r="CI858" s="90"/>
      <c r="CJ858" s="90"/>
      <c r="CK858" s="90"/>
      <c r="CL858" s="90"/>
      <c r="CM858" s="90"/>
      <c r="CN858" s="90"/>
      <c r="CO858" s="90"/>
      <c r="CP858" s="90"/>
      <c r="CQ858" s="90"/>
      <c r="CR858" s="90"/>
      <c r="CS858" s="90"/>
      <c r="CT858" s="90"/>
      <c r="CU858" s="90"/>
      <c r="CV858" s="90"/>
      <c r="CW858" s="90"/>
    </row>
    <row r="859" ht="16.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H859" s="90"/>
      <c r="BI859" s="90"/>
      <c r="BJ859" s="90"/>
      <c r="BK859" s="90"/>
      <c r="BL859" s="90"/>
      <c r="BM859" s="90"/>
      <c r="BN859" s="90"/>
      <c r="BO859" s="90"/>
      <c r="BP859" s="90"/>
      <c r="BQ859" s="90"/>
      <c r="BR859" s="90"/>
      <c r="BS859" s="90"/>
      <c r="BT859" s="90"/>
      <c r="BU859" s="90"/>
      <c r="BV859" s="90"/>
      <c r="BW859" s="90"/>
      <c r="BX859" s="90"/>
      <c r="BY859" s="90"/>
      <c r="BZ859" s="90"/>
      <c r="CA859" s="90"/>
      <c r="CB859" s="90"/>
      <c r="CC859" s="90"/>
      <c r="CD859" s="90"/>
      <c r="CE859" s="90"/>
      <c r="CF859" s="90"/>
      <c r="CG859" s="90"/>
      <c r="CH859" s="90"/>
      <c r="CI859" s="90"/>
      <c r="CJ859" s="90"/>
      <c r="CK859" s="90"/>
      <c r="CL859" s="90"/>
      <c r="CM859" s="90"/>
      <c r="CN859" s="90"/>
      <c r="CO859" s="90"/>
      <c r="CP859" s="90"/>
      <c r="CQ859" s="90"/>
      <c r="CR859" s="90"/>
      <c r="CS859" s="90"/>
      <c r="CT859" s="90"/>
      <c r="CU859" s="90"/>
      <c r="CV859" s="90"/>
      <c r="CW859" s="90"/>
    </row>
    <row r="860" ht="16.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0"/>
      <c r="BQ860" s="90"/>
      <c r="BR860" s="90"/>
      <c r="BS860" s="90"/>
      <c r="BT860" s="90"/>
      <c r="BU860" s="90"/>
      <c r="BV860" s="90"/>
      <c r="BW860" s="90"/>
      <c r="BX860" s="90"/>
      <c r="BY860" s="90"/>
      <c r="BZ860" s="90"/>
      <c r="CA860" s="90"/>
      <c r="CB860" s="90"/>
      <c r="CC860" s="90"/>
      <c r="CD860" s="90"/>
      <c r="CE860" s="90"/>
      <c r="CF860" s="90"/>
      <c r="CG860" s="90"/>
      <c r="CH860" s="90"/>
      <c r="CI860" s="90"/>
      <c r="CJ860" s="90"/>
      <c r="CK860" s="90"/>
      <c r="CL860" s="90"/>
      <c r="CM860" s="90"/>
      <c r="CN860" s="90"/>
      <c r="CO860" s="90"/>
      <c r="CP860" s="90"/>
      <c r="CQ860" s="90"/>
      <c r="CR860" s="90"/>
      <c r="CS860" s="90"/>
      <c r="CT860" s="90"/>
      <c r="CU860" s="90"/>
      <c r="CV860" s="90"/>
      <c r="CW860" s="90"/>
    </row>
    <row r="861" ht="16.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H861" s="90"/>
      <c r="BI861" s="90"/>
      <c r="BJ861" s="90"/>
      <c r="BK861" s="90"/>
      <c r="BL861" s="90"/>
      <c r="BM861" s="90"/>
      <c r="BN861" s="90"/>
      <c r="BO861" s="90"/>
      <c r="BP861" s="90"/>
      <c r="BQ861" s="90"/>
      <c r="BR861" s="90"/>
      <c r="BS861" s="90"/>
      <c r="BT861" s="90"/>
      <c r="BU861" s="90"/>
      <c r="BV861" s="90"/>
      <c r="BW861" s="90"/>
      <c r="BX861" s="90"/>
      <c r="BY861" s="90"/>
      <c r="BZ861" s="90"/>
      <c r="CA861" s="90"/>
      <c r="CB861" s="90"/>
      <c r="CC861" s="90"/>
      <c r="CD861" s="90"/>
      <c r="CE861" s="90"/>
      <c r="CF861" s="90"/>
      <c r="CG861" s="90"/>
      <c r="CH861" s="90"/>
      <c r="CI861" s="90"/>
      <c r="CJ861" s="90"/>
      <c r="CK861" s="90"/>
      <c r="CL861" s="90"/>
      <c r="CM861" s="90"/>
      <c r="CN861" s="90"/>
      <c r="CO861" s="90"/>
      <c r="CP861" s="90"/>
      <c r="CQ861" s="90"/>
      <c r="CR861" s="90"/>
      <c r="CS861" s="90"/>
      <c r="CT861" s="90"/>
      <c r="CU861" s="90"/>
      <c r="CV861" s="90"/>
      <c r="CW861" s="90"/>
    </row>
    <row r="862" ht="16.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0"/>
      <c r="BQ862" s="90"/>
      <c r="BR862" s="90"/>
      <c r="BS862" s="90"/>
      <c r="BT862" s="90"/>
      <c r="BU862" s="90"/>
      <c r="BV862" s="90"/>
      <c r="BW862" s="90"/>
      <c r="BX862" s="90"/>
      <c r="BY862" s="90"/>
      <c r="BZ862" s="90"/>
      <c r="CA862" s="90"/>
      <c r="CB862" s="90"/>
      <c r="CC862" s="90"/>
      <c r="CD862" s="90"/>
      <c r="CE862" s="90"/>
      <c r="CF862" s="90"/>
      <c r="CG862" s="90"/>
      <c r="CH862" s="90"/>
      <c r="CI862" s="90"/>
      <c r="CJ862" s="90"/>
      <c r="CK862" s="90"/>
      <c r="CL862" s="90"/>
      <c r="CM862" s="90"/>
      <c r="CN862" s="90"/>
      <c r="CO862" s="90"/>
      <c r="CP862" s="90"/>
      <c r="CQ862" s="90"/>
      <c r="CR862" s="90"/>
      <c r="CS862" s="90"/>
      <c r="CT862" s="90"/>
      <c r="CU862" s="90"/>
      <c r="CV862" s="90"/>
      <c r="CW862" s="90"/>
    </row>
    <row r="863" ht="16.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H863" s="90"/>
      <c r="BI863" s="90"/>
      <c r="BJ863" s="90"/>
      <c r="BK863" s="90"/>
      <c r="BL863" s="90"/>
      <c r="BM863" s="90"/>
      <c r="BN863" s="90"/>
      <c r="BO863" s="90"/>
      <c r="BP863" s="90"/>
      <c r="BQ863" s="90"/>
      <c r="BR863" s="90"/>
      <c r="BS863" s="90"/>
      <c r="BT863" s="90"/>
      <c r="BU863" s="90"/>
      <c r="BV863" s="90"/>
      <c r="BW863" s="90"/>
      <c r="BX863" s="90"/>
      <c r="BY863" s="90"/>
      <c r="BZ863" s="90"/>
      <c r="CA863" s="90"/>
      <c r="CB863" s="90"/>
      <c r="CC863" s="90"/>
      <c r="CD863" s="90"/>
      <c r="CE863" s="90"/>
      <c r="CF863" s="90"/>
      <c r="CG863" s="90"/>
      <c r="CH863" s="90"/>
      <c r="CI863" s="90"/>
      <c r="CJ863" s="90"/>
      <c r="CK863" s="90"/>
      <c r="CL863" s="90"/>
      <c r="CM863" s="90"/>
      <c r="CN863" s="90"/>
      <c r="CO863" s="90"/>
      <c r="CP863" s="90"/>
      <c r="CQ863" s="90"/>
      <c r="CR863" s="90"/>
      <c r="CS863" s="90"/>
      <c r="CT863" s="90"/>
      <c r="CU863" s="90"/>
      <c r="CV863" s="90"/>
      <c r="CW863" s="90"/>
    </row>
    <row r="864" ht="16.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0"/>
      <c r="BQ864" s="90"/>
      <c r="BR864" s="90"/>
      <c r="BS864" s="90"/>
      <c r="BT864" s="90"/>
      <c r="BU864" s="90"/>
      <c r="BV864" s="90"/>
      <c r="BW864" s="90"/>
      <c r="BX864" s="90"/>
      <c r="BY864" s="90"/>
      <c r="BZ864" s="90"/>
      <c r="CA864" s="90"/>
      <c r="CB864" s="90"/>
      <c r="CC864" s="90"/>
      <c r="CD864" s="90"/>
      <c r="CE864" s="90"/>
      <c r="CF864" s="90"/>
      <c r="CG864" s="90"/>
      <c r="CH864" s="90"/>
      <c r="CI864" s="90"/>
      <c r="CJ864" s="90"/>
      <c r="CK864" s="90"/>
      <c r="CL864" s="90"/>
      <c r="CM864" s="90"/>
      <c r="CN864" s="90"/>
      <c r="CO864" s="90"/>
      <c r="CP864" s="90"/>
      <c r="CQ864" s="90"/>
      <c r="CR864" s="90"/>
      <c r="CS864" s="90"/>
      <c r="CT864" s="90"/>
      <c r="CU864" s="90"/>
      <c r="CV864" s="90"/>
      <c r="CW864" s="90"/>
    </row>
    <row r="865" ht="16.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H865" s="90"/>
      <c r="BI865" s="90"/>
      <c r="BJ865" s="90"/>
      <c r="BK865" s="90"/>
      <c r="BL865" s="90"/>
      <c r="BM865" s="90"/>
      <c r="BN865" s="90"/>
      <c r="BO865" s="90"/>
      <c r="BP865" s="90"/>
      <c r="BQ865" s="90"/>
      <c r="BR865" s="90"/>
      <c r="BS865" s="90"/>
      <c r="BT865" s="90"/>
      <c r="BU865" s="90"/>
      <c r="BV865" s="90"/>
      <c r="BW865" s="90"/>
      <c r="BX865" s="90"/>
      <c r="BY865" s="90"/>
      <c r="BZ865" s="90"/>
      <c r="CA865" s="90"/>
      <c r="CB865" s="90"/>
      <c r="CC865" s="90"/>
      <c r="CD865" s="90"/>
      <c r="CE865" s="90"/>
      <c r="CF865" s="90"/>
      <c r="CG865" s="90"/>
      <c r="CH865" s="90"/>
      <c r="CI865" s="90"/>
      <c r="CJ865" s="90"/>
      <c r="CK865" s="90"/>
      <c r="CL865" s="90"/>
      <c r="CM865" s="90"/>
      <c r="CN865" s="90"/>
      <c r="CO865" s="90"/>
      <c r="CP865" s="90"/>
      <c r="CQ865" s="90"/>
      <c r="CR865" s="90"/>
      <c r="CS865" s="90"/>
      <c r="CT865" s="90"/>
      <c r="CU865" s="90"/>
      <c r="CV865" s="90"/>
      <c r="CW865" s="90"/>
    </row>
    <row r="866" ht="16.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0"/>
      <c r="BQ866" s="90"/>
      <c r="BR866" s="90"/>
      <c r="BS866" s="90"/>
      <c r="BT866" s="90"/>
      <c r="BU866" s="90"/>
      <c r="BV866" s="90"/>
      <c r="BW866" s="90"/>
      <c r="BX866" s="90"/>
      <c r="BY866" s="90"/>
      <c r="BZ866" s="90"/>
      <c r="CA866" s="90"/>
      <c r="CB866" s="90"/>
      <c r="CC866" s="90"/>
      <c r="CD866" s="90"/>
      <c r="CE866" s="90"/>
      <c r="CF866" s="90"/>
      <c r="CG866" s="90"/>
      <c r="CH866" s="90"/>
      <c r="CI866" s="90"/>
      <c r="CJ866" s="90"/>
      <c r="CK866" s="90"/>
      <c r="CL866" s="90"/>
      <c r="CM866" s="90"/>
      <c r="CN866" s="90"/>
      <c r="CO866" s="90"/>
      <c r="CP866" s="90"/>
      <c r="CQ866" s="90"/>
      <c r="CR866" s="90"/>
      <c r="CS866" s="90"/>
      <c r="CT866" s="90"/>
      <c r="CU866" s="90"/>
      <c r="CV866" s="90"/>
      <c r="CW866" s="90"/>
    </row>
    <row r="867" ht="16.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H867" s="90"/>
      <c r="BI867" s="90"/>
      <c r="BJ867" s="90"/>
      <c r="BK867" s="90"/>
      <c r="BL867" s="90"/>
      <c r="BM867" s="90"/>
      <c r="BN867" s="90"/>
      <c r="BO867" s="90"/>
      <c r="BP867" s="90"/>
      <c r="BQ867" s="90"/>
      <c r="BR867" s="90"/>
      <c r="BS867" s="90"/>
      <c r="BT867" s="90"/>
      <c r="BU867" s="90"/>
      <c r="BV867" s="90"/>
      <c r="BW867" s="90"/>
      <c r="BX867" s="90"/>
      <c r="BY867" s="90"/>
      <c r="BZ867" s="90"/>
      <c r="CA867" s="90"/>
      <c r="CB867" s="90"/>
      <c r="CC867" s="90"/>
      <c r="CD867" s="90"/>
      <c r="CE867" s="90"/>
      <c r="CF867" s="90"/>
      <c r="CG867" s="90"/>
      <c r="CH867" s="90"/>
      <c r="CI867" s="90"/>
      <c r="CJ867" s="90"/>
      <c r="CK867" s="90"/>
      <c r="CL867" s="90"/>
      <c r="CM867" s="90"/>
      <c r="CN867" s="90"/>
      <c r="CO867" s="90"/>
      <c r="CP867" s="90"/>
      <c r="CQ867" s="90"/>
      <c r="CR867" s="90"/>
      <c r="CS867" s="90"/>
      <c r="CT867" s="90"/>
      <c r="CU867" s="90"/>
      <c r="CV867" s="90"/>
      <c r="CW867" s="90"/>
    </row>
    <row r="868" ht="16.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0"/>
      <c r="BQ868" s="90"/>
      <c r="BR868" s="90"/>
      <c r="BS868" s="90"/>
      <c r="BT868" s="90"/>
      <c r="BU868" s="90"/>
      <c r="BV868" s="90"/>
      <c r="BW868" s="90"/>
      <c r="BX868" s="90"/>
      <c r="BY868" s="90"/>
      <c r="BZ868" s="90"/>
      <c r="CA868" s="90"/>
      <c r="CB868" s="90"/>
      <c r="CC868" s="90"/>
      <c r="CD868" s="90"/>
      <c r="CE868" s="90"/>
      <c r="CF868" s="90"/>
      <c r="CG868" s="90"/>
      <c r="CH868" s="90"/>
      <c r="CI868" s="90"/>
      <c r="CJ868" s="90"/>
      <c r="CK868" s="90"/>
      <c r="CL868" s="90"/>
      <c r="CM868" s="90"/>
      <c r="CN868" s="90"/>
      <c r="CO868" s="90"/>
      <c r="CP868" s="90"/>
      <c r="CQ868" s="90"/>
      <c r="CR868" s="90"/>
      <c r="CS868" s="90"/>
      <c r="CT868" s="90"/>
      <c r="CU868" s="90"/>
      <c r="CV868" s="90"/>
      <c r="CW868" s="90"/>
    </row>
    <row r="869" ht="16.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H869" s="90"/>
      <c r="BI869" s="90"/>
      <c r="BJ869" s="90"/>
      <c r="BK869" s="90"/>
      <c r="BL869" s="90"/>
      <c r="BM869" s="90"/>
      <c r="BN869" s="90"/>
      <c r="BO869" s="90"/>
      <c r="BP869" s="90"/>
      <c r="BQ869" s="90"/>
      <c r="BR869" s="90"/>
      <c r="BS869" s="90"/>
      <c r="BT869" s="90"/>
      <c r="BU869" s="90"/>
      <c r="BV869" s="90"/>
      <c r="BW869" s="90"/>
      <c r="BX869" s="90"/>
      <c r="BY869" s="90"/>
      <c r="BZ869" s="90"/>
      <c r="CA869" s="90"/>
      <c r="CB869" s="90"/>
      <c r="CC869" s="90"/>
      <c r="CD869" s="90"/>
      <c r="CE869" s="90"/>
      <c r="CF869" s="90"/>
      <c r="CG869" s="90"/>
      <c r="CH869" s="90"/>
      <c r="CI869" s="90"/>
      <c r="CJ869" s="90"/>
      <c r="CK869" s="90"/>
      <c r="CL869" s="90"/>
      <c r="CM869" s="90"/>
      <c r="CN869" s="90"/>
      <c r="CO869" s="90"/>
      <c r="CP869" s="90"/>
      <c r="CQ869" s="90"/>
      <c r="CR869" s="90"/>
      <c r="CS869" s="90"/>
      <c r="CT869" s="90"/>
      <c r="CU869" s="90"/>
      <c r="CV869" s="90"/>
      <c r="CW869" s="90"/>
    </row>
    <row r="870" ht="16.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0"/>
      <c r="BQ870" s="90"/>
      <c r="BR870" s="90"/>
      <c r="BS870" s="90"/>
      <c r="BT870" s="90"/>
      <c r="BU870" s="90"/>
      <c r="BV870" s="90"/>
      <c r="BW870" s="90"/>
      <c r="BX870" s="90"/>
      <c r="BY870" s="90"/>
      <c r="BZ870" s="90"/>
      <c r="CA870" s="90"/>
      <c r="CB870" s="90"/>
      <c r="CC870" s="90"/>
      <c r="CD870" s="90"/>
      <c r="CE870" s="90"/>
      <c r="CF870" s="90"/>
      <c r="CG870" s="90"/>
      <c r="CH870" s="90"/>
      <c r="CI870" s="90"/>
      <c r="CJ870" s="90"/>
      <c r="CK870" s="90"/>
      <c r="CL870" s="90"/>
      <c r="CM870" s="90"/>
      <c r="CN870" s="90"/>
      <c r="CO870" s="90"/>
      <c r="CP870" s="90"/>
      <c r="CQ870" s="90"/>
      <c r="CR870" s="90"/>
      <c r="CS870" s="90"/>
      <c r="CT870" s="90"/>
      <c r="CU870" s="90"/>
      <c r="CV870" s="90"/>
      <c r="CW870" s="90"/>
    </row>
    <row r="871" ht="16.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H871" s="90"/>
      <c r="BI871" s="90"/>
      <c r="BJ871" s="90"/>
      <c r="BK871" s="90"/>
      <c r="BL871" s="90"/>
      <c r="BM871" s="90"/>
      <c r="BN871" s="90"/>
      <c r="BO871" s="90"/>
      <c r="BP871" s="90"/>
      <c r="BQ871" s="90"/>
      <c r="BR871" s="90"/>
      <c r="BS871" s="90"/>
      <c r="BT871" s="90"/>
      <c r="BU871" s="90"/>
      <c r="BV871" s="90"/>
      <c r="BW871" s="90"/>
      <c r="BX871" s="90"/>
      <c r="BY871" s="90"/>
      <c r="BZ871" s="90"/>
      <c r="CA871" s="90"/>
      <c r="CB871" s="90"/>
      <c r="CC871" s="90"/>
      <c r="CD871" s="90"/>
      <c r="CE871" s="90"/>
      <c r="CF871" s="90"/>
      <c r="CG871" s="90"/>
      <c r="CH871" s="90"/>
      <c r="CI871" s="90"/>
      <c r="CJ871" s="90"/>
      <c r="CK871" s="90"/>
      <c r="CL871" s="90"/>
      <c r="CM871" s="90"/>
      <c r="CN871" s="90"/>
      <c r="CO871" s="90"/>
      <c r="CP871" s="90"/>
      <c r="CQ871" s="90"/>
      <c r="CR871" s="90"/>
      <c r="CS871" s="90"/>
      <c r="CT871" s="90"/>
      <c r="CU871" s="90"/>
      <c r="CV871" s="90"/>
      <c r="CW871" s="90"/>
    </row>
    <row r="872" ht="16.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0"/>
      <c r="BQ872" s="90"/>
      <c r="BR872" s="90"/>
      <c r="BS872" s="90"/>
      <c r="BT872" s="90"/>
      <c r="BU872" s="90"/>
      <c r="BV872" s="90"/>
      <c r="BW872" s="90"/>
      <c r="BX872" s="90"/>
      <c r="BY872" s="90"/>
      <c r="BZ872" s="90"/>
      <c r="CA872" s="90"/>
      <c r="CB872" s="90"/>
      <c r="CC872" s="90"/>
      <c r="CD872" s="90"/>
      <c r="CE872" s="90"/>
      <c r="CF872" s="90"/>
      <c r="CG872" s="90"/>
      <c r="CH872" s="90"/>
      <c r="CI872" s="90"/>
      <c r="CJ872" s="90"/>
      <c r="CK872" s="90"/>
      <c r="CL872" s="90"/>
      <c r="CM872" s="90"/>
      <c r="CN872" s="90"/>
      <c r="CO872" s="90"/>
      <c r="CP872" s="90"/>
      <c r="CQ872" s="90"/>
      <c r="CR872" s="90"/>
      <c r="CS872" s="90"/>
      <c r="CT872" s="90"/>
      <c r="CU872" s="90"/>
      <c r="CV872" s="90"/>
      <c r="CW872" s="90"/>
    </row>
    <row r="873" ht="16.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H873" s="90"/>
      <c r="BI873" s="90"/>
      <c r="BJ873" s="90"/>
      <c r="BK873" s="90"/>
      <c r="BL873" s="90"/>
      <c r="BM873" s="90"/>
      <c r="BN873" s="90"/>
      <c r="BO873" s="90"/>
      <c r="BP873" s="90"/>
      <c r="BQ873" s="90"/>
      <c r="BR873" s="90"/>
      <c r="BS873" s="90"/>
      <c r="BT873" s="90"/>
      <c r="BU873" s="90"/>
      <c r="BV873" s="90"/>
      <c r="BW873" s="90"/>
      <c r="BX873" s="90"/>
      <c r="BY873" s="90"/>
      <c r="BZ873" s="90"/>
      <c r="CA873" s="90"/>
      <c r="CB873" s="90"/>
      <c r="CC873" s="90"/>
      <c r="CD873" s="90"/>
      <c r="CE873" s="90"/>
      <c r="CF873" s="90"/>
      <c r="CG873" s="90"/>
      <c r="CH873" s="90"/>
      <c r="CI873" s="90"/>
      <c r="CJ873" s="90"/>
      <c r="CK873" s="90"/>
      <c r="CL873" s="90"/>
      <c r="CM873" s="90"/>
      <c r="CN873" s="90"/>
      <c r="CO873" s="90"/>
      <c r="CP873" s="90"/>
      <c r="CQ873" s="90"/>
      <c r="CR873" s="90"/>
      <c r="CS873" s="90"/>
      <c r="CT873" s="90"/>
      <c r="CU873" s="90"/>
      <c r="CV873" s="90"/>
      <c r="CW873" s="90"/>
    </row>
    <row r="874" ht="16.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0"/>
      <c r="BQ874" s="90"/>
      <c r="BR874" s="90"/>
      <c r="BS874" s="90"/>
      <c r="BT874" s="90"/>
      <c r="BU874" s="90"/>
      <c r="BV874" s="90"/>
      <c r="BW874" s="90"/>
      <c r="BX874" s="90"/>
      <c r="BY874" s="90"/>
      <c r="BZ874" s="90"/>
      <c r="CA874" s="90"/>
      <c r="CB874" s="90"/>
      <c r="CC874" s="90"/>
      <c r="CD874" s="90"/>
      <c r="CE874" s="90"/>
      <c r="CF874" s="90"/>
      <c r="CG874" s="90"/>
      <c r="CH874" s="90"/>
      <c r="CI874" s="90"/>
      <c r="CJ874" s="90"/>
      <c r="CK874" s="90"/>
      <c r="CL874" s="90"/>
      <c r="CM874" s="90"/>
      <c r="CN874" s="90"/>
      <c r="CO874" s="90"/>
      <c r="CP874" s="90"/>
      <c r="CQ874" s="90"/>
      <c r="CR874" s="90"/>
      <c r="CS874" s="90"/>
      <c r="CT874" s="90"/>
      <c r="CU874" s="90"/>
      <c r="CV874" s="90"/>
      <c r="CW874" s="90"/>
    </row>
    <row r="875" ht="16.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H875" s="90"/>
      <c r="BI875" s="90"/>
      <c r="BJ875" s="90"/>
      <c r="BK875" s="90"/>
      <c r="BL875" s="90"/>
      <c r="BM875" s="90"/>
      <c r="BN875" s="90"/>
      <c r="BO875" s="90"/>
      <c r="BP875" s="90"/>
      <c r="BQ875" s="90"/>
      <c r="BR875" s="90"/>
      <c r="BS875" s="90"/>
      <c r="BT875" s="90"/>
      <c r="BU875" s="90"/>
      <c r="BV875" s="90"/>
      <c r="BW875" s="90"/>
      <c r="BX875" s="90"/>
      <c r="BY875" s="90"/>
      <c r="BZ875" s="90"/>
      <c r="CA875" s="90"/>
      <c r="CB875" s="90"/>
      <c r="CC875" s="90"/>
      <c r="CD875" s="90"/>
      <c r="CE875" s="90"/>
      <c r="CF875" s="90"/>
      <c r="CG875" s="90"/>
      <c r="CH875" s="90"/>
      <c r="CI875" s="90"/>
      <c r="CJ875" s="90"/>
      <c r="CK875" s="90"/>
      <c r="CL875" s="90"/>
      <c r="CM875" s="90"/>
      <c r="CN875" s="90"/>
      <c r="CO875" s="90"/>
      <c r="CP875" s="90"/>
      <c r="CQ875" s="90"/>
      <c r="CR875" s="90"/>
      <c r="CS875" s="90"/>
      <c r="CT875" s="90"/>
      <c r="CU875" s="90"/>
      <c r="CV875" s="90"/>
      <c r="CW875" s="90"/>
    </row>
    <row r="876" ht="16.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0"/>
      <c r="BQ876" s="90"/>
      <c r="BR876" s="90"/>
      <c r="BS876" s="90"/>
      <c r="BT876" s="90"/>
      <c r="BU876" s="90"/>
      <c r="BV876" s="90"/>
      <c r="BW876" s="90"/>
      <c r="BX876" s="90"/>
      <c r="BY876" s="90"/>
      <c r="BZ876" s="90"/>
      <c r="CA876" s="90"/>
      <c r="CB876" s="90"/>
      <c r="CC876" s="90"/>
      <c r="CD876" s="90"/>
      <c r="CE876" s="90"/>
      <c r="CF876" s="90"/>
      <c r="CG876" s="90"/>
      <c r="CH876" s="90"/>
      <c r="CI876" s="90"/>
      <c r="CJ876" s="90"/>
      <c r="CK876" s="90"/>
      <c r="CL876" s="90"/>
      <c r="CM876" s="90"/>
      <c r="CN876" s="90"/>
      <c r="CO876" s="90"/>
      <c r="CP876" s="90"/>
      <c r="CQ876" s="90"/>
      <c r="CR876" s="90"/>
      <c r="CS876" s="90"/>
      <c r="CT876" s="90"/>
      <c r="CU876" s="90"/>
      <c r="CV876" s="90"/>
      <c r="CW876" s="90"/>
    </row>
    <row r="877" ht="16.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H877" s="90"/>
      <c r="BI877" s="90"/>
      <c r="BJ877" s="90"/>
      <c r="BK877" s="90"/>
      <c r="BL877" s="90"/>
      <c r="BM877" s="90"/>
      <c r="BN877" s="90"/>
      <c r="BO877" s="90"/>
      <c r="BP877" s="90"/>
      <c r="BQ877" s="90"/>
      <c r="BR877" s="90"/>
      <c r="BS877" s="90"/>
      <c r="BT877" s="90"/>
      <c r="BU877" s="90"/>
      <c r="BV877" s="90"/>
      <c r="BW877" s="90"/>
      <c r="BX877" s="90"/>
      <c r="BY877" s="90"/>
      <c r="BZ877" s="90"/>
      <c r="CA877" s="90"/>
      <c r="CB877" s="90"/>
      <c r="CC877" s="90"/>
      <c r="CD877" s="90"/>
      <c r="CE877" s="90"/>
      <c r="CF877" s="90"/>
      <c r="CG877" s="90"/>
      <c r="CH877" s="90"/>
      <c r="CI877" s="90"/>
      <c r="CJ877" s="90"/>
      <c r="CK877" s="90"/>
      <c r="CL877" s="90"/>
      <c r="CM877" s="90"/>
      <c r="CN877" s="90"/>
      <c r="CO877" s="90"/>
      <c r="CP877" s="90"/>
      <c r="CQ877" s="90"/>
      <c r="CR877" s="90"/>
      <c r="CS877" s="90"/>
      <c r="CT877" s="90"/>
      <c r="CU877" s="90"/>
      <c r="CV877" s="90"/>
      <c r="CW877" s="90"/>
    </row>
    <row r="878" ht="16.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0"/>
      <c r="BQ878" s="90"/>
      <c r="BR878" s="90"/>
      <c r="BS878" s="90"/>
      <c r="BT878" s="90"/>
      <c r="BU878" s="90"/>
      <c r="BV878" s="90"/>
      <c r="BW878" s="90"/>
      <c r="BX878" s="90"/>
      <c r="BY878" s="90"/>
      <c r="BZ878" s="90"/>
      <c r="CA878" s="90"/>
      <c r="CB878" s="90"/>
      <c r="CC878" s="90"/>
      <c r="CD878" s="90"/>
      <c r="CE878" s="90"/>
      <c r="CF878" s="90"/>
      <c r="CG878" s="90"/>
      <c r="CH878" s="90"/>
      <c r="CI878" s="90"/>
      <c r="CJ878" s="90"/>
      <c r="CK878" s="90"/>
      <c r="CL878" s="90"/>
      <c r="CM878" s="90"/>
      <c r="CN878" s="90"/>
      <c r="CO878" s="90"/>
      <c r="CP878" s="90"/>
      <c r="CQ878" s="90"/>
      <c r="CR878" s="90"/>
      <c r="CS878" s="90"/>
      <c r="CT878" s="90"/>
      <c r="CU878" s="90"/>
      <c r="CV878" s="90"/>
      <c r="CW878" s="90"/>
    </row>
    <row r="879" ht="16.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H879" s="90"/>
      <c r="BI879" s="90"/>
      <c r="BJ879" s="90"/>
      <c r="BK879" s="90"/>
      <c r="BL879" s="90"/>
      <c r="BM879" s="90"/>
      <c r="BN879" s="90"/>
      <c r="BO879" s="90"/>
      <c r="BP879" s="90"/>
      <c r="BQ879" s="90"/>
      <c r="BR879" s="90"/>
      <c r="BS879" s="90"/>
      <c r="BT879" s="90"/>
      <c r="BU879" s="90"/>
      <c r="BV879" s="90"/>
      <c r="BW879" s="90"/>
      <c r="BX879" s="90"/>
      <c r="BY879" s="90"/>
      <c r="BZ879" s="90"/>
      <c r="CA879" s="90"/>
      <c r="CB879" s="90"/>
      <c r="CC879" s="90"/>
      <c r="CD879" s="90"/>
      <c r="CE879" s="90"/>
      <c r="CF879" s="90"/>
      <c r="CG879" s="90"/>
      <c r="CH879" s="90"/>
      <c r="CI879" s="90"/>
      <c r="CJ879" s="90"/>
      <c r="CK879" s="90"/>
      <c r="CL879" s="90"/>
      <c r="CM879" s="90"/>
      <c r="CN879" s="90"/>
      <c r="CO879" s="90"/>
      <c r="CP879" s="90"/>
      <c r="CQ879" s="90"/>
      <c r="CR879" s="90"/>
      <c r="CS879" s="90"/>
      <c r="CT879" s="90"/>
      <c r="CU879" s="90"/>
      <c r="CV879" s="90"/>
      <c r="CW879" s="90"/>
    </row>
    <row r="880" ht="16.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0"/>
      <c r="BQ880" s="90"/>
      <c r="BR880" s="90"/>
      <c r="BS880" s="90"/>
      <c r="BT880" s="90"/>
      <c r="BU880" s="90"/>
      <c r="BV880" s="90"/>
      <c r="BW880" s="90"/>
      <c r="BX880" s="90"/>
      <c r="BY880" s="90"/>
      <c r="BZ880" s="90"/>
      <c r="CA880" s="90"/>
      <c r="CB880" s="90"/>
      <c r="CC880" s="90"/>
      <c r="CD880" s="90"/>
      <c r="CE880" s="90"/>
      <c r="CF880" s="90"/>
      <c r="CG880" s="90"/>
      <c r="CH880" s="90"/>
      <c r="CI880" s="90"/>
      <c r="CJ880" s="90"/>
      <c r="CK880" s="90"/>
      <c r="CL880" s="90"/>
      <c r="CM880" s="90"/>
      <c r="CN880" s="90"/>
      <c r="CO880" s="90"/>
      <c r="CP880" s="90"/>
      <c r="CQ880" s="90"/>
      <c r="CR880" s="90"/>
      <c r="CS880" s="90"/>
      <c r="CT880" s="90"/>
      <c r="CU880" s="90"/>
      <c r="CV880" s="90"/>
      <c r="CW880" s="90"/>
    </row>
    <row r="881" ht="16.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H881" s="90"/>
      <c r="BI881" s="90"/>
      <c r="BJ881" s="90"/>
      <c r="BK881" s="90"/>
      <c r="BL881" s="90"/>
      <c r="BM881" s="90"/>
      <c r="BN881" s="90"/>
      <c r="BO881" s="90"/>
      <c r="BP881" s="90"/>
      <c r="BQ881" s="90"/>
      <c r="BR881" s="90"/>
      <c r="BS881" s="90"/>
      <c r="BT881" s="90"/>
      <c r="BU881" s="90"/>
      <c r="BV881" s="90"/>
      <c r="BW881" s="90"/>
      <c r="BX881" s="90"/>
      <c r="BY881" s="90"/>
      <c r="BZ881" s="90"/>
      <c r="CA881" s="90"/>
      <c r="CB881" s="90"/>
      <c r="CC881" s="90"/>
      <c r="CD881" s="90"/>
      <c r="CE881" s="90"/>
      <c r="CF881" s="90"/>
      <c r="CG881" s="90"/>
      <c r="CH881" s="90"/>
      <c r="CI881" s="90"/>
      <c r="CJ881" s="90"/>
      <c r="CK881" s="90"/>
      <c r="CL881" s="90"/>
      <c r="CM881" s="90"/>
      <c r="CN881" s="90"/>
      <c r="CO881" s="90"/>
      <c r="CP881" s="90"/>
      <c r="CQ881" s="90"/>
      <c r="CR881" s="90"/>
      <c r="CS881" s="90"/>
      <c r="CT881" s="90"/>
      <c r="CU881" s="90"/>
      <c r="CV881" s="90"/>
      <c r="CW881" s="90"/>
    </row>
    <row r="882" ht="16.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0"/>
      <c r="BQ882" s="90"/>
      <c r="BR882" s="90"/>
      <c r="BS882" s="90"/>
      <c r="BT882" s="90"/>
      <c r="BU882" s="90"/>
      <c r="BV882" s="90"/>
      <c r="BW882" s="90"/>
      <c r="BX882" s="90"/>
      <c r="BY882" s="90"/>
      <c r="BZ882" s="90"/>
      <c r="CA882" s="90"/>
      <c r="CB882" s="90"/>
      <c r="CC882" s="90"/>
      <c r="CD882" s="90"/>
      <c r="CE882" s="90"/>
      <c r="CF882" s="90"/>
      <c r="CG882" s="90"/>
      <c r="CH882" s="90"/>
      <c r="CI882" s="90"/>
      <c r="CJ882" s="90"/>
      <c r="CK882" s="90"/>
      <c r="CL882" s="90"/>
      <c r="CM882" s="90"/>
      <c r="CN882" s="90"/>
      <c r="CO882" s="90"/>
      <c r="CP882" s="90"/>
      <c r="CQ882" s="90"/>
      <c r="CR882" s="90"/>
      <c r="CS882" s="90"/>
      <c r="CT882" s="90"/>
      <c r="CU882" s="90"/>
      <c r="CV882" s="90"/>
      <c r="CW882" s="90"/>
    </row>
    <row r="883" ht="16.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H883" s="90"/>
      <c r="BI883" s="90"/>
      <c r="BJ883" s="90"/>
      <c r="BK883" s="90"/>
      <c r="BL883" s="90"/>
      <c r="BM883" s="90"/>
      <c r="BN883" s="90"/>
      <c r="BO883" s="90"/>
      <c r="BP883" s="90"/>
      <c r="BQ883" s="90"/>
      <c r="BR883" s="90"/>
      <c r="BS883" s="90"/>
      <c r="BT883" s="90"/>
      <c r="BU883" s="90"/>
      <c r="BV883" s="90"/>
      <c r="BW883" s="90"/>
      <c r="BX883" s="90"/>
      <c r="BY883" s="90"/>
      <c r="BZ883" s="90"/>
      <c r="CA883" s="90"/>
      <c r="CB883" s="90"/>
      <c r="CC883" s="90"/>
      <c r="CD883" s="90"/>
      <c r="CE883" s="90"/>
      <c r="CF883" s="90"/>
      <c r="CG883" s="90"/>
      <c r="CH883" s="90"/>
      <c r="CI883" s="90"/>
      <c r="CJ883" s="90"/>
      <c r="CK883" s="90"/>
      <c r="CL883" s="90"/>
      <c r="CM883" s="90"/>
      <c r="CN883" s="90"/>
      <c r="CO883" s="90"/>
      <c r="CP883" s="90"/>
      <c r="CQ883" s="90"/>
      <c r="CR883" s="90"/>
      <c r="CS883" s="90"/>
      <c r="CT883" s="90"/>
      <c r="CU883" s="90"/>
      <c r="CV883" s="90"/>
      <c r="CW883" s="90"/>
    </row>
    <row r="884" ht="16.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0"/>
      <c r="BQ884" s="90"/>
      <c r="BR884" s="90"/>
      <c r="BS884" s="90"/>
      <c r="BT884" s="90"/>
      <c r="BU884" s="90"/>
      <c r="BV884" s="90"/>
      <c r="BW884" s="90"/>
      <c r="BX884" s="90"/>
      <c r="BY884" s="90"/>
      <c r="BZ884" s="90"/>
      <c r="CA884" s="90"/>
      <c r="CB884" s="90"/>
      <c r="CC884" s="90"/>
      <c r="CD884" s="90"/>
      <c r="CE884" s="90"/>
      <c r="CF884" s="90"/>
      <c r="CG884" s="90"/>
      <c r="CH884" s="90"/>
      <c r="CI884" s="90"/>
      <c r="CJ884" s="90"/>
      <c r="CK884" s="90"/>
      <c r="CL884" s="90"/>
      <c r="CM884" s="90"/>
      <c r="CN884" s="90"/>
      <c r="CO884" s="90"/>
      <c r="CP884" s="90"/>
      <c r="CQ884" s="90"/>
      <c r="CR884" s="90"/>
      <c r="CS884" s="90"/>
      <c r="CT884" s="90"/>
      <c r="CU884" s="90"/>
      <c r="CV884" s="90"/>
      <c r="CW884" s="90"/>
    </row>
    <row r="885" ht="16.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H885" s="90"/>
      <c r="BI885" s="90"/>
      <c r="BJ885" s="90"/>
      <c r="BK885" s="90"/>
      <c r="BL885" s="90"/>
      <c r="BM885" s="90"/>
      <c r="BN885" s="90"/>
      <c r="BO885" s="90"/>
      <c r="BP885" s="90"/>
      <c r="BQ885" s="90"/>
      <c r="BR885" s="90"/>
      <c r="BS885" s="90"/>
      <c r="BT885" s="90"/>
      <c r="BU885" s="90"/>
      <c r="BV885" s="90"/>
      <c r="BW885" s="90"/>
      <c r="BX885" s="90"/>
      <c r="BY885" s="90"/>
      <c r="BZ885" s="90"/>
      <c r="CA885" s="90"/>
      <c r="CB885" s="90"/>
      <c r="CC885" s="90"/>
      <c r="CD885" s="90"/>
      <c r="CE885" s="90"/>
      <c r="CF885" s="90"/>
      <c r="CG885" s="90"/>
      <c r="CH885" s="90"/>
      <c r="CI885" s="90"/>
      <c r="CJ885" s="90"/>
      <c r="CK885" s="90"/>
      <c r="CL885" s="90"/>
      <c r="CM885" s="90"/>
      <c r="CN885" s="90"/>
      <c r="CO885" s="90"/>
      <c r="CP885" s="90"/>
      <c r="CQ885" s="90"/>
      <c r="CR885" s="90"/>
      <c r="CS885" s="90"/>
      <c r="CT885" s="90"/>
      <c r="CU885" s="90"/>
      <c r="CV885" s="90"/>
      <c r="CW885" s="90"/>
    </row>
    <row r="886" ht="16.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0"/>
      <c r="BQ886" s="90"/>
      <c r="BR886" s="90"/>
      <c r="BS886" s="90"/>
      <c r="BT886" s="90"/>
      <c r="BU886" s="90"/>
      <c r="BV886" s="90"/>
      <c r="BW886" s="90"/>
      <c r="BX886" s="90"/>
      <c r="BY886" s="90"/>
      <c r="BZ886" s="90"/>
      <c r="CA886" s="90"/>
      <c r="CB886" s="90"/>
      <c r="CC886" s="90"/>
      <c r="CD886" s="90"/>
      <c r="CE886" s="90"/>
      <c r="CF886" s="90"/>
      <c r="CG886" s="90"/>
      <c r="CH886" s="90"/>
      <c r="CI886" s="90"/>
      <c r="CJ886" s="90"/>
      <c r="CK886" s="90"/>
      <c r="CL886" s="90"/>
      <c r="CM886" s="90"/>
      <c r="CN886" s="90"/>
      <c r="CO886" s="90"/>
      <c r="CP886" s="90"/>
      <c r="CQ886" s="90"/>
      <c r="CR886" s="90"/>
      <c r="CS886" s="90"/>
      <c r="CT886" s="90"/>
      <c r="CU886" s="90"/>
      <c r="CV886" s="90"/>
      <c r="CW886" s="90"/>
    </row>
    <row r="887" ht="16.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H887" s="90"/>
      <c r="BI887" s="90"/>
      <c r="BJ887" s="90"/>
      <c r="BK887" s="90"/>
      <c r="BL887" s="90"/>
      <c r="BM887" s="90"/>
      <c r="BN887" s="90"/>
      <c r="BO887" s="90"/>
      <c r="BP887" s="90"/>
      <c r="BQ887" s="90"/>
      <c r="BR887" s="90"/>
      <c r="BS887" s="90"/>
      <c r="BT887" s="90"/>
      <c r="BU887" s="90"/>
      <c r="BV887" s="90"/>
      <c r="BW887" s="90"/>
      <c r="BX887" s="90"/>
      <c r="BY887" s="90"/>
      <c r="BZ887" s="90"/>
      <c r="CA887" s="90"/>
      <c r="CB887" s="90"/>
      <c r="CC887" s="90"/>
      <c r="CD887" s="90"/>
      <c r="CE887" s="90"/>
      <c r="CF887" s="90"/>
      <c r="CG887" s="90"/>
      <c r="CH887" s="90"/>
      <c r="CI887" s="90"/>
      <c r="CJ887" s="90"/>
      <c r="CK887" s="90"/>
      <c r="CL887" s="90"/>
      <c r="CM887" s="90"/>
      <c r="CN887" s="90"/>
      <c r="CO887" s="90"/>
      <c r="CP887" s="90"/>
      <c r="CQ887" s="90"/>
      <c r="CR887" s="90"/>
      <c r="CS887" s="90"/>
      <c r="CT887" s="90"/>
      <c r="CU887" s="90"/>
      <c r="CV887" s="90"/>
      <c r="CW887" s="90"/>
    </row>
    <row r="888" ht="16.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0"/>
      <c r="BQ888" s="90"/>
      <c r="BR888" s="90"/>
      <c r="BS888" s="90"/>
      <c r="BT888" s="90"/>
      <c r="BU888" s="90"/>
      <c r="BV888" s="90"/>
      <c r="BW888" s="90"/>
      <c r="BX888" s="90"/>
      <c r="BY888" s="90"/>
      <c r="BZ888" s="90"/>
      <c r="CA888" s="90"/>
      <c r="CB888" s="90"/>
      <c r="CC888" s="90"/>
      <c r="CD888" s="90"/>
      <c r="CE888" s="90"/>
      <c r="CF888" s="90"/>
      <c r="CG888" s="90"/>
      <c r="CH888" s="90"/>
      <c r="CI888" s="90"/>
      <c r="CJ888" s="90"/>
      <c r="CK888" s="90"/>
      <c r="CL888" s="90"/>
      <c r="CM888" s="90"/>
      <c r="CN888" s="90"/>
      <c r="CO888" s="90"/>
      <c r="CP888" s="90"/>
      <c r="CQ888" s="90"/>
      <c r="CR888" s="90"/>
      <c r="CS888" s="90"/>
      <c r="CT888" s="90"/>
      <c r="CU888" s="90"/>
      <c r="CV888" s="90"/>
      <c r="CW888" s="90"/>
    </row>
    <row r="889" ht="16.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H889" s="90"/>
      <c r="BI889" s="90"/>
      <c r="BJ889" s="90"/>
      <c r="BK889" s="90"/>
      <c r="BL889" s="90"/>
      <c r="BM889" s="90"/>
      <c r="BN889" s="90"/>
      <c r="BO889" s="90"/>
      <c r="BP889" s="90"/>
      <c r="BQ889" s="90"/>
      <c r="BR889" s="90"/>
      <c r="BS889" s="90"/>
      <c r="BT889" s="90"/>
      <c r="BU889" s="90"/>
      <c r="BV889" s="90"/>
      <c r="BW889" s="90"/>
      <c r="BX889" s="90"/>
      <c r="BY889" s="90"/>
      <c r="BZ889" s="90"/>
      <c r="CA889" s="90"/>
      <c r="CB889" s="90"/>
      <c r="CC889" s="90"/>
      <c r="CD889" s="90"/>
      <c r="CE889" s="90"/>
      <c r="CF889" s="90"/>
      <c r="CG889" s="90"/>
      <c r="CH889" s="90"/>
      <c r="CI889" s="90"/>
      <c r="CJ889" s="90"/>
      <c r="CK889" s="90"/>
      <c r="CL889" s="90"/>
      <c r="CM889" s="90"/>
      <c r="CN889" s="90"/>
      <c r="CO889" s="90"/>
      <c r="CP889" s="90"/>
      <c r="CQ889" s="90"/>
      <c r="CR889" s="90"/>
      <c r="CS889" s="90"/>
      <c r="CT889" s="90"/>
      <c r="CU889" s="90"/>
      <c r="CV889" s="90"/>
      <c r="CW889" s="90"/>
    </row>
    <row r="890" ht="16.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0"/>
      <c r="BQ890" s="90"/>
      <c r="BR890" s="90"/>
      <c r="BS890" s="90"/>
      <c r="BT890" s="90"/>
      <c r="BU890" s="90"/>
      <c r="BV890" s="90"/>
      <c r="BW890" s="90"/>
      <c r="BX890" s="90"/>
      <c r="BY890" s="90"/>
      <c r="BZ890" s="90"/>
      <c r="CA890" s="90"/>
      <c r="CB890" s="90"/>
      <c r="CC890" s="90"/>
      <c r="CD890" s="90"/>
      <c r="CE890" s="90"/>
      <c r="CF890" s="90"/>
      <c r="CG890" s="90"/>
      <c r="CH890" s="90"/>
      <c r="CI890" s="90"/>
      <c r="CJ890" s="90"/>
      <c r="CK890" s="90"/>
      <c r="CL890" s="90"/>
      <c r="CM890" s="90"/>
      <c r="CN890" s="90"/>
      <c r="CO890" s="90"/>
      <c r="CP890" s="90"/>
      <c r="CQ890" s="90"/>
      <c r="CR890" s="90"/>
      <c r="CS890" s="90"/>
      <c r="CT890" s="90"/>
      <c r="CU890" s="90"/>
      <c r="CV890" s="90"/>
      <c r="CW890" s="90"/>
    </row>
    <row r="891" ht="16.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H891" s="90"/>
      <c r="BI891" s="90"/>
      <c r="BJ891" s="90"/>
      <c r="BK891" s="90"/>
      <c r="BL891" s="90"/>
      <c r="BM891" s="90"/>
      <c r="BN891" s="90"/>
      <c r="BO891" s="90"/>
      <c r="BP891" s="90"/>
      <c r="BQ891" s="90"/>
      <c r="BR891" s="90"/>
      <c r="BS891" s="90"/>
      <c r="BT891" s="90"/>
      <c r="BU891" s="90"/>
      <c r="BV891" s="90"/>
      <c r="BW891" s="90"/>
      <c r="BX891" s="90"/>
      <c r="BY891" s="90"/>
      <c r="BZ891" s="90"/>
      <c r="CA891" s="90"/>
      <c r="CB891" s="90"/>
      <c r="CC891" s="90"/>
      <c r="CD891" s="90"/>
      <c r="CE891" s="90"/>
      <c r="CF891" s="90"/>
      <c r="CG891" s="90"/>
      <c r="CH891" s="90"/>
      <c r="CI891" s="90"/>
      <c r="CJ891" s="90"/>
      <c r="CK891" s="90"/>
      <c r="CL891" s="90"/>
      <c r="CM891" s="90"/>
      <c r="CN891" s="90"/>
      <c r="CO891" s="90"/>
      <c r="CP891" s="90"/>
      <c r="CQ891" s="90"/>
      <c r="CR891" s="90"/>
      <c r="CS891" s="90"/>
      <c r="CT891" s="90"/>
      <c r="CU891" s="90"/>
      <c r="CV891" s="90"/>
      <c r="CW891" s="90"/>
    </row>
    <row r="892" ht="16.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0"/>
      <c r="BQ892" s="90"/>
      <c r="BR892" s="90"/>
      <c r="BS892" s="90"/>
      <c r="BT892" s="90"/>
      <c r="BU892" s="90"/>
      <c r="BV892" s="90"/>
      <c r="BW892" s="90"/>
      <c r="BX892" s="90"/>
      <c r="BY892" s="90"/>
      <c r="BZ892" s="90"/>
      <c r="CA892" s="90"/>
      <c r="CB892" s="90"/>
      <c r="CC892" s="90"/>
      <c r="CD892" s="90"/>
      <c r="CE892" s="90"/>
      <c r="CF892" s="90"/>
      <c r="CG892" s="90"/>
      <c r="CH892" s="90"/>
      <c r="CI892" s="90"/>
      <c r="CJ892" s="90"/>
      <c r="CK892" s="90"/>
      <c r="CL892" s="90"/>
      <c r="CM892" s="90"/>
      <c r="CN892" s="90"/>
      <c r="CO892" s="90"/>
      <c r="CP892" s="90"/>
      <c r="CQ892" s="90"/>
      <c r="CR892" s="90"/>
      <c r="CS892" s="90"/>
      <c r="CT892" s="90"/>
      <c r="CU892" s="90"/>
      <c r="CV892" s="90"/>
      <c r="CW892" s="90"/>
    </row>
    <row r="893" ht="16.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H893" s="90"/>
      <c r="BI893" s="90"/>
      <c r="BJ893" s="90"/>
      <c r="BK893" s="90"/>
      <c r="BL893" s="90"/>
      <c r="BM893" s="90"/>
      <c r="BN893" s="90"/>
      <c r="BO893" s="90"/>
      <c r="BP893" s="90"/>
      <c r="BQ893" s="90"/>
      <c r="BR893" s="90"/>
      <c r="BS893" s="90"/>
      <c r="BT893" s="90"/>
      <c r="BU893" s="90"/>
      <c r="BV893" s="90"/>
      <c r="BW893" s="90"/>
      <c r="BX893" s="90"/>
      <c r="BY893" s="90"/>
      <c r="BZ893" s="90"/>
      <c r="CA893" s="90"/>
      <c r="CB893" s="90"/>
      <c r="CC893" s="90"/>
      <c r="CD893" s="90"/>
      <c r="CE893" s="90"/>
      <c r="CF893" s="90"/>
      <c r="CG893" s="90"/>
      <c r="CH893" s="90"/>
      <c r="CI893" s="90"/>
      <c r="CJ893" s="90"/>
      <c r="CK893" s="90"/>
      <c r="CL893" s="90"/>
      <c r="CM893" s="90"/>
      <c r="CN893" s="90"/>
      <c r="CO893" s="90"/>
      <c r="CP893" s="90"/>
      <c r="CQ893" s="90"/>
      <c r="CR893" s="90"/>
      <c r="CS893" s="90"/>
      <c r="CT893" s="90"/>
      <c r="CU893" s="90"/>
      <c r="CV893" s="90"/>
      <c r="CW893" s="90"/>
    </row>
    <row r="894" ht="16.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0"/>
      <c r="BQ894" s="90"/>
      <c r="BR894" s="90"/>
      <c r="BS894" s="90"/>
      <c r="BT894" s="90"/>
      <c r="BU894" s="90"/>
      <c r="BV894" s="90"/>
      <c r="BW894" s="90"/>
      <c r="BX894" s="90"/>
      <c r="BY894" s="90"/>
      <c r="BZ894" s="90"/>
      <c r="CA894" s="90"/>
      <c r="CB894" s="90"/>
      <c r="CC894" s="90"/>
      <c r="CD894" s="90"/>
      <c r="CE894" s="90"/>
      <c r="CF894" s="90"/>
      <c r="CG894" s="90"/>
      <c r="CH894" s="90"/>
      <c r="CI894" s="90"/>
      <c r="CJ894" s="90"/>
      <c r="CK894" s="90"/>
      <c r="CL894" s="90"/>
      <c r="CM894" s="90"/>
      <c r="CN894" s="90"/>
      <c r="CO894" s="90"/>
      <c r="CP894" s="90"/>
      <c r="CQ894" s="90"/>
      <c r="CR894" s="90"/>
      <c r="CS894" s="90"/>
      <c r="CT894" s="90"/>
      <c r="CU894" s="90"/>
      <c r="CV894" s="90"/>
      <c r="CW894" s="90"/>
    </row>
    <row r="895" ht="16.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H895" s="90"/>
      <c r="BI895" s="90"/>
      <c r="BJ895" s="90"/>
      <c r="BK895" s="90"/>
      <c r="BL895" s="90"/>
      <c r="BM895" s="90"/>
      <c r="BN895" s="90"/>
      <c r="BO895" s="90"/>
      <c r="BP895" s="90"/>
      <c r="BQ895" s="90"/>
      <c r="BR895" s="90"/>
      <c r="BS895" s="90"/>
      <c r="BT895" s="90"/>
      <c r="BU895" s="90"/>
      <c r="BV895" s="90"/>
      <c r="BW895" s="90"/>
      <c r="BX895" s="90"/>
      <c r="BY895" s="90"/>
      <c r="BZ895" s="90"/>
      <c r="CA895" s="90"/>
      <c r="CB895" s="90"/>
      <c r="CC895" s="90"/>
      <c r="CD895" s="90"/>
      <c r="CE895" s="90"/>
      <c r="CF895" s="90"/>
      <c r="CG895" s="90"/>
      <c r="CH895" s="90"/>
      <c r="CI895" s="90"/>
      <c r="CJ895" s="90"/>
      <c r="CK895" s="90"/>
      <c r="CL895" s="90"/>
      <c r="CM895" s="90"/>
      <c r="CN895" s="90"/>
      <c r="CO895" s="90"/>
      <c r="CP895" s="90"/>
      <c r="CQ895" s="90"/>
      <c r="CR895" s="90"/>
      <c r="CS895" s="90"/>
      <c r="CT895" s="90"/>
      <c r="CU895" s="90"/>
      <c r="CV895" s="90"/>
      <c r="CW895" s="90"/>
    </row>
    <row r="896" ht="16.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0"/>
      <c r="BQ896" s="90"/>
      <c r="BR896" s="90"/>
      <c r="BS896" s="90"/>
      <c r="BT896" s="90"/>
      <c r="BU896" s="90"/>
      <c r="BV896" s="90"/>
      <c r="BW896" s="90"/>
      <c r="BX896" s="90"/>
      <c r="BY896" s="90"/>
      <c r="BZ896" s="90"/>
      <c r="CA896" s="90"/>
      <c r="CB896" s="90"/>
      <c r="CC896" s="90"/>
      <c r="CD896" s="90"/>
      <c r="CE896" s="90"/>
      <c r="CF896" s="90"/>
      <c r="CG896" s="90"/>
      <c r="CH896" s="90"/>
      <c r="CI896" s="90"/>
      <c r="CJ896" s="90"/>
      <c r="CK896" s="90"/>
      <c r="CL896" s="90"/>
      <c r="CM896" s="90"/>
      <c r="CN896" s="90"/>
      <c r="CO896" s="90"/>
      <c r="CP896" s="90"/>
      <c r="CQ896" s="90"/>
      <c r="CR896" s="90"/>
      <c r="CS896" s="90"/>
      <c r="CT896" s="90"/>
      <c r="CU896" s="90"/>
      <c r="CV896" s="90"/>
      <c r="CW896" s="90"/>
    </row>
    <row r="897" ht="16.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H897" s="90"/>
      <c r="BI897" s="90"/>
      <c r="BJ897" s="90"/>
      <c r="BK897" s="90"/>
      <c r="BL897" s="90"/>
      <c r="BM897" s="90"/>
      <c r="BN897" s="90"/>
      <c r="BO897" s="90"/>
      <c r="BP897" s="90"/>
      <c r="BQ897" s="90"/>
      <c r="BR897" s="90"/>
      <c r="BS897" s="90"/>
      <c r="BT897" s="90"/>
      <c r="BU897" s="90"/>
      <c r="BV897" s="90"/>
      <c r="BW897" s="90"/>
      <c r="BX897" s="90"/>
      <c r="BY897" s="90"/>
      <c r="BZ897" s="90"/>
      <c r="CA897" s="90"/>
      <c r="CB897" s="90"/>
      <c r="CC897" s="90"/>
      <c r="CD897" s="90"/>
      <c r="CE897" s="90"/>
      <c r="CF897" s="90"/>
      <c r="CG897" s="90"/>
      <c r="CH897" s="90"/>
      <c r="CI897" s="90"/>
      <c r="CJ897" s="90"/>
      <c r="CK897" s="90"/>
      <c r="CL897" s="90"/>
      <c r="CM897" s="90"/>
      <c r="CN897" s="90"/>
      <c r="CO897" s="90"/>
      <c r="CP897" s="90"/>
      <c r="CQ897" s="90"/>
      <c r="CR897" s="90"/>
      <c r="CS897" s="90"/>
      <c r="CT897" s="90"/>
      <c r="CU897" s="90"/>
      <c r="CV897" s="90"/>
      <c r="CW897" s="90"/>
    </row>
    <row r="898" ht="16.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0"/>
      <c r="BQ898" s="90"/>
      <c r="BR898" s="90"/>
      <c r="BS898" s="90"/>
      <c r="BT898" s="90"/>
      <c r="BU898" s="90"/>
      <c r="BV898" s="90"/>
      <c r="BW898" s="90"/>
      <c r="BX898" s="90"/>
      <c r="BY898" s="90"/>
      <c r="BZ898" s="90"/>
      <c r="CA898" s="90"/>
      <c r="CB898" s="90"/>
      <c r="CC898" s="90"/>
      <c r="CD898" s="90"/>
      <c r="CE898" s="90"/>
      <c r="CF898" s="90"/>
      <c r="CG898" s="90"/>
      <c r="CH898" s="90"/>
      <c r="CI898" s="90"/>
      <c r="CJ898" s="90"/>
      <c r="CK898" s="90"/>
      <c r="CL898" s="90"/>
      <c r="CM898" s="90"/>
      <c r="CN898" s="90"/>
      <c r="CO898" s="90"/>
      <c r="CP898" s="90"/>
      <c r="CQ898" s="90"/>
      <c r="CR898" s="90"/>
      <c r="CS898" s="90"/>
      <c r="CT898" s="90"/>
      <c r="CU898" s="90"/>
      <c r="CV898" s="90"/>
      <c r="CW898" s="90"/>
    </row>
    <row r="899" ht="16.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H899" s="90"/>
      <c r="BI899" s="90"/>
      <c r="BJ899" s="90"/>
      <c r="BK899" s="90"/>
      <c r="BL899" s="90"/>
      <c r="BM899" s="90"/>
      <c r="BN899" s="90"/>
      <c r="BO899" s="90"/>
      <c r="BP899" s="90"/>
      <c r="BQ899" s="90"/>
      <c r="BR899" s="90"/>
      <c r="BS899" s="90"/>
      <c r="BT899" s="90"/>
      <c r="BU899" s="90"/>
      <c r="BV899" s="90"/>
      <c r="BW899" s="90"/>
      <c r="BX899" s="90"/>
      <c r="BY899" s="90"/>
      <c r="BZ899" s="90"/>
      <c r="CA899" s="90"/>
      <c r="CB899" s="90"/>
      <c r="CC899" s="90"/>
      <c r="CD899" s="90"/>
      <c r="CE899" s="90"/>
      <c r="CF899" s="90"/>
      <c r="CG899" s="90"/>
      <c r="CH899" s="90"/>
      <c r="CI899" s="90"/>
      <c r="CJ899" s="90"/>
      <c r="CK899" s="90"/>
      <c r="CL899" s="90"/>
      <c r="CM899" s="90"/>
      <c r="CN899" s="90"/>
      <c r="CO899" s="90"/>
      <c r="CP899" s="90"/>
      <c r="CQ899" s="90"/>
      <c r="CR899" s="90"/>
      <c r="CS899" s="90"/>
      <c r="CT899" s="90"/>
      <c r="CU899" s="90"/>
      <c r="CV899" s="90"/>
      <c r="CW899" s="90"/>
    </row>
    <row r="900" ht="16.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0"/>
      <c r="BQ900" s="90"/>
      <c r="BR900" s="90"/>
      <c r="BS900" s="90"/>
      <c r="BT900" s="90"/>
      <c r="BU900" s="90"/>
      <c r="BV900" s="90"/>
      <c r="BW900" s="90"/>
      <c r="BX900" s="90"/>
      <c r="BY900" s="90"/>
      <c r="BZ900" s="90"/>
      <c r="CA900" s="90"/>
      <c r="CB900" s="90"/>
      <c r="CC900" s="90"/>
      <c r="CD900" s="90"/>
      <c r="CE900" s="90"/>
      <c r="CF900" s="90"/>
      <c r="CG900" s="90"/>
      <c r="CH900" s="90"/>
      <c r="CI900" s="90"/>
      <c r="CJ900" s="90"/>
      <c r="CK900" s="90"/>
      <c r="CL900" s="90"/>
      <c r="CM900" s="90"/>
      <c r="CN900" s="90"/>
      <c r="CO900" s="90"/>
      <c r="CP900" s="90"/>
      <c r="CQ900" s="90"/>
      <c r="CR900" s="90"/>
      <c r="CS900" s="90"/>
      <c r="CT900" s="90"/>
      <c r="CU900" s="90"/>
      <c r="CV900" s="90"/>
      <c r="CW900" s="90"/>
    </row>
    <row r="901" ht="16.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H901" s="90"/>
      <c r="BI901" s="90"/>
      <c r="BJ901" s="90"/>
      <c r="BK901" s="90"/>
      <c r="BL901" s="90"/>
      <c r="BM901" s="90"/>
      <c r="BN901" s="90"/>
      <c r="BO901" s="90"/>
      <c r="BP901" s="90"/>
      <c r="BQ901" s="90"/>
      <c r="BR901" s="90"/>
      <c r="BS901" s="90"/>
      <c r="BT901" s="90"/>
      <c r="BU901" s="90"/>
      <c r="BV901" s="90"/>
      <c r="BW901" s="90"/>
      <c r="BX901" s="90"/>
      <c r="BY901" s="90"/>
      <c r="BZ901" s="90"/>
      <c r="CA901" s="90"/>
      <c r="CB901" s="90"/>
      <c r="CC901" s="90"/>
      <c r="CD901" s="90"/>
      <c r="CE901" s="90"/>
      <c r="CF901" s="90"/>
      <c r="CG901" s="90"/>
      <c r="CH901" s="90"/>
      <c r="CI901" s="90"/>
      <c r="CJ901" s="90"/>
      <c r="CK901" s="90"/>
      <c r="CL901" s="90"/>
      <c r="CM901" s="90"/>
      <c r="CN901" s="90"/>
      <c r="CO901" s="90"/>
      <c r="CP901" s="90"/>
      <c r="CQ901" s="90"/>
      <c r="CR901" s="90"/>
      <c r="CS901" s="90"/>
      <c r="CT901" s="90"/>
      <c r="CU901" s="90"/>
      <c r="CV901" s="90"/>
      <c r="CW901" s="90"/>
    </row>
    <row r="902" ht="16.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0"/>
      <c r="BQ902" s="90"/>
      <c r="BR902" s="90"/>
      <c r="BS902" s="90"/>
      <c r="BT902" s="90"/>
      <c r="BU902" s="90"/>
      <c r="BV902" s="90"/>
      <c r="BW902" s="90"/>
      <c r="BX902" s="90"/>
      <c r="BY902" s="90"/>
      <c r="BZ902" s="90"/>
      <c r="CA902" s="90"/>
      <c r="CB902" s="90"/>
      <c r="CC902" s="90"/>
      <c r="CD902" s="90"/>
      <c r="CE902" s="90"/>
      <c r="CF902" s="90"/>
      <c r="CG902" s="90"/>
      <c r="CH902" s="90"/>
      <c r="CI902" s="90"/>
      <c r="CJ902" s="90"/>
      <c r="CK902" s="90"/>
      <c r="CL902" s="90"/>
      <c r="CM902" s="90"/>
      <c r="CN902" s="90"/>
      <c r="CO902" s="90"/>
      <c r="CP902" s="90"/>
      <c r="CQ902" s="90"/>
      <c r="CR902" s="90"/>
      <c r="CS902" s="90"/>
      <c r="CT902" s="90"/>
      <c r="CU902" s="90"/>
      <c r="CV902" s="90"/>
      <c r="CW902" s="90"/>
    </row>
    <row r="903" ht="16.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H903" s="90"/>
      <c r="BI903" s="90"/>
      <c r="BJ903" s="90"/>
      <c r="BK903" s="90"/>
      <c r="BL903" s="90"/>
      <c r="BM903" s="90"/>
      <c r="BN903" s="90"/>
      <c r="BO903" s="90"/>
      <c r="BP903" s="90"/>
      <c r="BQ903" s="90"/>
      <c r="BR903" s="90"/>
      <c r="BS903" s="90"/>
      <c r="BT903" s="90"/>
      <c r="BU903" s="90"/>
      <c r="BV903" s="90"/>
      <c r="BW903" s="90"/>
      <c r="BX903" s="90"/>
      <c r="BY903" s="90"/>
      <c r="BZ903" s="90"/>
      <c r="CA903" s="90"/>
      <c r="CB903" s="90"/>
      <c r="CC903" s="90"/>
      <c r="CD903" s="90"/>
      <c r="CE903" s="90"/>
      <c r="CF903" s="90"/>
      <c r="CG903" s="90"/>
      <c r="CH903" s="90"/>
      <c r="CI903" s="90"/>
      <c r="CJ903" s="90"/>
      <c r="CK903" s="90"/>
      <c r="CL903" s="90"/>
      <c r="CM903" s="90"/>
      <c r="CN903" s="90"/>
      <c r="CO903" s="90"/>
      <c r="CP903" s="90"/>
      <c r="CQ903" s="90"/>
      <c r="CR903" s="90"/>
      <c r="CS903" s="90"/>
      <c r="CT903" s="90"/>
      <c r="CU903" s="90"/>
      <c r="CV903" s="90"/>
      <c r="CW903" s="90"/>
    </row>
    <row r="904" ht="16.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0"/>
      <c r="BQ904" s="90"/>
      <c r="BR904" s="90"/>
      <c r="BS904" s="90"/>
      <c r="BT904" s="90"/>
      <c r="BU904" s="90"/>
      <c r="BV904" s="90"/>
      <c r="BW904" s="90"/>
      <c r="BX904" s="90"/>
      <c r="BY904" s="90"/>
      <c r="BZ904" s="90"/>
      <c r="CA904" s="90"/>
      <c r="CB904" s="90"/>
      <c r="CC904" s="90"/>
      <c r="CD904" s="90"/>
      <c r="CE904" s="90"/>
      <c r="CF904" s="90"/>
      <c r="CG904" s="90"/>
      <c r="CH904" s="90"/>
      <c r="CI904" s="90"/>
      <c r="CJ904" s="90"/>
      <c r="CK904" s="90"/>
      <c r="CL904" s="90"/>
      <c r="CM904" s="90"/>
      <c r="CN904" s="90"/>
      <c r="CO904" s="90"/>
      <c r="CP904" s="90"/>
      <c r="CQ904" s="90"/>
      <c r="CR904" s="90"/>
      <c r="CS904" s="90"/>
      <c r="CT904" s="90"/>
      <c r="CU904" s="90"/>
      <c r="CV904" s="90"/>
      <c r="CW904" s="90"/>
    </row>
    <row r="905" ht="16.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H905" s="90"/>
      <c r="BI905" s="90"/>
      <c r="BJ905" s="90"/>
      <c r="BK905" s="90"/>
      <c r="BL905" s="90"/>
      <c r="BM905" s="90"/>
      <c r="BN905" s="90"/>
      <c r="BO905" s="90"/>
      <c r="BP905" s="90"/>
      <c r="BQ905" s="90"/>
      <c r="BR905" s="90"/>
      <c r="BS905" s="90"/>
      <c r="BT905" s="90"/>
      <c r="BU905" s="90"/>
      <c r="BV905" s="90"/>
      <c r="BW905" s="90"/>
      <c r="BX905" s="90"/>
      <c r="BY905" s="90"/>
      <c r="BZ905" s="90"/>
      <c r="CA905" s="90"/>
      <c r="CB905" s="90"/>
      <c r="CC905" s="90"/>
      <c r="CD905" s="90"/>
      <c r="CE905" s="90"/>
      <c r="CF905" s="90"/>
      <c r="CG905" s="90"/>
      <c r="CH905" s="90"/>
      <c r="CI905" s="90"/>
      <c r="CJ905" s="90"/>
      <c r="CK905" s="90"/>
      <c r="CL905" s="90"/>
      <c r="CM905" s="90"/>
      <c r="CN905" s="90"/>
      <c r="CO905" s="90"/>
      <c r="CP905" s="90"/>
      <c r="CQ905" s="90"/>
      <c r="CR905" s="90"/>
      <c r="CS905" s="90"/>
      <c r="CT905" s="90"/>
      <c r="CU905" s="90"/>
      <c r="CV905" s="90"/>
      <c r="CW905" s="90"/>
    </row>
    <row r="906" ht="16.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0"/>
      <c r="BQ906" s="90"/>
      <c r="BR906" s="90"/>
      <c r="BS906" s="90"/>
      <c r="BT906" s="90"/>
      <c r="BU906" s="90"/>
      <c r="BV906" s="90"/>
      <c r="BW906" s="90"/>
      <c r="BX906" s="90"/>
      <c r="BY906" s="90"/>
      <c r="BZ906" s="90"/>
      <c r="CA906" s="90"/>
      <c r="CB906" s="90"/>
      <c r="CC906" s="90"/>
      <c r="CD906" s="90"/>
      <c r="CE906" s="90"/>
      <c r="CF906" s="90"/>
      <c r="CG906" s="90"/>
      <c r="CH906" s="90"/>
      <c r="CI906" s="90"/>
      <c r="CJ906" s="90"/>
      <c r="CK906" s="90"/>
      <c r="CL906" s="90"/>
      <c r="CM906" s="90"/>
      <c r="CN906" s="90"/>
      <c r="CO906" s="90"/>
      <c r="CP906" s="90"/>
      <c r="CQ906" s="90"/>
      <c r="CR906" s="90"/>
      <c r="CS906" s="90"/>
      <c r="CT906" s="90"/>
      <c r="CU906" s="90"/>
      <c r="CV906" s="90"/>
      <c r="CW906" s="90"/>
    </row>
    <row r="907" ht="16.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H907" s="90"/>
      <c r="BI907" s="90"/>
      <c r="BJ907" s="90"/>
      <c r="BK907" s="90"/>
      <c r="BL907" s="90"/>
      <c r="BM907" s="90"/>
      <c r="BN907" s="90"/>
      <c r="BO907" s="90"/>
      <c r="BP907" s="90"/>
      <c r="BQ907" s="90"/>
      <c r="BR907" s="90"/>
      <c r="BS907" s="90"/>
      <c r="BT907" s="90"/>
      <c r="BU907" s="90"/>
      <c r="BV907" s="90"/>
      <c r="BW907" s="90"/>
      <c r="BX907" s="90"/>
      <c r="BY907" s="90"/>
      <c r="BZ907" s="90"/>
      <c r="CA907" s="90"/>
      <c r="CB907" s="90"/>
      <c r="CC907" s="90"/>
      <c r="CD907" s="90"/>
      <c r="CE907" s="90"/>
      <c r="CF907" s="90"/>
      <c r="CG907" s="90"/>
      <c r="CH907" s="90"/>
      <c r="CI907" s="90"/>
      <c r="CJ907" s="90"/>
      <c r="CK907" s="90"/>
      <c r="CL907" s="90"/>
      <c r="CM907" s="90"/>
      <c r="CN907" s="90"/>
      <c r="CO907" s="90"/>
      <c r="CP907" s="90"/>
      <c r="CQ907" s="90"/>
      <c r="CR907" s="90"/>
      <c r="CS907" s="90"/>
      <c r="CT907" s="90"/>
      <c r="CU907" s="90"/>
      <c r="CV907" s="90"/>
      <c r="CW907" s="90"/>
    </row>
    <row r="908" ht="16.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0"/>
      <c r="BQ908" s="90"/>
      <c r="BR908" s="90"/>
      <c r="BS908" s="90"/>
      <c r="BT908" s="90"/>
      <c r="BU908" s="90"/>
      <c r="BV908" s="90"/>
      <c r="BW908" s="90"/>
      <c r="BX908" s="90"/>
      <c r="BY908" s="90"/>
      <c r="BZ908" s="90"/>
      <c r="CA908" s="90"/>
      <c r="CB908" s="90"/>
      <c r="CC908" s="90"/>
      <c r="CD908" s="90"/>
      <c r="CE908" s="90"/>
      <c r="CF908" s="90"/>
      <c r="CG908" s="90"/>
      <c r="CH908" s="90"/>
      <c r="CI908" s="90"/>
      <c r="CJ908" s="90"/>
      <c r="CK908" s="90"/>
      <c r="CL908" s="90"/>
      <c r="CM908" s="90"/>
      <c r="CN908" s="90"/>
      <c r="CO908" s="90"/>
      <c r="CP908" s="90"/>
      <c r="CQ908" s="90"/>
      <c r="CR908" s="90"/>
      <c r="CS908" s="90"/>
      <c r="CT908" s="90"/>
      <c r="CU908" s="90"/>
      <c r="CV908" s="90"/>
      <c r="CW908" s="90"/>
    </row>
    <row r="909" ht="16.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H909" s="90"/>
      <c r="BI909" s="90"/>
      <c r="BJ909" s="90"/>
      <c r="BK909" s="90"/>
      <c r="BL909" s="90"/>
      <c r="BM909" s="90"/>
      <c r="BN909" s="90"/>
      <c r="BO909" s="90"/>
      <c r="BP909" s="90"/>
      <c r="BQ909" s="90"/>
      <c r="BR909" s="90"/>
      <c r="BS909" s="90"/>
      <c r="BT909" s="90"/>
      <c r="BU909" s="90"/>
      <c r="BV909" s="90"/>
      <c r="BW909" s="90"/>
      <c r="BX909" s="90"/>
      <c r="BY909" s="90"/>
      <c r="BZ909" s="90"/>
      <c r="CA909" s="90"/>
      <c r="CB909" s="90"/>
      <c r="CC909" s="90"/>
      <c r="CD909" s="90"/>
      <c r="CE909" s="90"/>
      <c r="CF909" s="90"/>
      <c r="CG909" s="90"/>
      <c r="CH909" s="90"/>
      <c r="CI909" s="90"/>
      <c r="CJ909" s="90"/>
      <c r="CK909" s="90"/>
      <c r="CL909" s="90"/>
      <c r="CM909" s="90"/>
      <c r="CN909" s="90"/>
      <c r="CO909" s="90"/>
      <c r="CP909" s="90"/>
      <c r="CQ909" s="90"/>
      <c r="CR909" s="90"/>
      <c r="CS909" s="90"/>
      <c r="CT909" s="90"/>
      <c r="CU909" s="90"/>
      <c r="CV909" s="90"/>
      <c r="CW909" s="90"/>
    </row>
    <row r="910" ht="16.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0"/>
      <c r="BQ910" s="90"/>
      <c r="BR910" s="90"/>
      <c r="BS910" s="90"/>
      <c r="BT910" s="90"/>
      <c r="BU910" s="90"/>
      <c r="BV910" s="90"/>
      <c r="BW910" s="90"/>
      <c r="BX910" s="90"/>
      <c r="BY910" s="90"/>
      <c r="BZ910" s="90"/>
      <c r="CA910" s="90"/>
      <c r="CB910" s="90"/>
      <c r="CC910" s="90"/>
      <c r="CD910" s="90"/>
      <c r="CE910" s="90"/>
      <c r="CF910" s="90"/>
      <c r="CG910" s="90"/>
      <c r="CH910" s="90"/>
      <c r="CI910" s="90"/>
      <c r="CJ910" s="90"/>
      <c r="CK910" s="90"/>
      <c r="CL910" s="90"/>
      <c r="CM910" s="90"/>
      <c r="CN910" s="90"/>
      <c r="CO910" s="90"/>
      <c r="CP910" s="90"/>
      <c r="CQ910" s="90"/>
      <c r="CR910" s="90"/>
      <c r="CS910" s="90"/>
      <c r="CT910" s="90"/>
      <c r="CU910" s="90"/>
      <c r="CV910" s="90"/>
      <c r="CW910" s="90"/>
    </row>
    <row r="911" ht="16.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H911" s="90"/>
      <c r="BI911" s="90"/>
      <c r="BJ911" s="90"/>
      <c r="BK911" s="90"/>
      <c r="BL911" s="90"/>
      <c r="BM911" s="90"/>
      <c r="BN911" s="90"/>
      <c r="BO911" s="90"/>
      <c r="BP911" s="90"/>
      <c r="BQ911" s="90"/>
      <c r="BR911" s="90"/>
      <c r="BS911" s="90"/>
      <c r="BT911" s="90"/>
      <c r="BU911" s="90"/>
      <c r="BV911" s="90"/>
      <c r="BW911" s="90"/>
      <c r="BX911" s="90"/>
      <c r="BY911" s="90"/>
      <c r="BZ911" s="90"/>
      <c r="CA911" s="90"/>
      <c r="CB911" s="90"/>
      <c r="CC911" s="90"/>
      <c r="CD911" s="90"/>
      <c r="CE911" s="90"/>
      <c r="CF911" s="90"/>
      <c r="CG911" s="90"/>
      <c r="CH911" s="90"/>
      <c r="CI911" s="90"/>
      <c r="CJ911" s="90"/>
      <c r="CK911" s="90"/>
      <c r="CL911" s="90"/>
      <c r="CM911" s="90"/>
      <c r="CN911" s="90"/>
      <c r="CO911" s="90"/>
      <c r="CP911" s="90"/>
      <c r="CQ911" s="90"/>
      <c r="CR911" s="90"/>
      <c r="CS911" s="90"/>
      <c r="CT911" s="90"/>
      <c r="CU911" s="90"/>
      <c r="CV911" s="90"/>
      <c r="CW911" s="90"/>
    </row>
    <row r="912" ht="16.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0"/>
      <c r="BQ912" s="90"/>
      <c r="BR912" s="90"/>
      <c r="BS912" s="90"/>
      <c r="BT912" s="90"/>
      <c r="BU912" s="90"/>
      <c r="BV912" s="90"/>
      <c r="BW912" s="90"/>
      <c r="BX912" s="90"/>
      <c r="BY912" s="90"/>
      <c r="BZ912" s="90"/>
      <c r="CA912" s="90"/>
      <c r="CB912" s="90"/>
      <c r="CC912" s="90"/>
      <c r="CD912" s="90"/>
      <c r="CE912" s="90"/>
      <c r="CF912" s="90"/>
      <c r="CG912" s="90"/>
      <c r="CH912" s="90"/>
      <c r="CI912" s="90"/>
      <c r="CJ912" s="90"/>
      <c r="CK912" s="90"/>
      <c r="CL912" s="90"/>
      <c r="CM912" s="90"/>
      <c r="CN912" s="90"/>
      <c r="CO912" s="90"/>
      <c r="CP912" s="90"/>
      <c r="CQ912" s="90"/>
      <c r="CR912" s="90"/>
      <c r="CS912" s="90"/>
      <c r="CT912" s="90"/>
      <c r="CU912" s="90"/>
      <c r="CV912" s="90"/>
      <c r="CW912" s="90"/>
    </row>
    <row r="913" ht="16.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H913" s="90"/>
      <c r="BI913" s="90"/>
      <c r="BJ913" s="90"/>
      <c r="BK913" s="90"/>
      <c r="BL913" s="90"/>
      <c r="BM913" s="90"/>
      <c r="BN913" s="90"/>
      <c r="BO913" s="90"/>
      <c r="BP913" s="90"/>
      <c r="BQ913" s="90"/>
      <c r="BR913" s="90"/>
      <c r="BS913" s="90"/>
      <c r="BT913" s="90"/>
      <c r="BU913" s="90"/>
      <c r="BV913" s="90"/>
      <c r="BW913" s="90"/>
      <c r="BX913" s="90"/>
      <c r="BY913" s="90"/>
      <c r="BZ913" s="90"/>
      <c r="CA913" s="90"/>
      <c r="CB913" s="90"/>
      <c r="CC913" s="90"/>
      <c r="CD913" s="90"/>
      <c r="CE913" s="90"/>
      <c r="CF913" s="90"/>
      <c r="CG913" s="90"/>
      <c r="CH913" s="90"/>
      <c r="CI913" s="90"/>
      <c r="CJ913" s="90"/>
      <c r="CK913" s="90"/>
      <c r="CL913" s="90"/>
      <c r="CM913" s="90"/>
      <c r="CN913" s="90"/>
      <c r="CO913" s="90"/>
      <c r="CP913" s="90"/>
      <c r="CQ913" s="90"/>
      <c r="CR913" s="90"/>
      <c r="CS913" s="90"/>
      <c r="CT913" s="90"/>
      <c r="CU913" s="90"/>
      <c r="CV913" s="90"/>
      <c r="CW913" s="90"/>
    </row>
    <row r="914" ht="16.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0"/>
      <c r="BQ914" s="90"/>
      <c r="BR914" s="90"/>
      <c r="BS914" s="90"/>
      <c r="BT914" s="90"/>
      <c r="BU914" s="90"/>
      <c r="BV914" s="90"/>
      <c r="BW914" s="90"/>
      <c r="BX914" s="90"/>
      <c r="BY914" s="90"/>
      <c r="BZ914" s="90"/>
      <c r="CA914" s="90"/>
      <c r="CB914" s="90"/>
      <c r="CC914" s="90"/>
      <c r="CD914" s="90"/>
      <c r="CE914" s="90"/>
      <c r="CF914" s="90"/>
      <c r="CG914" s="90"/>
      <c r="CH914" s="90"/>
      <c r="CI914" s="90"/>
      <c r="CJ914" s="90"/>
      <c r="CK914" s="90"/>
      <c r="CL914" s="90"/>
      <c r="CM914" s="90"/>
      <c r="CN914" s="90"/>
      <c r="CO914" s="90"/>
      <c r="CP914" s="90"/>
      <c r="CQ914" s="90"/>
      <c r="CR914" s="90"/>
      <c r="CS914" s="90"/>
      <c r="CT914" s="90"/>
      <c r="CU914" s="90"/>
      <c r="CV914" s="90"/>
      <c r="CW914" s="90"/>
    </row>
    <row r="915" ht="16.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H915" s="90"/>
      <c r="BI915" s="90"/>
      <c r="BJ915" s="90"/>
      <c r="BK915" s="90"/>
      <c r="BL915" s="90"/>
      <c r="BM915" s="90"/>
      <c r="BN915" s="90"/>
      <c r="BO915" s="90"/>
      <c r="BP915" s="90"/>
      <c r="BQ915" s="90"/>
      <c r="BR915" s="90"/>
      <c r="BS915" s="90"/>
      <c r="BT915" s="90"/>
      <c r="BU915" s="90"/>
      <c r="BV915" s="90"/>
      <c r="BW915" s="90"/>
      <c r="BX915" s="90"/>
      <c r="BY915" s="90"/>
      <c r="BZ915" s="90"/>
      <c r="CA915" s="90"/>
      <c r="CB915" s="90"/>
      <c r="CC915" s="90"/>
      <c r="CD915" s="90"/>
      <c r="CE915" s="90"/>
      <c r="CF915" s="90"/>
      <c r="CG915" s="90"/>
      <c r="CH915" s="90"/>
      <c r="CI915" s="90"/>
      <c r="CJ915" s="90"/>
      <c r="CK915" s="90"/>
      <c r="CL915" s="90"/>
      <c r="CM915" s="90"/>
      <c r="CN915" s="90"/>
      <c r="CO915" s="90"/>
      <c r="CP915" s="90"/>
      <c r="CQ915" s="90"/>
      <c r="CR915" s="90"/>
      <c r="CS915" s="90"/>
      <c r="CT915" s="90"/>
      <c r="CU915" s="90"/>
      <c r="CV915" s="90"/>
      <c r="CW915" s="90"/>
    </row>
    <row r="916" ht="16.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0"/>
      <c r="BQ916" s="90"/>
      <c r="BR916" s="90"/>
      <c r="BS916" s="90"/>
      <c r="BT916" s="90"/>
      <c r="BU916" s="90"/>
      <c r="BV916" s="90"/>
      <c r="BW916" s="90"/>
      <c r="BX916" s="90"/>
      <c r="BY916" s="90"/>
      <c r="BZ916" s="90"/>
      <c r="CA916" s="90"/>
      <c r="CB916" s="90"/>
      <c r="CC916" s="90"/>
      <c r="CD916" s="90"/>
      <c r="CE916" s="90"/>
      <c r="CF916" s="90"/>
      <c r="CG916" s="90"/>
      <c r="CH916" s="90"/>
      <c r="CI916" s="90"/>
      <c r="CJ916" s="90"/>
      <c r="CK916" s="90"/>
      <c r="CL916" s="90"/>
      <c r="CM916" s="90"/>
      <c r="CN916" s="90"/>
      <c r="CO916" s="90"/>
      <c r="CP916" s="90"/>
      <c r="CQ916" s="90"/>
      <c r="CR916" s="90"/>
      <c r="CS916" s="90"/>
      <c r="CT916" s="90"/>
      <c r="CU916" s="90"/>
      <c r="CV916" s="90"/>
      <c r="CW916" s="90"/>
    </row>
    <row r="917" ht="16.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H917" s="90"/>
      <c r="BI917" s="90"/>
      <c r="BJ917" s="90"/>
      <c r="BK917" s="90"/>
      <c r="BL917" s="90"/>
      <c r="BM917" s="90"/>
      <c r="BN917" s="90"/>
      <c r="BO917" s="90"/>
      <c r="BP917" s="90"/>
      <c r="BQ917" s="90"/>
      <c r="BR917" s="90"/>
      <c r="BS917" s="90"/>
      <c r="BT917" s="90"/>
      <c r="BU917" s="90"/>
      <c r="BV917" s="90"/>
      <c r="BW917" s="90"/>
      <c r="BX917" s="90"/>
      <c r="BY917" s="90"/>
      <c r="BZ917" s="90"/>
      <c r="CA917" s="90"/>
      <c r="CB917" s="90"/>
      <c r="CC917" s="90"/>
      <c r="CD917" s="90"/>
      <c r="CE917" s="90"/>
      <c r="CF917" s="90"/>
      <c r="CG917" s="90"/>
      <c r="CH917" s="90"/>
      <c r="CI917" s="90"/>
      <c r="CJ917" s="90"/>
      <c r="CK917" s="90"/>
      <c r="CL917" s="90"/>
      <c r="CM917" s="90"/>
      <c r="CN917" s="90"/>
      <c r="CO917" s="90"/>
      <c r="CP917" s="90"/>
      <c r="CQ917" s="90"/>
      <c r="CR917" s="90"/>
      <c r="CS917" s="90"/>
      <c r="CT917" s="90"/>
      <c r="CU917" s="90"/>
      <c r="CV917" s="90"/>
      <c r="CW917" s="90"/>
    </row>
    <row r="918" ht="16.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0"/>
      <c r="BQ918" s="90"/>
      <c r="BR918" s="90"/>
      <c r="BS918" s="90"/>
      <c r="BT918" s="90"/>
      <c r="BU918" s="90"/>
      <c r="BV918" s="90"/>
      <c r="BW918" s="90"/>
      <c r="BX918" s="90"/>
      <c r="BY918" s="90"/>
      <c r="BZ918" s="90"/>
      <c r="CA918" s="90"/>
      <c r="CB918" s="90"/>
      <c r="CC918" s="90"/>
      <c r="CD918" s="90"/>
      <c r="CE918" s="90"/>
      <c r="CF918" s="90"/>
      <c r="CG918" s="90"/>
      <c r="CH918" s="90"/>
      <c r="CI918" s="90"/>
      <c r="CJ918" s="90"/>
      <c r="CK918" s="90"/>
      <c r="CL918" s="90"/>
      <c r="CM918" s="90"/>
      <c r="CN918" s="90"/>
      <c r="CO918" s="90"/>
      <c r="CP918" s="90"/>
      <c r="CQ918" s="90"/>
      <c r="CR918" s="90"/>
      <c r="CS918" s="90"/>
      <c r="CT918" s="90"/>
      <c r="CU918" s="90"/>
      <c r="CV918" s="90"/>
      <c r="CW918" s="90"/>
    </row>
    <row r="919" ht="16.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H919" s="90"/>
      <c r="BI919" s="90"/>
      <c r="BJ919" s="90"/>
      <c r="BK919" s="90"/>
      <c r="BL919" s="90"/>
      <c r="BM919" s="90"/>
      <c r="BN919" s="90"/>
      <c r="BO919" s="90"/>
      <c r="BP919" s="90"/>
      <c r="BQ919" s="90"/>
      <c r="BR919" s="90"/>
      <c r="BS919" s="90"/>
      <c r="BT919" s="90"/>
      <c r="BU919" s="90"/>
      <c r="BV919" s="90"/>
      <c r="BW919" s="90"/>
      <c r="BX919" s="90"/>
      <c r="BY919" s="90"/>
      <c r="BZ919" s="90"/>
      <c r="CA919" s="90"/>
      <c r="CB919" s="90"/>
      <c r="CC919" s="90"/>
      <c r="CD919" s="90"/>
      <c r="CE919" s="90"/>
      <c r="CF919" s="90"/>
      <c r="CG919" s="90"/>
      <c r="CH919" s="90"/>
      <c r="CI919" s="90"/>
      <c r="CJ919" s="90"/>
      <c r="CK919" s="90"/>
      <c r="CL919" s="90"/>
      <c r="CM919" s="90"/>
      <c r="CN919" s="90"/>
      <c r="CO919" s="90"/>
      <c r="CP919" s="90"/>
      <c r="CQ919" s="90"/>
      <c r="CR919" s="90"/>
      <c r="CS919" s="90"/>
      <c r="CT919" s="90"/>
      <c r="CU919" s="90"/>
      <c r="CV919" s="90"/>
      <c r="CW919" s="90"/>
    </row>
    <row r="920" ht="16.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0"/>
      <c r="BQ920" s="90"/>
      <c r="BR920" s="90"/>
      <c r="BS920" s="90"/>
      <c r="BT920" s="90"/>
      <c r="BU920" s="90"/>
      <c r="BV920" s="90"/>
      <c r="BW920" s="90"/>
      <c r="BX920" s="90"/>
      <c r="BY920" s="90"/>
      <c r="BZ920" s="90"/>
      <c r="CA920" s="90"/>
      <c r="CB920" s="90"/>
      <c r="CC920" s="90"/>
      <c r="CD920" s="90"/>
      <c r="CE920" s="90"/>
      <c r="CF920" s="90"/>
      <c r="CG920" s="90"/>
      <c r="CH920" s="90"/>
      <c r="CI920" s="90"/>
      <c r="CJ920" s="90"/>
      <c r="CK920" s="90"/>
      <c r="CL920" s="90"/>
      <c r="CM920" s="90"/>
      <c r="CN920" s="90"/>
      <c r="CO920" s="90"/>
      <c r="CP920" s="90"/>
      <c r="CQ920" s="90"/>
      <c r="CR920" s="90"/>
      <c r="CS920" s="90"/>
      <c r="CT920" s="90"/>
      <c r="CU920" s="90"/>
      <c r="CV920" s="90"/>
      <c r="CW920" s="90"/>
    </row>
    <row r="921" ht="16.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H921" s="90"/>
      <c r="BI921" s="90"/>
      <c r="BJ921" s="90"/>
      <c r="BK921" s="90"/>
      <c r="BL921" s="90"/>
      <c r="BM921" s="90"/>
      <c r="BN921" s="90"/>
      <c r="BO921" s="90"/>
      <c r="BP921" s="90"/>
      <c r="BQ921" s="90"/>
      <c r="BR921" s="90"/>
      <c r="BS921" s="90"/>
      <c r="BT921" s="90"/>
      <c r="BU921" s="90"/>
      <c r="BV921" s="90"/>
      <c r="BW921" s="90"/>
      <c r="BX921" s="90"/>
      <c r="BY921" s="90"/>
      <c r="BZ921" s="90"/>
      <c r="CA921" s="90"/>
      <c r="CB921" s="90"/>
      <c r="CC921" s="90"/>
      <c r="CD921" s="90"/>
      <c r="CE921" s="90"/>
      <c r="CF921" s="90"/>
      <c r="CG921" s="90"/>
      <c r="CH921" s="90"/>
      <c r="CI921" s="90"/>
      <c r="CJ921" s="90"/>
      <c r="CK921" s="90"/>
      <c r="CL921" s="90"/>
      <c r="CM921" s="90"/>
      <c r="CN921" s="90"/>
      <c r="CO921" s="90"/>
      <c r="CP921" s="90"/>
      <c r="CQ921" s="90"/>
      <c r="CR921" s="90"/>
      <c r="CS921" s="90"/>
      <c r="CT921" s="90"/>
      <c r="CU921" s="90"/>
      <c r="CV921" s="90"/>
      <c r="CW921" s="90"/>
    </row>
    <row r="922" ht="16.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0"/>
      <c r="BQ922" s="90"/>
      <c r="BR922" s="90"/>
      <c r="BS922" s="90"/>
      <c r="BT922" s="90"/>
      <c r="BU922" s="90"/>
      <c r="BV922" s="90"/>
      <c r="BW922" s="90"/>
      <c r="BX922" s="90"/>
      <c r="BY922" s="90"/>
      <c r="BZ922" s="90"/>
      <c r="CA922" s="90"/>
      <c r="CB922" s="90"/>
      <c r="CC922" s="90"/>
      <c r="CD922" s="90"/>
      <c r="CE922" s="90"/>
      <c r="CF922" s="90"/>
      <c r="CG922" s="90"/>
      <c r="CH922" s="90"/>
      <c r="CI922" s="90"/>
      <c r="CJ922" s="90"/>
      <c r="CK922" s="90"/>
      <c r="CL922" s="90"/>
      <c r="CM922" s="90"/>
      <c r="CN922" s="90"/>
      <c r="CO922" s="90"/>
      <c r="CP922" s="90"/>
      <c r="CQ922" s="90"/>
      <c r="CR922" s="90"/>
      <c r="CS922" s="90"/>
      <c r="CT922" s="90"/>
      <c r="CU922" s="90"/>
      <c r="CV922" s="90"/>
      <c r="CW922" s="90"/>
    </row>
    <row r="923" ht="16.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H923" s="90"/>
      <c r="BI923" s="90"/>
      <c r="BJ923" s="90"/>
      <c r="BK923" s="90"/>
      <c r="BL923" s="90"/>
      <c r="BM923" s="90"/>
      <c r="BN923" s="90"/>
      <c r="BO923" s="90"/>
      <c r="BP923" s="90"/>
      <c r="BQ923" s="90"/>
      <c r="BR923" s="90"/>
      <c r="BS923" s="90"/>
      <c r="BT923" s="90"/>
      <c r="BU923" s="90"/>
      <c r="BV923" s="90"/>
      <c r="BW923" s="90"/>
      <c r="BX923" s="90"/>
      <c r="BY923" s="90"/>
      <c r="BZ923" s="90"/>
      <c r="CA923" s="90"/>
      <c r="CB923" s="90"/>
      <c r="CC923" s="90"/>
      <c r="CD923" s="90"/>
      <c r="CE923" s="90"/>
      <c r="CF923" s="90"/>
      <c r="CG923" s="90"/>
      <c r="CH923" s="90"/>
      <c r="CI923" s="90"/>
      <c r="CJ923" s="90"/>
      <c r="CK923" s="90"/>
      <c r="CL923" s="90"/>
      <c r="CM923" s="90"/>
      <c r="CN923" s="90"/>
      <c r="CO923" s="90"/>
      <c r="CP923" s="90"/>
      <c r="CQ923" s="90"/>
      <c r="CR923" s="90"/>
      <c r="CS923" s="90"/>
      <c r="CT923" s="90"/>
      <c r="CU923" s="90"/>
      <c r="CV923" s="90"/>
      <c r="CW923" s="90"/>
    </row>
    <row r="924" ht="16.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0"/>
      <c r="BQ924" s="90"/>
      <c r="BR924" s="90"/>
      <c r="BS924" s="90"/>
      <c r="BT924" s="90"/>
      <c r="BU924" s="90"/>
      <c r="BV924" s="90"/>
      <c r="BW924" s="90"/>
      <c r="BX924" s="90"/>
      <c r="BY924" s="90"/>
      <c r="BZ924" s="90"/>
      <c r="CA924" s="90"/>
      <c r="CB924" s="90"/>
      <c r="CC924" s="90"/>
      <c r="CD924" s="90"/>
      <c r="CE924" s="90"/>
      <c r="CF924" s="90"/>
      <c r="CG924" s="90"/>
      <c r="CH924" s="90"/>
      <c r="CI924" s="90"/>
      <c r="CJ924" s="90"/>
      <c r="CK924" s="90"/>
      <c r="CL924" s="90"/>
      <c r="CM924" s="90"/>
      <c r="CN924" s="90"/>
      <c r="CO924" s="90"/>
      <c r="CP924" s="90"/>
      <c r="CQ924" s="90"/>
      <c r="CR924" s="90"/>
      <c r="CS924" s="90"/>
      <c r="CT924" s="90"/>
      <c r="CU924" s="90"/>
      <c r="CV924" s="90"/>
      <c r="CW924" s="90"/>
    </row>
    <row r="925" ht="16.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H925" s="90"/>
      <c r="BI925" s="90"/>
      <c r="BJ925" s="90"/>
      <c r="BK925" s="90"/>
      <c r="BL925" s="90"/>
      <c r="BM925" s="90"/>
      <c r="BN925" s="90"/>
      <c r="BO925" s="90"/>
      <c r="BP925" s="90"/>
      <c r="BQ925" s="90"/>
      <c r="BR925" s="90"/>
      <c r="BS925" s="90"/>
      <c r="BT925" s="90"/>
      <c r="BU925" s="90"/>
      <c r="BV925" s="90"/>
      <c r="BW925" s="90"/>
      <c r="BX925" s="90"/>
      <c r="BY925" s="90"/>
      <c r="BZ925" s="90"/>
      <c r="CA925" s="90"/>
      <c r="CB925" s="90"/>
      <c r="CC925" s="90"/>
      <c r="CD925" s="90"/>
      <c r="CE925" s="90"/>
      <c r="CF925" s="90"/>
      <c r="CG925" s="90"/>
      <c r="CH925" s="90"/>
      <c r="CI925" s="90"/>
      <c r="CJ925" s="90"/>
      <c r="CK925" s="90"/>
      <c r="CL925" s="90"/>
      <c r="CM925" s="90"/>
      <c r="CN925" s="90"/>
      <c r="CO925" s="90"/>
      <c r="CP925" s="90"/>
      <c r="CQ925" s="90"/>
      <c r="CR925" s="90"/>
      <c r="CS925" s="90"/>
      <c r="CT925" s="90"/>
      <c r="CU925" s="90"/>
      <c r="CV925" s="90"/>
      <c r="CW925" s="90"/>
    </row>
    <row r="926" ht="16.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0"/>
      <c r="BQ926" s="90"/>
      <c r="BR926" s="90"/>
      <c r="BS926" s="90"/>
      <c r="BT926" s="90"/>
      <c r="BU926" s="90"/>
      <c r="BV926" s="90"/>
      <c r="BW926" s="90"/>
      <c r="BX926" s="90"/>
      <c r="BY926" s="90"/>
      <c r="BZ926" s="90"/>
      <c r="CA926" s="90"/>
      <c r="CB926" s="90"/>
      <c r="CC926" s="90"/>
      <c r="CD926" s="90"/>
      <c r="CE926" s="90"/>
      <c r="CF926" s="90"/>
      <c r="CG926" s="90"/>
      <c r="CH926" s="90"/>
      <c r="CI926" s="90"/>
      <c r="CJ926" s="90"/>
      <c r="CK926" s="90"/>
      <c r="CL926" s="90"/>
      <c r="CM926" s="90"/>
      <c r="CN926" s="90"/>
      <c r="CO926" s="90"/>
      <c r="CP926" s="90"/>
      <c r="CQ926" s="90"/>
      <c r="CR926" s="90"/>
      <c r="CS926" s="90"/>
      <c r="CT926" s="90"/>
      <c r="CU926" s="90"/>
      <c r="CV926" s="90"/>
      <c r="CW926" s="90"/>
    </row>
    <row r="927" ht="16.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H927" s="90"/>
      <c r="BI927" s="90"/>
      <c r="BJ927" s="90"/>
      <c r="BK927" s="90"/>
      <c r="BL927" s="90"/>
      <c r="BM927" s="90"/>
      <c r="BN927" s="90"/>
      <c r="BO927" s="90"/>
      <c r="BP927" s="90"/>
      <c r="BQ927" s="90"/>
      <c r="BR927" s="90"/>
      <c r="BS927" s="90"/>
      <c r="BT927" s="90"/>
      <c r="BU927" s="90"/>
      <c r="BV927" s="90"/>
      <c r="BW927" s="90"/>
      <c r="BX927" s="90"/>
      <c r="BY927" s="90"/>
      <c r="BZ927" s="90"/>
      <c r="CA927" s="90"/>
      <c r="CB927" s="90"/>
      <c r="CC927" s="90"/>
      <c r="CD927" s="90"/>
      <c r="CE927" s="90"/>
      <c r="CF927" s="90"/>
      <c r="CG927" s="90"/>
      <c r="CH927" s="90"/>
      <c r="CI927" s="90"/>
      <c r="CJ927" s="90"/>
      <c r="CK927" s="90"/>
      <c r="CL927" s="90"/>
      <c r="CM927" s="90"/>
      <c r="CN927" s="90"/>
      <c r="CO927" s="90"/>
      <c r="CP927" s="90"/>
      <c r="CQ927" s="90"/>
      <c r="CR927" s="90"/>
      <c r="CS927" s="90"/>
      <c r="CT927" s="90"/>
      <c r="CU927" s="90"/>
      <c r="CV927" s="90"/>
      <c r="CW927" s="90"/>
    </row>
    <row r="928" ht="16.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0"/>
      <c r="BQ928" s="90"/>
      <c r="BR928" s="90"/>
      <c r="BS928" s="90"/>
      <c r="BT928" s="90"/>
      <c r="BU928" s="90"/>
      <c r="BV928" s="90"/>
      <c r="BW928" s="90"/>
      <c r="BX928" s="90"/>
      <c r="BY928" s="90"/>
      <c r="BZ928" s="90"/>
      <c r="CA928" s="90"/>
      <c r="CB928" s="90"/>
      <c r="CC928" s="90"/>
      <c r="CD928" s="90"/>
      <c r="CE928" s="90"/>
      <c r="CF928" s="90"/>
      <c r="CG928" s="90"/>
      <c r="CH928" s="90"/>
      <c r="CI928" s="90"/>
      <c r="CJ928" s="90"/>
      <c r="CK928" s="90"/>
      <c r="CL928" s="90"/>
      <c r="CM928" s="90"/>
      <c r="CN928" s="90"/>
      <c r="CO928" s="90"/>
      <c r="CP928" s="90"/>
      <c r="CQ928" s="90"/>
      <c r="CR928" s="90"/>
      <c r="CS928" s="90"/>
      <c r="CT928" s="90"/>
      <c r="CU928" s="90"/>
      <c r="CV928" s="90"/>
      <c r="CW928" s="90"/>
    </row>
    <row r="929" ht="16.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H929" s="90"/>
      <c r="BI929" s="90"/>
      <c r="BJ929" s="90"/>
      <c r="BK929" s="90"/>
      <c r="BL929" s="90"/>
      <c r="BM929" s="90"/>
      <c r="BN929" s="90"/>
      <c r="BO929" s="90"/>
      <c r="BP929" s="90"/>
      <c r="BQ929" s="90"/>
      <c r="BR929" s="90"/>
      <c r="BS929" s="90"/>
      <c r="BT929" s="90"/>
      <c r="BU929" s="90"/>
      <c r="BV929" s="90"/>
      <c r="BW929" s="90"/>
      <c r="BX929" s="90"/>
      <c r="BY929" s="90"/>
      <c r="BZ929" s="90"/>
      <c r="CA929" s="90"/>
      <c r="CB929" s="90"/>
      <c r="CC929" s="90"/>
      <c r="CD929" s="90"/>
      <c r="CE929" s="90"/>
      <c r="CF929" s="90"/>
      <c r="CG929" s="90"/>
      <c r="CH929" s="90"/>
      <c r="CI929" s="90"/>
      <c r="CJ929" s="90"/>
      <c r="CK929" s="90"/>
      <c r="CL929" s="90"/>
      <c r="CM929" s="90"/>
      <c r="CN929" s="90"/>
      <c r="CO929" s="90"/>
      <c r="CP929" s="90"/>
      <c r="CQ929" s="90"/>
      <c r="CR929" s="90"/>
      <c r="CS929" s="90"/>
      <c r="CT929" s="90"/>
      <c r="CU929" s="90"/>
      <c r="CV929" s="90"/>
      <c r="CW929" s="90"/>
    </row>
    <row r="930" ht="16.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0"/>
      <c r="BQ930" s="90"/>
      <c r="BR930" s="90"/>
      <c r="BS930" s="90"/>
      <c r="BT930" s="90"/>
      <c r="BU930" s="90"/>
      <c r="BV930" s="90"/>
      <c r="BW930" s="90"/>
      <c r="BX930" s="90"/>
      <c r="BY930" s="90"/>
      <c r="BZ930" s="90"/>
      <c r="CA930" s="90"/>
      <c r="CB930" s="90"/>
      <c r="CC930" s="90"/>
      <c r="CD930" s="90"/>
      <c r="CE930" s="90"/>
      <c r="CF930" s="90"/>
      <c r="CG930" s="90"/>
      <c r="CH930" s="90"/>
      <c r="CI930" s="90"/>
      <c r="CJ930" s="90"/>
      <c r="CK930" s="90"/>
      <c r="CL930" s="90"/>
      <c r="CM930" s="90"/>
      <c r="CN930" s="90"/>
      <c r="CO930" s="90"/>
      <c r="CP930" s="90"/>
      <c r="CQ930" s="90"/>
      <c r="CR930" s="90"/>
      <c r="CS930" s="90"/>
      <c r="CT930" s="90"/>
      <c r="CU930" s="90"/>
      <c r="CV930" s="90"/>
      <c r="CW930" s="90"/>
    </row>
    <row r="931" ht="16.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H931" s="90"/>
      <c r="BI931" s="90"/>
      <c r="BJ931" s="90"/>
      <c r="BK931" s="90"/>
      <c r="BL931" s="90"/>
      <c r="BM931" s="90"/>
      <c r="BN931" s="90"/>
      <c r="BO931" s="90"/>
      <c r="BP931" s="90"/>
      <c r="BQ931" s="90"/>
      <c r="BR931" s="90"/>
      <c r="BS931" s="90"/>
      <c r="BT931" s="90"/>
      <c r="BU931" s="90"/>
      <c r="BV931" s="90"/>
      <c r="BW931" s="90"/>
      <c r="BX931" s="90"/>
      <c r="BY931" s="90"/>
      <c r="BZ931" s="90"/>
      <c r="CA931" s="90"/>
      <c r="CB931" s="90"/>
      <c r="CC931" s="90"/>
      <c r="CD931" s="90"/>
      <c r="CE931" s="90"/>
      <c r="CF931" s="90"/>
      <c r="CG931" s="90"/>
      <c r="CH931" s="90"/>
      <c r="CI931" s="90"/>
      <c r="CJ931" s="90"/>
      <c r="CK931" s="90"/>
      <c r="CL931" s="90"/>
      <c r="CM931" s="90"/>
      <c r="CN931" s="90"/>
      <c r="CO931" s="90"/>
      <c r="CP931" s="90"/>
      <c r="CQ931" s="90"/>
      <c r="CR931" s="90"/>
      <c r="CS931" s="90"/>
      <c r="CT931" s="90"/>
      <c r="CU931" s="90"/>
      <c r="CV931" s="90"/>
      <c r="CW931" s="90"/>
    </row>
    <row r="932" ht="16.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0"/>
      <c r="BQ932" s="90"/>
      <c r="BR932" s="90"/>
      <c r="BS932" s="90"/>
      <c r="BT932" s="90"/>
      <c r="BU932" s="90"/>
      <c r="BV932" s="90"/>
      <c r="BW932" s="90"/>
      <c r="BX932" s="90"/>
      <c r="BY932" s="90"/>
      <c r="BZ932" s="90"/>
      <c r="CA932" s="90"/>
      <c r="CB932" s="90"/>
      <c r="CC932" s="90"/>
      <c r="CD932" s="90"/>
      <c r="CE932" s="90"/>
      <c r="CF932" s="90"/>
      <c r="CG932" s="90"/>
      <c r="CH932" s="90"/>
      <c r="CI932" s="90"/>
      <c r="CJ932" s="90"/>
      <c r="CK932" s="90"/>
      <c r="CL932" s="90"/>
      <c r="CM932" s="90"/>
      <c r="CN932" s="90"/>
      <c r="CO932" s="90"/>
      <c r="CP932" s="90"/>
      <c r="CQ932" s="90"/>
      <c r="CR932" s="90"/>
      <c r="CS932" s="90"/>
      <c r="CT932" s="90"/>
      <c r="CU932" s="90"/>
      <c r="CV932" s="90"/>
      <c r="CW932" s="90"/>
    </row>
    <row r="933" ht="16.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H933" s="90"/>
      <c r="BI933" s="90"/>
      <c r="BJ933" s="90"/>
      <c r="BK933" s="90"/>
      <c r="BL933" s="90"/>
      <c r="BM933" s="90"/>
      <c r="BN933" s="90"/>
      <c r="BO933" s="90"/>
      <c r="BP933" s="90"/>
      <c r="BQ933" s="90"/>
      <c r="BR933" s="90"/>
      <c r="BS933" s="90"/>
      <c r="BT933" s="90"/>
      <c r="BU933" s="90"/>
      <c r="BV933" s="90"/>
      <c r="BW933" s="90"/>
      <c r="BX933" s="90"/>
      <c r="BY933" s="90"/>
      <c r="BZ933" s="90"/>
      <c r="CA933" s="90"/>
      <c r="CB933" s="90"/>
      <c r="CC933" s="90"/>
      <c r="CD933" s="90"/>
      <c r="CE933" s="90"/>
      <c r="CF933" s="90"/>
      <c r="CG933" s="90"/>
      <c r="CH933" s="90"/>
      <c r="CI933" s="90"/>
      <c r="CJ933" s="90"/>
      <c r="CK933" s="90"/>
      <c r="CL933" s="90"/>
      <c r="CM933" s="90"/>
      <c r="CN933" s="90"/>
      <c r="CO933" s="90"/>
      <c r="CP933" s="90"/>
      <c r="CQ933" s="90"/>
      <c r="CR933" s="90"/>
      <c r="CS933" s="90"/>
      <c r="CT933" s="90"/>
      <c r="CU933" s="90"/>
      <c r="CV933" s="90"/>
      <c r="CW933" s="90"/>
    </row>
    <row r="934" ht="16.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0"/>
      <c r="BS934" s="90"/>
      <c r="BT934" s="90"/>
      <c r="BU934" s="90"/>
      <c r="BV934" s="90"/>
      <c r="BW934" s="90"/>
      <c r="BX934" s="90"/>
      <c r="BY934" s="90"/>
      <c r="BZ934" s="90"/>
      <c r="CA934" s="90"/>
      <c r="CB934" s="90"/>
      <c r="CC934" s="90"/>
      <c r="CD934" s="90"/>
      <c r="CE934" s="90"/>
      <c r="CF934" s="90"/>
      <c r="CG934" s="90"/>
      <c r="CH934" s="90"/>
      <c r="CI934" s="90"/>
      <c r="CJ934" s="90"/>
      <c r="CK934" s="90"/>
      <c r="CL934" s="90"/>
      <c r="CM934" s="90"/>
      <c r="CN934" s="90"/>
      <c r="CO934" s="90"/>
      <c r="CP934" s="90"/>
      <c r="CQ934" s="90"/>
      <c r="CR934" s="90"/>
      <c r="CS934" s="90"/>
      <c r="CT934" s="90"/>
      <c r="CU934" s="90"/>
      <c r="CV934" s="90"/>
      <c r="CW934" s="90"/>
    </row>
    <row r="935" ht="16.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  <c r="BK935" s="90"/>
      <c r="BL935" s="90"/>
      <c r="BM935" s="90"/>
      <c r="BN935" s="90"/>
      <c r="BO935" s="90"/>
      <c r="BP935" s="90"/>
      <c r="BQ935" s="90"/>
      <c r="BR935" s="90"/>
      <c r="BS935" s="90"/>
      <c r="BT935" s="90"/>
      <c r="BU935" s="90"/>
      <c r="BV935" s="90"/>
      <c r="BW935" s="90"/>
      <c r="BX935" s="90"/>
      <c r="BY935" s="90"/>
      <c r="BZ935" s="90"/>
      <c r="CA935" s="90"/>
      <c r="CB935" s="90"/>
      <c r="CC935" s="90"/>
      <c r="CD935" s="90"/>
      <c r="CE935" s="90"/>
      <c r="CF935" s="90"/>
      <c r="CG935" s="90"/>
      <c r="CH935" s="90"/>
      <c r="CI935" s="90"/>
      <c r="CJ935" s="90"/>
      <c r="CK935" s="90"/>
      <c r="CL935" s="90"/>
      <c r="CM935" s="90"/>
      <c r="CN935" s="90"/>
      <c r="CO935" s="90"/>
      <c r="CP935" s="90"/>
      <c r="CQ935" s="90"/>
      <c r="CR935" s="90"/>
      <c r="CS935" s="90"/>
      <c r="CT935" s="90"/>
      <c r="CU935" s="90"/>
      <c r="CV935" s="90"/>
      <c r="CW935" s="90"/>
    </row>
    <row r="936" ht="16.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0"/>
      <c r="BS936" s="90"/>
      <c r="BT936" s="90"/>
      <c r="BU936" s="90"/>
      <c r="BV936" s="90"/>
      <c r="BW936" s="90"/>
      <c r="BX936" s="90"/>
      <c r="BY936" s="90"/>
      <c r="BZ936" s="90"/>
      <c r="CA936" s="90"/>
      <c r="CB936" s="90"/>
      <c r="CC936" s="90"/>
      <c r="CD936" s="90"/>
      <c r="CE936" s="90"/>
      <c r="CF936" s="90"/>
      <c r="CG936" s="90"/>
      <c r="CH936" s="90"/>
      <c r="CI936" s="90"/>
      <c r="CJ936" s="90"/>
      <c r="CK936" s="90"/>
      <c r="CL936" s="90"/>
      <c r="CM936" s="90"/>
      <c r="CN936" s="90"/>
      <c r="CO936" s="90"/>
      <c r="CP936" s="90"/>
      <c r="CQ936" s="90"/>
      <c r="CR936" s="90"/>
      <c r="CS936" s="90"/>
      <c r="CT936" s="90"/>
      <c r="CU936" s="90"/>
      <c r="CV936" s="90"/>
      <c r="CW936" s="90"/>
    </row>
    <row r="937" ht="16.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H937" s="90"/>
      <c r="BI937" s="90"/>
      <c r="BJ937" s="90"/>
      <c r="BK937" s="90"/>
      <c r="BL937" s="90"/>
      <c r="BM937" s="90"/>
      <c r="BN937" s="90"/>
      <c r="BO937" s="90"/>
      <c r="BP937" s="90"/>
      <c r="BQ937" s="90"/>
      <c r="BR937" s="90"/>
      <c r="BS937" s="90"/>
      <c r="BT937" s="90"/>
      <c r="BU937" s="90"/>
      <c r="BV937" s="90"/>
      <c r="BW937" s="90"/>
      <c r="BX937" s="90"/>
      <c r="BY937" s="90"/>
      <c r="BZ937" s="90"/>
      <c r="CA937" s="90"/>
      <c r="CB937" s="90"/>
      <c r="CC937" s="90"/>
      <c r="CD937" s="90"/>
      <c r="CE937" s="90"/>
      <c r="CF937" s="90"/>
      <c r="CG937" s="90"/>
      <c r="CH937" s="90"/>
      <c r="CI937" s="90"/>
      <c r="CJ937" s="90"/>
      <c r="CK937" s="90"/>
      <c r="CL937" s="90"/>
      <c r="CM937" s="90"/>
      <c r="CN937" s="90"/>
      <c r="CO937" s="90"/>
      <c r="CP937" s="90"/>
      <c r="CQ937" s="90"/>
      <c r="CR937" s="90"/>
      <c r="CS937" s="90"/>
      <c r="CT937" s="90"/>
      <c r="CU937" s="90"/>
      <c r="CV937" s="90"/>
      <c r="CW937" s="90"/>
    </row>
    <row r="938" ht="16.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0"/>
      <c r="BQ938" s="90"/>
      <c r="BR938" s="90"/>
      <c r="BS938" s="90"/>
      <c r="BT938" s="90"/>
      <c r="BU938" s="90"/>
      <c r="BV938" s="90"/>
      <c r="BW938" s="90"/>
      <c r="BX938" s="90"/>
      <c r="BY938" s="90"/>
      <c r="BZ938" s="90"/>
      <c r="CA938" s="90"/>
      <c r="CB938" s="90"/>
      <c r="CC938" s="90"/>
      <c r="CD938" s="90"/>
      <c r="CE938" s="90"/>
      <c r="CF938" s="90"/>
      <c r="CG938" s="90"/>
      <c r="CH938" s="90"/>
      <c r="CI938" s="90"/>
      <c r="CJ938" s="90"/>
      <c r="CK938" s="90"/>
      <c r="CL938" s="90"/>
      <c r="CM938" s="90"/>
      <c r="CN938" s="90"/>
      <c r="CO938" s="90"/>
      <c r="CP938" s="90"/>
      <c r="CQ938" s="90"/>
      <c r="CR938" s="90"/>
      <c r="CS938" s="90"/>
      <c r="CT938" s="90"/>
      <c r="CU938" s="90"/>
      <c r="CV938" s="90"/>
      <c r="CW938" s="90"/>
    </row>
    <row r="939" ht="16.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H939" s="90"/>
      <c r="BI939" s="90"/>
      <c r="BJ939" s="90"/>
      <c r="BK939" s="90"/>
      <c r="BL939" s="90"/>
      <c r="BM939" s="90"/>
      <c r="BN939" s="90"/>
      <c r="BO939" s="90"/>
      <c r="BP939" s="90"/>
      <c r="BQ939" s="90"/>
      <c r="BR939" s="90"/>
      <c r="BS939" s="90"/>
      <c r="BT939" s="90"/>
      <c r="BU939" s="90"/>
      <c r="BV939" s="90"/>
      <c r="BW939" s="90"/>
      <c r="BX939" s="90"/>
      <c r="BY939" s="90"/>
      <c r="BZ939" s="90"/>
      <c r="CA939" s="90"/>
      <c r="CB939" s="90"/>
      <c r="CC939" s="90"/>
      <c r="CD939" s="90"/>
      <c r="CE939" s="90"/>
      <c r="CF939" s="90"/>
      <c r="CG939" s="90"/>
      <c r="CH939" s="90"/>
      <c r="CI939" s="90"/>
      <c r="CJ939" s="90"/>
      <c r="CK939" s="90"/>
      <c r="CL939" s="90"/>
      <c r="CM939" s="90"/>
      <c r="CN939" s="90"/>
      <c r="CO939" s="90"/>
      <c r="CP939" s="90"/>
      <c r="CQ939" s="90"/>
      <c r="CR939" s="90"/>
      <c r="CS939" s="90"/>
      <c r="CT939" s="90"/>
      <c r="CU939" s="90"/>
      <c r="CV939" s="90"/>
      <c r="CW939" s="90"/>
    </row>
    <row r="940" ht="16.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0"/>
      <c r="BQ940" s="90"/>
      <c r="BR940" s="90"/>
      <c r="BS940" s="90"/>
      <c r="BT940" s="90"/>
      <c r="BU940" s="90"/>
      <c r="BV940" s="90"/>
      <c r="BW940" s="90"/>
      <c r="BX940" s="90"/>
      <c r="BY940" s="90"/>
      <c r="BZ940" s="90"/>
      <c r="CA940" s="90"/>
      <c r="CB940" s="90"/>
      <c r="CC940" s="90"/>
      <c r="CD940" s="90"/>
      <c r="CE940" s="90"/>
      <c r="CF940" s="90"/>
      <c r="CG940" s="90"/>
      <c r="CH940" s="90"/>
      <c r="CI940" s="90"/>
      <c r="CJ940" s="90"/>
      <c r="CK940" s="90"/>
      <c r="CL940" s="90"/>
      <c r="CM940" s="90"/>
      <c r="CN940" s="90"/>
      <c r="CO940" s="90"/>
      <c r="CP940" s="90"/>
      <c r="CQ940" s="90"/>
      <c r="CR940" s="90"/>
      <c r="CS940" s="90"/>
      <c r="CT940" s="90"/>
      <c r="CU940" s="90"/>
      <c r="CV940" s="90"/>
      <c r="CW940" s="90"/>
    </row>
    <row r="941" ht="16.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H941" s="90"/>
      <c r="BI941" s="90"/>
      <c r="BJ941" s="90"/>
      <c r="BK941" s="90"/>
      <c r="BL941" s="90"/>
      <c r="BM941" s="90"/>
      <c r="BN941" s="90"/>
      <c r="BO941" s="90"/>
      <c r="BP941" s="90"/>
      <c r="BQ941" s="90"/>
      <c r="BR941" s="90"/>
      <c r="BS941" s="90"/>
      <c r="BT941" s="90"/>
      <c r="BU941" s="90"/>
      <c r="BV941" s="90"/>
      <c r="BW941" s="90"/>
      <c r="BX941" s="90"/>
      <c r="BY941" s="90"/>
      <c r="BZ941" s="90"/>
      <c r="CA941" s="90"/>
      <c r="CB941" s="90"/>
      <c r="CC941" s="90"/>
      <c r="CD941" s="90"/>
      <c r="CE941" s="90"/>
      <c r="CF941" s="90"/>
      <c r="CG941" s="90"/>
      <c r="CH941" s="90"/>
      <c r="CI941" s="90"/>
      <c r="CJ941" s="90"/>
      <c r="CK941" s="90"/>
      <c r="CL941" s="90"/>
      <c r="CM941" s="90"/>
      <c r="CN941" s="90"/>
      <c r="CO941" s="90"/>
      <c r="CP941" s="90"/>
      <c r="CQ941" s="90"/>
      <c r="CR941" s="90"/>
      <c r="CS941" s="90"/>
      <c r="CT941" s="90"/>
      <c r="CU941" s="90"/>
      <c r="CV941" s="90"/>
      <c r="CW941" s="90"/>
    </row>
    <row r="942" ht="16.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0"/>
      <c r="BQ942" s="90"/>
      <c r="BR942" s="90"/>
      <c r="BS942" s="90"/>
      <c r="BT942" s="90"/>
      <c r="BU942" s="90"/>
      <c r="BV942" s="90"/>
      <c r="BW942" s="90"/>
      <c r="BX942" s="90"/>
      <c r="BY942" s="90"/>
      <c r="BZ942" s="90"/>
      <c r="CA942" s="90"/>
      <c r="CB942" s="90"/>
      <c r="CC942" s="90"/>
      <c r="CD942" s="90"/>
      <c r="CE942" s="90"/>
      <c r="CF942" s="90"/>
      <c r="CG942" s="90"/>
      <c r="CH942" s="90"/>
      <c r="CI942" s="90"/>
      <c r="CJ942" s="90"/>
      <c r="CK942" s="90"/>
      <c r="CL942" s="90"/>
      <c r="CM942" s="90"/>
      <c r="CN942" s="90"/>
      <c r="CO942" s="90"/>
      <c r="CP942" s="90"/>
      <c r="CQ942" s="90"/>
      <c r="CR942" s="90"/>
      <c r="CS942" s="90"/>
      <c r="CT942" s="90"/>
      <c r="CU942" s="90"/>
      <c r="CV942" s="90"/>
      <c r="CW942" s="90"/>
    </row>
    <row r="943" ht="16.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H943" s="90"/>
      <c r="BI943" s="90"/>
      <c r="BJ943" s="90"/>
      <c r="BK943" s="90"/>
      <c r="BL943" s="90"/>
      <c r="BM943" s="90"/>
      <c r="BN943" s="90"/>
      <c r="BO943" s="90"/>
      <c r="BP943" s="90"/>
      <c r="BQ943" s="90"/>
      <c r="BR943" s="90"/>
      <c r="BS943" s="90"/>
      <c r="BT943" s="90"/>
      <c r="BU943" s="90"/>
      <c r="BV943" s="90"/>
      <c r="BW943" s="90"/>
      <c r="BX943" s="90"/>
      <c r="BY943" s="90"/>
      <c r="BZ943" s="90"/>
      <c r="CA943" s="90"/>
      <c r="CB943" s="90"/>
      <c r="CC943" s="90"/>
      <c r="CD943" s="90"/>
      <c r="CE943" s="90"/>
      <c r="CF943" s="90"/>
      <c r="CG943" s="90"/>
      <c r="CH943" s="90"/>
      <c r="CI943" s="90"/>
      <c r="CJ943" s="90"/>
      <c r="CK943" s="90"/>
      <c r="CL943" s="90"/>
      <c r="CM943" s="90"/>
      <c r="CN943" s="90"/>
      <c r="CO943" s="90"/>
      <c r="CP943" s="90"/>
      <c r="CQ943" s="90"/>
      <c r="CR943" s="90"/>
      <c r="CS943" s="90"/>
      <c r="CT943" s="90"/>
      <c r="CU943" s="90"/>
      <c r="CV943" s="90"/>
      <c r="CW943" s="90"/>
    </row>
    <row r="944" ht="16.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0"/>
      <c r="BQ944" s="90"/>
      <c r="BR944" s="90"/>
      <c r="BS944" s="90"/>
      <c r="BT944" s="90"/>
      <c r="BU944" s="90"/>
      <c r="BV944" s="90"/>
      <c r="BW944" s="90"/>
      <c r="BX944" s="90"/>
      <c r="BY944" s="90"/>
      <c r="BZ944" s="90"/>
      <c r="CA944" s="90"/>
      <c r="CB944" s="90"/>
      <c r="CC944" s="90"/>
      <c r="CD944" s="90"/>
      <c r="CE944" s="90"/>
      <c r="CF944" s="90"/>
      <c r="CG944" s="90"/>
      <c r="CH944" s="90"/>
      <c r="CI944" s="90"/>
      <c r="CJ944" s="90"/>
      <c r="CK944" s="90"/>
      <c r="CL944" s="90"/>
      <c r="CM944" s="90"/>
      <c r="CN944" s="90"/>
      <c r="CO944" s="90"/>
      <c r="CP944" s="90"/>
      <c r="CQ944" s="90"/>
      <c r="CR944" s="90"/>
      <c r="CS944" s="90"/>
      <c r="CT944" s="90"/>
      <c r="CU944" s="90"/>
      <c r="CV944" s="90"/>
      <c r="CW944" s="90"/>
    </row>
    <row r="945" ht="16.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H945" s="90"/>
      <c r="BI945" s="90"/>
      <c r="BJ945" s="90"/>
      <c r="BK945" s="90"/>
      <c r="BL945" s="90"/>
      <c r="BM945" s="90"/>
      <c r="BN945" s="90"/>
      <c r="BO945" s="90"/>
      <c r="BP945" s="90"/>
      <c r="BQ945" s="90"/>
      <c r="BR945" s="90"/>
      <c r="BS945" s="90"/>
      <c r="BT945" s="90"/>
      <c r="BU945" s="90"/>
      <c r="BV945" s="90"/>
      <c r="BW945" s="90"/>
      <c r="BX945" s="90"/>
      <c r="BY945" s="90"/>
      <c r="BZ945" s="90"/>
      <c r="CA945" s="90"/>
      <c r="CB945" s="90"/>
      <c r="CC945" s="90"/>
      <c r="CD945" s="90"/>
      <c r="CE945" s="90"/>
      <c r="CF945" s="90"/>
      <c r="CG945" s="90"/>
      <c r="CH945" s="90"/>
      <c r="CI945" s="90"/>
      <c r="CJ945" s="90"/>
      <c r="CK945" s="90"/>
      <c r="CL945" s="90"/>
      <c r="CM945" s="90"/>
      <c r="CN945" s="90"/>
      <c r="CO945" s="90"/>
      <c r="CP945" s="90"/>
      <c r="CQ945" s="90"/>
      <c r="CR945" s="90"/>
      <c r="CS945" s="90"/>
      <c r="CT945" s="90"/>
      <c r="CU945" s="90"/>
      <c r="CV945" s="90"/>
      <c r="CW945" s="90"/>
    </row>
    <row r="946" ht="16.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0"/>
      <c r="BQ946" s="90"/>
      <c r="BR946" s="90"/>
      <c r="BS946" s="90"/>
      <c r="BT946" s="90"/>
      <c r="BU946" s="90"/>
      <c r="BV946" s="90"/>
      <c r="BW946" s="90"/>
      <c r="BX946" s="90"/>
      <c r="BY946" s="90"/>
      <c r="BZ946" s="90"/>
      <c r="CA946" s="90"/>
      <c r="CB946" s="90"/>
      <c r="CC946" s="90"/>
      <c r="CD946" s="90"/>
      <c r="CE946" s="90"/>
      <c r="CF946" s="90"/>
      <c r="CG946" s="90"/>
      <c r="CH946" s="90"/>
      <c r="CI946" s="90"/>
      <c r="CJ946" s="90"/>
      <c r="CK946" s="90"/>
      <c r="CL946" s="90"/>
      <c r="CM946" s="90"/>
      <c r="CN946" s="90"/>
      <c r="CO946" s="90"/>
      <c r="CP946" s="90"/>
      <c r="CQ946" s="90"/>
      <c r="CR946" s="90"/>
      <c r="CS946" s="90"/>
      <c r="CT946" s="90"/>
      <c r="CU946" s="90"/>
      <c r="CV946" s="90"/>
      <c r="CW946" s="90"/>
    </row>
    <row r="947" ht="16.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H947" s="90"/>
      <c r="BI947" s="90"/>
      <c r="BJ947" s="90"/>
      <c r="BK947" s="90"/>
      <c r="BL947" s="90"/>
      <c r="BM947" s="90"/>
      <c r="BN947" s="90"/>
      <c r="BO947" s="90"/>
      <c r="BP947" s="90"/>
      <c r="BQ947" s="90"/>
      <c r="BR947" s="90"/>
      <c r="BS947" s="90"/>
      <c r="BT947" s="90"/>
      <c r="BU947" s="90"/>
      <c r="BV947" s="90"/>
      <c r="BW947" s="90"/>
      <c r="BX947" s="90"/>
      <c r="BY947" s="90"/>
      <c r="BZ947" s="90"/>
      <c r="CA947" s="90"/>
      <c r="CB947" s="90"/>
      <c r="CC947" s="90"/>
      <c r="CD947" s="90"/>
      <c r="CE947" s="90"/>
      <c r="CF947" s="90"/>
      <c r="CG947" s="90"/>
      <c r="CH947" s="90"/>
      <c r="CI947" s="90"/>
      <c r="CJ947" s="90"/>
      <c r="CK947" s="90"/>
      <c r="CL947" s="90"/>
      <c r="CM947" s="90"/>
      <c r="CN947" s="90"/>
      <c r="CO947" s="90"/>
      <c r="CP947" s="90"/>
      <c r="CQ947" s="90"/>
      <c r="CR947" s="90"/>
      <c r="CS947" s="90"/>
      <c r="CT947" s="90"/>
      <c r="CU947" s="90"/>
      <c r="CV947" s="90"/>
      <c r="CW947" s="90"/>
    </row>
    <row r="948" ht="16.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0"/>
      <c r="BQ948" s="90"/>
      <c r="BR948" s="90"/>
      <c r="BS948" s="90"/>
      <c r="BT948" s="90"/>
      <c r="BU948" s="90"/>
      <c r="BV948" s="90"/>
      <c r="BW948" s="90"/>
      <c r="BX948" s="90"/>
      <c r="BY948" s="90"/>
      <c r="BZ948" s="90"/>
      <c r="CA948" s="90"/>
      <c r="CB948" s="90"/>
      <c r="CC948" s="90"/>
      <c r="CD948" s="90"/>
      <c r="CE948" s="90"/>
      <c r="CF948" s="90"/>
      <c r="CG948" s="90"/>
      <c r="CH948" s="90"/>
      <c r="CI948" s="90"/>
      <c r="CJ948" s="90"/>
      <c r="CK948" s="90"/>
      <c r="CL948" s="90"/>
      <c r="CM948" s="90"/>
      <c r="CN948" s="90"/>
      <c r="CO948" s="90"/>
      <c r="CP948" s="90"/>
      <c r="CQ948" s="90"/>
      <c r="CR948" s="90"/>
      <c r="CS948" s="90"/>
      <c r="CT948" s="90"/>
      <c r="CU948" s="90"/>
      <c r="CV948" s="90"/>
      <c r="CW948" s="90"/>
    </row>
    <row r="949" ht="16.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H949" s="90"/>
      <c r="BI949" s="90"/>
      <c r="BJ949" s="90"/>
      <c r="BK949" s="90"/>
      <c r="BL949" s="90"/>
      <c r="BM949" s="90"/>
      <c r="BN949" s="90"/>
      <c r="BO949" s="90"/>
      <c r="BP949" s="90"/>
      <c r="BQ949" s="90"/>
      <c r="BR949" s="90"/>
      <c r="BS949" s="90"/>
      <c r="BT949" s="90"/>
      <c r="BU949" s="90"/>
      <c r="BV949" s="90"/>
      <c r="BW949" s="90"/>
      <c r="BX949" s="90"/>
      <c r="BY949" s="90"/>
      <c r="BZ949" s="90"/>
      <c r="CA949" s="90"/>
      <c r="CB949" s="90"/>
      <c r="CC949" s="90"/>
      <c r="CD949" s="90"/>
      <c r="CE949" s="90"/>
      <c r="CF949" s="90"/>
      <c r="CG949" s="90"/>
      <c r="CH949" s="90"/>
      <c r="CI949" s="90"/>
      <c r="CJ949" s="90"/>
      <c r="CK949" s="90"/>
      <c r="CL949" s="90"/>
      <c r="CM949" s="90"/>
      <c r="CN949" s="90"/>
      <c r="CO949" s="90"/>
      <c r="CP949" s="90"/>
      <c r="CQ949" s="90"/>
      <c r="CR949" s="90"/>
      <c r="CS949" s="90"/>
      <c r="CT949" s="90"/>
      <c r="CU949" s="90"/>
      <c r="CV949" s="90"/>
      <c r="CW949" s="90"/>
    </row>
    <row r="950" ht="16.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0"/>
      <c r="BQ950" s="90"/>
      <c r="BR950" s="90"/>
      <c r="BS950" s="90"/>
      <c r="BT950" s="90"/>
      <c r="BU950" s="90"/>
      <c r="BV950" s="90"/>
      <c r="BW950" s="90"/>
      <c r="BX950" s="90"/>
      <c r="BY950" s="90"/>
      <c r="BZ950" s="90"/>
      <c r="CA950" s="90"/>
      <c r="CB950" s="90"/>
      <c r="CC950" s="90"/>
      <c r="CD950" s="90"/>
      <c r="CE950" s="90"/>
      <c r="CF950" s="90"/>
      <c r="CG950" s="90"/>
      <c r="CH950" s="90"/>
      <c r="CI950" s="90"/>
      <c r="CJ950" s="90"/>
      <c r="CK950" s="90"/>
      <c r="CL950" s="90"/>
      <c r="CM950" s="90"/>
      <c r="CN950" s="90"/>
      <c r="CO950" s="90"/>
      <c r="CP950" s="90"/>
      <c r="CQ950" s="90"/>
      <c r="CR950" s="90"/>
      <c r="CS950" s="90"/>
      <c r="CT950" s="90"/>
      <c r="CU950" s="90"/>
      <c r="CV950" s="90"/>
      <c r="CW950" s="90"/>
    </row>
    <row r="951" ht="16.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H951" s="90"/>
      <c r="BI951" s="90"/>
      <c r="BJ951" s="90"/>
      <c r="BK951" s="90"/>
      <c r="BL951" s="90"/>
      <c r="BM951" s="90"/>
      <c r="BN951" s="90"/>
      <c r="BO951" s="90"/>
      <c r="BP951" s="90"/>
      <c r="BQ951" s="90"/>
      <c r="BR951" s="90"/>
      <c r="BS951" s="90"/>
      <c r="BT951" s="90"/>
      <c r="BU951" s="90"/>
      <c r="BV951" s="90"/>
      <c r="BW951" s="90"/>
      <c r="BX951" s="90"/>
      <c r="BY951" s="90"/>
      <c r="BZ951" s="90"/>
      <c r="CA951" s="90"/>
      <c r="CB951" s="90"/>
      <c r="CC951" s="90"/>
      <c r="CD951" s="90"/>
      <c r="CE951" s="90"/>
      <c r="CF951" s="90"/>
      <c r="CG951" s="90"/>
      <c r="CH951" s="90"/>
      <c r="CI951" s="90"/>
      <c r="CJ951" s="90"/>
      <c r="CK951" s="90"/>
      <c r="CL951" s="90"/>
      <c r="CM951" s="90"/>
      <c r="CN951" s="90"/>
      <c r="CO951" s="90"/>
      <c r="CP951" s="90"/>
      <c r="CQ951" s="90"/>
      <c r="CR951" s="90"/>
      <c r="CS951" s="90"/>
      <c r="CT951" s="90"/>
      <c r="CU951" s="90"/>
      <c r="CV951" s="90"/>
      <c r="CW951" s="90"/>
    </row>
    <row r="952" ht="16.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  <c r="BO952" s="90"/>
      <c r="BP952" s="90"/>
      <c r="BQ952" s="90"/>
      <c r="BR952" s="90"/>
      <c r="BS952" s="90"/>
      <c r="BT952" s="90"/>
      <c r="BU952" s="90"/>
      <c r="BV952" s="90"/>
      <c r="BW952" s="90"/>
      <c r="BX952" s="90"/>
      <c r="BY952" s="90"/>
      <c r="BZ952" s="90"/>
      <c r="CA952" s="90"/>
      <c r="CB952" s="90"/>
      <c r="CC952" s="90"/>
      <c r="CD952" s="90"/>
      <c r="CE952" s="90"/>
      <c r="CF952" s="90"/>
      <c r="CG952" s="90"/>
      <c r="CH952" s="90"/>
      <c r="CI952" s="90"/>
      <c r="CJ952" s="90"/>
      <c r="CK952" s="90"/>
      <c r="CL952" s="90"/>
      <c r="CM952" s="90"/>
      <c r="CN952" s="90"/>
      <c r="CO952" s="90"/>
      <c r="CP952" s="90"/>
      <c r="CQ952" s="90"/>
      <c r="CR952" s="90"/>
      <c r="CS952" s="90"/>
      <c r="CT952" s="90"/>
      <c r="CU952" s="90"/>
      <c r="CV952" s="90"/>
      <c r="CW952" s="90"/>
    </row>
    <row r="953" ht="16.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H953" s="90"/>
      <c r="BI953" s="90"/>
      <c r="BJ953" s="90"/>
      <c r="BK953" s="90"/>
      <c r="BL953" s="90"/>
      <c r="BM953" s="90"/>
      <c r="BN953" s="90"/>
      <c r="BO953" s="90"/>
      <c r="BP953" s="90"/>
      <c r="BQ953" s="90"/>
      <c r="BR953" s="90"/>
      <c r="BS953" s="90"/>
      <c r="BT953" s="90"/>
      <c r="BU953" s="90"/>
      <c r="BV953" s="90"/>
      <c r="BW953" s="90"/>
      <c r="BX953" s="90"/>
      <c r="BY953" s="90"/>
      <c r="BZ953" s="90"/>
      <c r="CA953" s="90"/>
      <c r="CB953" s="90"/>
      <c r="CC953" s="90"/>
      <c r="CD953" s="90"/>
      <c r="CE953" s="90"/>
      <c r="CF953" s="90"/>
      <c r="CG953" s="90"/>
      <c r="CH953" s="90"/>
      <c r="CI953" s="90"/>
      <c r="CJ953" s="90"/>
      <c r="CK953" s="90"/>
      <c r="CL953" s="90"/>
      <c r="CM953" s="90"/>
      <c r="CN953" s="90"/>
      <c r="CO953" s="90"/>
      <c r="CP953" s="90"/>
      <c r="CQ953" s="90"/>
      <c r="CR953" s="90"/>
      <c r="CS953" s="90"/>
      <c r="CT953" s="90"/>
      <c r="CU953" s="90"/>
      <c r="CV953" s="90"/>
      <c r="CW953" s="90"/>
    </row>
    <row r="954" ht="16.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  <c r="BO954" s="90"/>
      <c r="BP954" s="90"/>
      <c r="BQ954" s="90"/>
      <c r="BR954" s="90"/>
      <c r="BS954" s="90"/>
      <c r="BT954" s="90"/>
      <c r="BU954" s="90"/>
      <c r="BV954" s="90"/>
      <c r="BW954" s="90"/>
      <c r="BX954" s="90"/>
      <c r="BY954" s="90"/>
      <c r="BZ954" s="90"/>
      <c r="CA954" s="90"/>
      <c r="CB954" s="90"/>
      <c r="CC954" s="90"/>
      <c r="CD954" s="90"/>
      <c r="CE954" s="90"/>
      <c r="CF954" s="90"/>
      <c r="CG954" s="90"/>
      <c r="CH954" s="90"/>
      <c r="CI954" s="90"/>
      <c r="CJ954" s="90"/>
      <c r="CK954" s="90"/>
      <c r="CL954" s="90"/>
      <c r="CM954" s="90"/>
      <c r="CN954" s="90"/>
      <c r="CO954" s="90"/>
      <c r="CP954" s="90"/>
      <c r="CQ954" s="90"/>
      <c r="CR954" s="90"/>
      <c r="CS954" s="90"/>
      <c r="CT954" s="90"/>
      <c r="CU954" s="90"/>
      <c r="CV954" s="90"/>
      <c r="CW954" s="90"/>
    </row>
    <row r="955" ht="16.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H955" s="90"/>
      <c r="BI955" s="90"/>
      <c r="BJ955" s="90"/>
      <c r="BK955" s="90"/>
      <c r="BL955" s="90"/>
      <c r="BM955" s="90"/>
      <c r="BN955" s="90"/>
      <c r="BO955" s="90"/>
      <c r="BP955" s="90"/>
      <c r="BQ955" s="90"/>
      <c r="BR955" s="90"/>
      <c r="BS955" s="90"/>
      <c r="BT955" s="90"/>
      <c r="BU955" s="90"/>
      <c r="BV955" s="90"/>
      <c r="BW955" s="90"/>
      <c r="BX955" s="90"/>
      <c r="BY955" s="90"/>
      <c r="BZ955" s="90"/>
      <c r="CA955" s="90"/>
      <c r="CB955" s="90"/>
      <c r="CC955" s="90"/>
      <c r="CD955" s="90"/>
      <c r="CE955" s="90"/>
      <c r="CF955" s="90"/>
      <c r="CG955" s="90"/>
      <c r="CH955" s="90"/>
      <c r="CI955" s="90"/>
      <c r="CJ955" s="90"/>
      <c r="CK955" s="90"/>
      <c r="CL955" s="90"/>
      <c r="CM955" s="90"/>
      <c r="CN955" s="90"/>
      <c r="CO955" s="90"/>
      <c r="CP955" s="90"/>
      <c r="CQ955" s="90"/>
      <c r="CR955" s="90"/>
      <c r="CS955" s="90"/>
      <c r="CT955" s="90"/>
      <c r="CU955" s="90"/>
      <c r="CV955" s="90"/>
      <c r="CW955" s="90"/>
    </row>
    <row r="956" ht="16.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  <c r="BO956" s="90"/>
      <c r="BP956" s="90"/>
      <c r="BQ956" s="90"/>
      <c r="BR956" s="90"/>
      <c r="BS956" s="90"/>
      <c r="BT956" s="90"/>
      <c r="BU956" s="90"/>
      <c r="BV956" s="90"/>
      <c r="BW956" s="90"/>
      <c r="BX956" s="90"/>
      <c r="BY956" s="90"/>
      <c r="BZ956" s="90"/>
      <c r="CA956" s="90"/>
      <c r="CB956" s="90"/>
      <c r="CC956" s="90"/>
      <c r="CD956" s="90"/>
      <c r="CE956" s="90"/>
      <c r="CF956" s="90"/>
      <c r="CG956" s="90"/>
      <c r="CH956" s="90"/>
      <c r="CI956" s="90"/>
      <c r="CJ956" s="90"/>
      <c r="CK956" s="90"/>
      <c r="CL956" s="90"/>
      <c r="CM956" s="90"/>
      <c r="CN956" s="90"/>
      <c r="CO956" s="90"/>
      <c r="CP956" s="90"/>
      <c r="CQ956" s="90"/>
      <c r="CR956" s="90"/>
      <c r="CS956" s="90"/>
      <c r="CT956" s="90"/>
      <c r="CU956" s="90"/>
      <c r="CV956" s="90"/>
      <c r="CW956" s="90"/>
    </row>
    <row r="957" ht="16.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H957" s="90"/>
      <c r="BI957" s="90"/>
      <c r="BJ957" s="90"/>
      <c r="BK957" s="90"/>
      <c r="BL957" s="90"/>
      <c r="BM957" s="90"/>
      <c r="BN957" s="90"/>
      <c r="BO957" s="90"/>
      <c r="BP957" s="90"/>
      <c r="BQ957" s="90"/>
      <c r="BR957" s="90"/>
      <c r="BS957" s="90"/>
      <c r="BT957" s="90"/>
      <c r="BU957" s="90"/>
      <c r="BV957" s="90"/>
      <c r="BW957" s="90"/>
      <c r="BX957" s="90"/>
      <c r="BY957" s="90"/>
      <c r="BZ957" s="90"/>
      <c r="CA957" s="90"/>
      <c r="CB957" s="90"/>
      <c r="CC957" s="90"/>
      <c r="CD957" s="90"/>
      <c r="CE957" s="90"/>
      <c r="CF957" s="90"/>
      <c r="CG957" s="90"/>
      <c r="CH957" s="90"/>
      <c r="CI957" s="90"/>
      <c r="CJ957" s="90"/>
      <c r="CK957" s="90"/>
      <c r="CL957" s="90"/>
      <c r="CM957" s="90"/>
      <c r="CN957" s="90"/>
      <c r="CO957" s="90"/>
      <c r="CP957" s="90"/>
      <c r="CQ957" s="90"/>
      <c r="CR957" s="90"/>
      <c r="CS957" s="90"/>
      <c r="CT957" s="90"/>
      <c r="CU957" s="90"/>
      <c r="CV957" s="90"/>
      <c r="CW957" s="90"/>
    </row>
    <row r="958" ht="16.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H958" s="90"/>
      <c r="BI958" s="90"/>
      <c r="BJ958" s="90"/>
      <c r="BK958" s="90"/>
      <c r="BL958" s="90"/>
      <c r="BM958" s="90"/>
      <c r="BN958" s="90"/>
      <c r="BO958" s="90"/>
      <c r="BP958" s="90"/>
      <c r="BQ958" s="90"/>
      <c r="BR958" s="90"/>
      <c r="BS958" s="90"/>
      <c r="BT958" s="90"/>
      <c r="BU958" s="90"/>
      <c r="BV958" s="90"/>
      <c r="BW958" s="90"/>
      <c r="BX958" s="90"/>
      <c r="BY958" s="90"/>
      <c r="BZ958" s="90"/>
      <c r="CA958" s="90"/>
      <c r="CB958" s="90"/>
      <c r="CC958" s="90"/>
      <c r="CD958" s="90"/>
      <c r="CE958" s="90"/>
      <c r="CF958" s="90"/>
      <c r="CG958" s="90"/>
      <c r="CH958" s="90"/>
      <c r="CI958" s="90"/>
      <c r="CJ958" s="90"/>
      <c r="CK958" s="90"/>
      <c r="CL958" s="90"/>
      <c r="CM958" s="90"/>
      <c r="CN958" s="90"/>
      <c r="CO958" s="90"/>
      <c r="CP958" s="90"/>
      <c r="CQ958" s="90"/>
      <c r="CR958" s="90"/>
      <c r="CS958" s="90"/>
      <c r="CT958" s="90"/>
      <c r="CU958" s="90"/>
      <c r="CV958" s="90"/>
      <c r="CW958" s="90"/>
    </row>
    <row r="959" ht="16.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H959" s="90"/>
      <c r="BI959" s="90"/>
      <c r="BJ959" s="90"/>
      <c r="BK959" s="90"/>
      <c r="BL959" s="90"/>
      <c r="BM959" s="90"/>
      <c r="BN959" s="90"/>
      <c r="BO959" s="90"/>
      <c r="BP959" s="90"/>
      <c r="BQ959" s="90"/>
      <c r="BR959" s="90"/>
      <c r="BS959" s="90"/>
      <c r="BT959" s="90"/>
      <c r="BU959" s="90"/>
      <c r="BV959" s="90"/>
      <c r="BW959" s="90"/>
      <c r="BX959" s="90"/>
      <c r="BY959" s="90"/>
      <c r="BZ959" s="90"/>
      <c r="CA959" s="90"/>
      <c r="CB959" s="90"/>
      <c r="CC959" s="90"/>
      <c r="CD959" s="90"/>
      <c r="CE959" s="90"/>
      <c r="CF959" s="90"/>
      <c r="CG959" s="90"/>
      <c r="CH959" s="90"/>
      <c r="CI959" s="90"/>
      <c r="CJ959" s="90"/>
      <c r="CK959" s="90"/>
      <c r="CL959" s="90"/>
      <c r="CM959" s="90"/>
      <c r="CN959" s="90"/>
      <c r="CO959" s="90"/>
      <c r="CP959" s="90"/>
      <c r="CQ959" s="90"/>
      <c r="CR959" s="90"/>
      <c r="CS959" s="90"/>
      <c r="CT959" s="90"/>
      <c r="CU959" s="90"/>
      <c r="CV959" s="90"/>
      <c r="CW959" s="90"/>
    </row>
    <row r="960" ht="16.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H960" s="90"/>
      <c r="BI960" s="90"/>
      <c r="BJ960" s="90"/>
      <c r="BK960" s="90"/>
      <c r="BL960" s="90"/>
      <c r="BM960" s="90"/>
      <c r="BN960" s="90"/>
      <c r="BO960" s="90"/>
      <c r="BP960" s="90"/>
      <c r="BQ960" s="90"/>
      <c r="BR960" s="90"/>
      <c r="BS960" s="90"/>
      <c r="BT960" s="90"/>
      <c r="BU960" s="90"/>
      <c r="BV960" s="90"/>
      <c r="BW960" s="90"/>
      <c r="BX960" s="90"/>
      <c r="BY960" s="90"/>
      <c r="BZ960" s="90"/>
      <c r="CA960" s="90"/>
      <c r="CB960" s="90"/>
      <c r="CC960" s="90"/>
      <c r="CD960" s="90"/>
      <c r="CE960" s="90"/>
      <c r="CF960" s="90"/>
      <c r="CG960" s="90"/>
      <c r="CH960" s="90"/>
      <c r="CI960" s="90"/>
      <c r="CJ960" s="90"/>
      <c r="CK960" s="90"/>
      <c r="CL960" s="90"/>
      <c r="CM960" s="90"/>
      <c r="CN960" s="90"/>
      <c r="CO960" s="90"/>
      <c r="CP960" s="90"/>
      <c r="CQ960" s="90"/>
      <c r="CR960" s="90"/>
      <c r="CS960" s="90"/>
      <c r="CT960" s="90"/>
      <c r="CU960" s="90"/>
      <c r="CV960" s="90"/>
      <c r="CW960" s="90"/>
    </row>
    <row r="961" ht="16.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H961" s="90"/>
      <c r="BI961" s="90"/>
      <c r="BJ961" s="90"/>
      <c r="BK961" s="90"/>
      <c r="BL961" s="90"/>
      <c r="BM961" s="90"/>
      <c r="BN961" s="90"/>
      <c r="BO961" s="90"/>
      <c r="BP961" s="90"/>
      <c r="BQ961" s="90"/>
      <c r="BR961" s="90"/>
      <c r="BS961" s="90"/>
      <c r="BT961" s="90"/>
      <c r="BU961" s="90"/>
      <c r="BV961" s="90"/>
      <c r="BW961" s="90"/>
      <c r="BX961" s="90"/>
      <c r="BY961" s="90"/>
      <c r="BZ961" s="90"/>
      <c r="CA961" s="90"/>
      <c r="CB961" s="90"/>
      <c r="CC961" s="90"/>
      <c r="CD961" s="90"/>
      <c r="CE961" s="90"/>
      <c r="CF961" s="90"/>
      <c r="CG961" s="90"/>
      <c r="CH961" s="90"/>
      <c r="CI961" s="90"/>
      <c r="CJ961" s="90"/>
      <c r="CK961" s="90"/>
      <c r="CL961" s="90"/>
      <c r="CM961" s="90"/>
      <c r="CN961" s="90"/>
      <c r="CO961" s="90"/>
      <c r="CP961" s="90"/>
      <c r="CQ961" s="90"/>
      <c r="CR961" s="90"/>
      <c r="CS961" s="90"/>
      <c r="CT961" s="90"/>
      <c r="CU961" s="90"/>
      <c r="CV961" s="90"/>
      <c r="CW961" s="90"/>
    </row>
    <row r="962" ht="16.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H962" s="90"/>
      <c r="BI962" s="90"/>
      <c r="BJ962" s="90"/>
      <c r="BK962" s="90"/>
      <c r="BL962" s="90"/>
      <c r="BM962" s="90"/>
      <c r="BN962" s="90"/>
      <c r="BO962" s="90"/>
      <c r="BP962" s="90"/>
      <c r="BQ962" s="90"/>
      <c r="BR962" s="90"/>
      <c r="BS962" s="90"/>
      <c r="BT962" s="90"/>
      <c r="BU962" s="90"/>
      <c r="BV962" s="90"/>
      <c r="BW962" s="90"/>
      <c r="BX962" s="90"/>
      <c r="BY962" s="90"/>
      <c r="BZ962" s="90"/>
      <c r="CA962" s="90"/>
      <c r="CB962" s="90"/>
      <c r="CC962" s="90"/>
      <c r="CD962" s="90"/>
      <c r="CE962" s="90"/>
      <c r="CF962" s="90"/>
      <c r="CG962" s="90"/>
      <c r="CH962" s="90"/>
      <c r="CI962" s="90"/>
      <c r="CJ962" s="90"/>
      <c r="CK962" s="90"/>
      <c r="CL962" s="90"/>
      <c r="CM962" s="90"/>
      <c r="CN962" s="90"/>
      <c r="CO962" s="90"/>
      <c r="CP962" s="90"/>
      <c r="CQ962" s="90"/>
      <c r="CR962" s="90"/>
      <c r="CS962" s="90"/>
      <c r="CT962" s="90"/>
      <c r="CU962" s="90"/>
      <c r="CV962" s="90"/>
      <c r="CW962" s="90"/>
    </row>
    <row r="963" ht="16.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H963" s="90"/>
      <c r="BI963" s="90"/>
      <c r="BJ963" s="90"/>
      <c r="BK963" s="90"/>
      <c r="BL963" s="90"/>
      <c r="BM963" s="90"/>
      <c r="BN963" s="90"/>
      <c r="BO963" s="90"/>
      <c r="BP963" s="90"/>
      <c r="BQ963" s="90"/>
      <c r="BR963" s="90"/>
      <c r="BS963" s="90"/>
      <c r="BT963" s="90"/>
      <c r="BU963" s="90"/>
      <c r="BV963" s="90"/>
      <c r="BW963" s="90"/>
      <c r="BX963" s="90"/>
      <c r="BY963" s="90"/>
      <c r="BZ963" s="90"/>
      <c r="CA963" s="90"/>
      <c r="CB963" s="90"/>
      <c r="CC963" s="90"/>
      <c r="CD963" s="90"/>
      <c r="CE963" s="90"/>
      <c r="CF963" s="90"/>
      <c r="CG963" s="90"/>
      <c r="CH963" s="90"/>
      <c r="CI963" s="90"/>
      <c r="CJ963" s="90"/>
      <c r="CK963" s="90"/>
      <c r="CL963" s="90"/>
      <c r="CM963" s="90"/>
      <c r="CN963" s="90"/>
      <c r="CO963" s="90"/>
      <c r="CP963" s="90"/>
      <c r="CQ963" s="90"/>
      <c r="CR963" s="90"/>
      <c r="CS963" s="90"/>
      <c r="CT963" s="90"/>
      <c r="CU963" s="90"/>
      <c r="CV963" s="90"/>
      <c r="CW963" s="90"/>
    </row>
    <row r="964" ht="16.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H964" s="90"/>
      <c r="BI964" s="90"/>
      <c r="BJ964" s="90"/>
      <c r="BK964" s="90"/>
      <c r="BL964" s="90"/>
      <c r="BM964" s="90"/>
      <c r="BN964" s="90"/>
      <c r="BO964" s="90"/>
      <c r="BP964" s="90"/>
      <c r="BQ964" s="90"/>
      <c r="BR964" s="90"/>
      <c r="BS964" s="90"/>
      <c r="BT964" s="90"/>
      <c r="BU964" s="90"/>
      <c r="BV964" s="90"/>
      <c r="BW964" s="90"/>
      <c r="BX964" s="90"/>
      <c r="BY964" s="90"/>
      <c r="BZ964" s="90"/>
      <c r="CA964" s="90"/>
      <c r="CB964" s="90"/>
      <c r="CC964" s="90"/>
      <c r="CD964" s="90"/>
      <c r="CE964" s="90"/>
      <c r="CF964" s="90"/>
      <c r="CG964" s="90"/>
      <c r="CH964" s="90"/>
      <c r="CI964" s="90"/>
      <c r="CJ964" s="90"/>
      <c r="CK964" s="90"/>
      <c r="CL964" s="90"/>
      <c r="CM964" s="90"/>
      <c r="CN964" s="90"/>
      <c r="CO964" s="90"/>
      <c r="CP964" s="90"/>
      <c r="CQ964" s="90"/>
      <c r="CR964" s="90"/>
      <c r="CS964" s="90"/>
      <c r="CT964" s="90"/>
      <c r="CU964" s="90"/>
      <c r="CV964" s="90"/>
      <c r="CW964" s="90"/>
    </row>
    <row r="965" ht="16.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H965" s="90"/>
      <c r="BI965" s="90"/>
      <c r="BJ965" s="90"/>
      <c r="BK965" s="90"/>
      <c r="BL965" s="90"/>
      <c r="BM965" s="90"/>
      <c r="BN965" s="90"/>
      <c r="BO965" s="90"/>
      <c r="BP965" s="90"/>
      <c r="BQ965" s="90"/>
      <c r="BR965" s="90"/>
      <c r="BS965" s="90"/>
      <c r="BT965" s="90"/>
      <c r="BU965" s="90"/>
      <c r="BV965" s="90"/>
      <c r="BW965" s="90"/>
      <c r="BX965" s="90"/>
      <c r="BY965" s="90"/>
      <c r="BZ965" s="90"/>
      <c r="CA965" s="90"/>
      <c r="CB965" s="90"/>
      <c r="CC965" s="90"/>
      <c r="CD965" s="90"/>
      <c r="CE965" s="90"/>
      <c r="CF965" s="90"/>
      <c r="CG965" s="90"/>
      <c r="CH965" s="90"/>
      <c r="CI965" s="90"/>
      <c r="CJ965" s="90"/>
      <c r="CK965" s="90"/>
      <c r="CL965" s="90"/>
      <c r="CM965" s="90"/>
      <c r="CN965" s="90"/>
      <c r="CO965" s="90"/>
      <c r="CP965" s="90"/>
      <c r="CQ965" s="90"/>
      <c r="CR965" s="90"/>
      <c r="CS965" s="90"/>
      <c r="CT965" s="90"/>
      <c r="CU965" s="90"/>
      <c r="CV965" s="90"/>
      <c r="CW965" s="90"/>
    </row>
    <row r="966" ht="16.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H966" s="90"/>
      <c r="BI966" s="90"/>
      <c r="BJ966" s="90"/>
      <c r="BK966" s="90"/>
      <c r="BL966" s="90"/>
      <c r="BM966" s="90"/>
      <c r="BN966" s="90"/>
      <c r="BO966" s="90"/>
      <c r="BP966" s="90"/>
      <c r="BQ966" s="90"/>
      <c r="BR966" s="90"/>
      <c r="BS966" s="90"/>
      <c r="BT966" s="90"/>
      <c r="BU966" s="90"/>
      <c r="BV966" s="90"/>
      <c r="BW966" s="90"/>
      <c r="BX966" s="90"/>
      <c r="BY966" s="90"/>
      <c r="BZ966" s="90"/>
      <c r="CA966" s="90"/>
      <c r="CB966" s="90"/>
      <c r="CC966" s="90"/>
      <c r="CD966" s="90"/>
      <c r="CE966" s="90"/>
      <c r="CF966" s="90"/>
      <c r="CG966" s="90"/>
      <c r="CH966" s="90"/>
      <c r="CI966" s="90"/>
      <c r="CJ966" s="90"/>
      <c r="CK966" s="90"/>
      <c r="CL966" s="90"/>
      <c r="CM966" s="90"/>
      <c r="CN966" s="90"/>
      <c r="CO966" s="90"/>
      <c r="CP966" s="90"/>
      <c r="CQ966" s="90"/>
      <c r="CR966" s="90"/>
      <c r="CS966" s="90"/>
      <c r="CT966" s="90"/>
      <c r="CU966" s="90"/>
      <c r="CV966" s="90"/>
      <c r="CW966" s="90"/>
    </row>
    <row r="967" ht="16.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H967" s="90"/>
      <c r="BI967" s="90"/>
      <c r="BJ967" s="90"/>
      <c r="BK967" s="90"/>
      <c r="BL967" s="90"/>
      <c r="BM967" s="90"/>
      <c r="BN967" s="90"/>
      <c r="BO967" s="90"/>
      <c r="BP967" s="90"/>
      <c r="BQ967" s="90"/>
      <c r="BR967" s="90"/>
      <c r="BS967" s="90"/>
      <c r="BT967" s="90"/>
      <c r="BU967" s="90"/>
      <c r="BV967" s="90"/>
      <c r="BW967" s="90"/>
      <c r="BX967" s="90"/>
      <c r="BY967" s="90"/>
      <c r="BZ967" s="90"/>
      <c r="CA967" s="90"/>
      <c r="CB967" s="90"/>
      <c r="CC967" s="90"/>
      <c r="CD967" s="90"/>
      <c r="CE967" s="90"/>
      <c r="CF967" s="90"/>
      <c r="CG967" s="90"/>
      <c r="CH967" s="90"/>
      <c r="CI967" s="90"/>
      <c r="CJ967" s="90"/>
      <c r="CK967" s="90"/>
      <c r="CL967" s="90"/>
      <c r="CM967" s="90"/>
      <c r="CN967" s="90"/>
      <c r="CO967" s="90"/>
      <c r="CP967" s="90"/>
      <c r="CQ967" s="90"/>
      <c r="CR967" s="90"/>
      <c r="CS967" s="90"/>
      <c r="CT967" s="90"/>
      <c r="CU967" s="90"/>
      <c r="CV967" s="90"/>
      <c r="CW967" s="90"/>
    </row>
    <row r="968" ht="16.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H968" s="90"/>
      <c r="BI968" s="90"/>
      <c r="BJ968" s="90"/>
      <c r="BK968" s="90"/>
      <c r="BL968" s="90"/>
      <c r="BM968" s="90"/>
      <c r="BN968" s="90"/>
      <c r="BO968" s="90"/>
      <c r="BP968" s="90"/>
      <c r="BQ968" s="90"/>
      <c r="BR968" s="90"/>
      <c r="BS968" s="90"/>
      <c r="BT968" s="90"/>
      <c r="BU968" s="90"/>
      <c r="BV968" s="90"/>
      <c r="BW968" s="90"/>
      <c r="BX968" s="90"/>
      <c r="BY968" s="90"/>
      <c r="BZ968" s="90"/>
      <c r="CA968" s="90"/>
      <c r="CB968" s="90"/>
      <c r="CC968" s="90"/>
      <c r="CD968" s="90"/>
      <c r="CE968" s="90"/>
      <c r="CF968" s="90"/>
      <c r="CG968" s="90"/>
      <c r="CH968" s="90"/>
      <c r="CI968" s="90"/>
      <c r="CJ968" s="90"/>
      <c r="CK968" s="90"/>
      <c r="CL968" s="90"/>
      <c r="CM968" s="90"/>
      <c r="CN968" s="90"/>
      <c r="CO968" s="90"/>
      <c r="CP968" s="90"/>
      <c r="CQ968" s="90"/>
      <c r="CR968" s="90"/>
      <c r="CS968" s="90"/>
      <c r="CT968" s="90"/>
      <c r="CU968" s="90"/>
      <c r="CV968" s="90"/>
      <c r="CW968" s="90"/>
    </row>
    <row r="969" ht="16.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H969" s="90"/>
      <c r="BI969" s="90"/>
      <c r="BJ969" s="90"/>
      <c r="BK969" s="90"/>
      <c r="BL969" s="90"/>
      <c r="BM969" s="90"/>
      <c r="BN969" s="90"/>
      <c r="BO969" s="90"/>
      <c r="BP969" s="90"/>
      <c r="BQ969" s="90"/>
      <c r="BR969" s="90"/>
      <c r="BS969" s="90"/>
      <c r="BT969" s="90"/>
      <c r="BU969" s="90"/>
      <c r="BV969" s="90"/>
      <c r="BW969" s="90"/>
      <c r="BX969" s="90"/>
      <c r="BY969" s="90"/>
      <c r="BZ969" s="90"/>
      <c r="CA969" s="90"/>
      <c r="CB969" s="90"/>
      <c r="CC969" s="90"/>
      <c r="CD969" s="90"/>
      <c r="CE969" s="90"/>
      <c r="CF969" s="90"/>
      <c r="CG969" s="90"/>
      <c r="CH969" s="90"/>
      <c r="CI969" s="90"/>
      <c r="CJ969" s="90"/>
      <c r="CK969" s="90"/>
      <c r="CL969" s="90"/>
      <c r="CM969" s="90"/>
      <c r="CN969" s="90"/>
      <c r="CO969" s="90"/>
      <c r="CP969" s="90"/>
      <c r="CQ969" s="90"/>
      <c r="CR969" s="90"/>
      <c r="CS969" s="90"/>
      <c r="CT969" s="90"/>
      <c r="CU969" s="90"/>
      <c r="CV969" s="90"/>
      <c r="CW969" s="90"/>
    </row>
    <row r="970" ht="16.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H970" s="90"/>
      <c r="BI970" s="90"/>
      <c r="BJ970" s="90"/>
      <c r="BK970" s="90"/>
      <c r="BL970" s="90"/>
      <c r="BM970" s="90"/>
      <c r="BN970" s="90"/>
      <c r="BO970" s="90"/>
      <c r="BP970" s="90"/>
      <c r="BQ970" s="90"/>
      <c r="BR970" s="90"/>
      <c r="BS970" s="90"/>
      <c r="BT970" s="90"/>
      <c r="BU970" s="90"/>
      <c r="BV970" s="90"/>
      <c r="BW970" s="90"/>
      <c r="BX970" s="90"/>
      <c r="BY970" s="90"/>
      <c r="BZ970" s="90"/>
      <c r="CA970" s="90"/>
      <c r="CB970" s="90"/>
      <c r="CC970" s="90"/>
      <c r="CD970" s="90"/>
      <c r="CE970" s="90"/>
      <c r="CF970" s="90"/>
      <c r="CG970" s="90"/>
      <c r="CH970" s="90"/>
      <c r="CI970" s="90"/>
      <c r="CJ970" s="90"/>
      <c r="CK970" s="90"/>
      <c r="CL970" s="90"/>
      <c r="CM970" s="90"/>
      <c r="CN970" s="90"/>
      <c r="CO970" s="90"/>
      <c r="CP970" s="90"/>
      <c r="CQ970" s="90"/>
      <c r="CR970" s="90"/>
      <c r="CS970" s="90"/>
      <c r="CT970" s="90"/>
      <c r="CU970" s="90"/>
      <c r="CV970" s="90"/>
      <c r="CW970" s="90"/>
    </row>
    <row r="971" ht="16.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H971" s="90"/>
      <c r="BI971" s="90"/>
      <c r="BJ971" s="90"/>
      <c r="BK971" s="90"/>
      <c r="BL971" s="90"/>
      <c r="BM971" s="90"/>
      <c r="BN971" s="90"/>
      <c r="BO971" s="90"/>
      <c r="BP971" s="90"/>
      <c r="BQ971" s="90"/>
      <c r="BR971" s="90"/>
      <c r="BS971" s="90"/>
      <c r="BT971" s="90"/>
      <c r="BU971" s="90"/>
      <c r="BV971" s="90"/>
      <c r="BW971" s="90"/>
      <c r="BX971" s="90"/>
      <c r="BY971" s="90"/>
      <c r="BZ971" s="90"/>
      <c r="CA971" s="90"/>
      <c r="CB971" s="90"/>
      <c r="CC971" s="90"/>
      <c r="CD971" s="90"/>
      <c r="CE971" s="90"/>
      <c r="CF971" s="90"/>
      <c r="CG971" s="90"/>
      <c r="CH971" s="90"/>
      <c r="CI971" s="90"/>
      <c r="CJ971" s="90"/>
      <c r="CK971" s="90"/>
      <c r="CL971" s="90"/>
      <c r="CM971" s="90"/>
      <c r="CN971" s="90"/>
      <c r="CO971" s="90"/>
      <c r="CP971" s="90"/>
      <c r="CQ971" s="90"/>
      <c r="CR971" s="90"/>
      <c r="CS971" s="90"/>
      <c r="CT971" s="90"/>
      <c r="CU971" s="90"/>
      <c r="CV971" s="90"/>
      <c r="CW971" s="90"/>
    </row>
    <row r="972" ht="16.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H972" s="90"/>
      <c r="BI972" s="90"/>
      <c r="BJ972" s="90"/>
      <c r="BK972" s="90"/>
      <c r="BL972" s="90"/>
      <c r="BM972" s="90"/>
      <c r="BN972" s="90"/>
      <c r="BO972" s="90"/>
      <c r="BP972" s="90"/>
      <c r="BQ972" s="90"/>
      <c r="BR972" s="90"/>
      <c r="BS972" s="90"/>
      <c r="BT972" s="90"/>
      <c r="BU972" s="90"/>
      <c r="BV972" s="90"/>
      <c r="BW972" s="90"/>
      <c r="BX972" s="90"/>
      <c r="BY972" s="90"/>
      <c r="BZ972" s="90"/>
      <c r="CA972" s="90"/>
      <c r="CB972" s="90"/>
      <c r="CC972" s="90"/>
      <c r="CD972" s="90"/>
      <c r="CE972" s="90"/>
      <c r="CF972" s="90"/>
      <c r="CG972" s="90"/>
      <c r="CH972" s="90"/>
      <c r="CI972" s="90"/>
      <c r="CJ972" s="90"/>
      <c r="CK972" s="90"/>
      <c r="CL972" s="90"/>
      <c r="CM972" s="90"/>
      <c r="CN972" s="90"/>
      <c r="CO972" s="90"/>
      <c r="CP972" s="90"/>
      <c r="CQ972" s="90"/>
      <c r="CR972" s="90"/>
      <c r="CS972" s="90"/>
      <c r="CT972" s="90"/>
      <c r="CU972" s="90"/>
      <c r="CV972" s="90"/>
      <c r="CW972" s="90"/>
    </row>
    <row r="973" ht="16.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H973" s="90"/>
      <c r="BI973" s="90"/>
      <c r="BJ973" s="90"/>
      <c r="BK973" s="90"/>
      <c r="BL973" s="90"/>
      <c r="BM973" s="90"/>
      <c r="BN973" s="90"/>
      <c r="BO973" s="90"/>
      <c r="BP973" s="90"/>
      <c r="BQ973" s="90"/>
      <c r="BR973" s="90"/>
      <c r="BS973" s="90"/>
      <c r="BT973" s="90"/>
      <c r="BU973" s="90"/>
      <c r="BV973" s="90"/>
      <c r="BW973" s="90"/>
      <c r="BX973" s="90"/>
      <c r="BY973" s="90"/>
      <c r="BZ973" s="90"/>
      <c r="CA973" s="90"/>
      <c r="CB973" s="90"/>
      <c r="CC973" s="90"/>
      <c r="CD973" s="90"/>
      <c r="CE973" s="90"/>
      <c r="CF973" s="90"/>
      <c r="CG973" s="90"/>
      <c r="CH973" s="90"/>
      <c r="CI973" s="90"/>
      <c r="CJ973" s="90"/>
      <c r="CK973" s="90"/>
      <c r="CL973" s="90"/>
      <c r="CM973" s="90"/>
      <c r="CN973" s="90"/>
      <c r="CO973" s="90"/>
      <c r="CP973" s="90"/>
      <c r="CQ973" s="90"/>
      <c r="CR973" s="90"/>
      <c r="CS973" s="90"/>
      <c r="CT973" s="90"/>
      <c r="CU973" s="90"/>
      <c r="CV973" s="90"/>
      <c r="CW973" s="90"/>
    </row>
    <row r="974" ht="16.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H974" s="90"/>
      <c r="BI974" s="90"/>
      <c r="BJ974" s="90"/>
      <c r="BK974" s="90"/>
      <c r="BL974" s="90"/>
      <c r="BM974" s="90"/>
      <c r="BN974" s="90"/>
      <c r="BO974" s="90"/>
      <c r="BP974" s="90"/>
      <c r="BQ974" s="90"/>
      <c r="BR974" s="90"/>
      <c r="BS974" s="90"/>
      <c r="BT974" s="90"/>
      <c r="BU974" s="90"/>
      <c r="BV974" s="90"/>
      <c r="BW974" s="90"/>
      <c r="BX974" s="90"/>
      <c r="BY974" s="90"/>
      <c r="BZ974" s="90"/>
      <c r="CA974" s="90"/>
      <c r="CB974" s="90"/>
      <c r="CC974" s="90"/>
      <c r="CD974" s="90"/>
      <c r="CE974" s="90"/>
      <c r="CF974" s="90"/>
      <c r="CG974" s="90"/>
      <c r="CH974" s="90"/>
      <c r="CI974" s="90"/>
      <c r="CJ974" s="90"/>
      <c r="CK974" s="90"/>
      <c r="CL974" s="90"/>
      <c r="CM974" s="90"/>
      <c r="CN974" s="90"/>
      <c r="CO974" s="90"/>
      <c r="CP974" s="90"/>
      <c r="CQ974" s="90"/>
      <c r="CR974" s="90"/>
      <c r="CS974" s="90"/>
      <c r="CT974" s="90"/>
      <c r="CU974" s="90"/>
      <c r="CV974" s="90"/>
      <c r="CW974" s="90"/>
    </row>
    <row r="975" ht="16.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H975" s="90"/>
      <c r="BI975" s="90"/>
      <c r="BJ975" s="90"/>
      <c r="BK975" s="90"/>
      <c r="BL975" s="90"/>
      <c r="BM975" s="90"/>
      <c r="BN975" s="90"/>
      <c r="BO975" s="90"/>
      <c r="BP975" s="90"/>
      <c r="BQ975" s="90"/>
      <c r="BR975" s="90"/>
      <c r="BS975" s="90"/>
      <c r="BT975" s="90"/>
      <c r="BU975" s="90"/>
      <c r="BV975" s="90"/>
      <c r="BW975" s="90"/>
      <c r="BX975" s="90"/>
      <c r="BY975" s="90"/>
      <c r="BZ975" s="90"/>
      <c r="CA975" s="90"/>
      <c r="CB975" s="90"/>
      <c r="CC975" s="90"/>
      <c r="CD975" s="90"/>
      <c r="CE975" s="90"/>
      <c r="CF975" s="90"/>
      <c r="CG975" s="90"/>
      <c r="CH975" s="90"/>
      <c r="CI975" s="90"/>
      <c r="CJ975" s="90"/>
      <c r="CK975" s="90"/>
      <c r="CL975" s="90"/>
      <c r="CM975" s="90"/>
      <c r="CN975" s="90"/>
      <c r="CO975" s="90"/>
      <c r="CP975" s="90"/>
      <c r="CQ975" s="90"/>
      <c r="CR975" s="90"/>
      <c r="CS975" s="90"/>
      <c r="CT975" s="90"/>
      <c r="CU975" s="90"/>
      <c r="CV975" s="90"/>
      <c r="CW975" s="90"/>
    </row>
    <row r="976" ht="16.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H976" s="90"/>
      <c r="BI976" s="90"/>
      <c r="BJ976" s="90"/>
      <c r="BK976" s="90"/>
      <c r="BL976" s="90"/>
      <c r="BM976" s="90"/>
      <c r="BN976" s="90"/>
      <c r="BO976" s="90"/>
      <c r="BP976" s="90"/>
      <c r="BQ976" s="90"/>
      <c r="BR976" s="90"/>
      <c r="BS976" s="90"/>
      <c r="BT976" s="90"/>
      <c r="BU976" s="90"/>
      <c r="BV976" s="90"/>
      <c r="BW976" s="90"/>
      <c r="BX976" s="90"/>
      <c r="BY976" s="90"/>
      <c r="BZ976" s="90"/>
      <c r="CA976" s="90"/>
      <c r="CB976" s="90"/>
      <c r="CC976" s="90"/>
      <c r="CD976" s="90"/>
      <c r="CE976" s="90"/>
      <c r="CF976" s="90"/>
      <c r="CG976" s="90"/>
      <c r="CH976" s="90"/>
      <c r="CI976" s="90"/>
      <c r="CJ976" s="90"/>
      <c r="CK976" s="90"/>
      <c r="CL976" s="90"/>
      <c r="CM976" s="90"/>
      <c r="CN976" s="90"/>
      <c r="CO976" s="90"/>
      <c r="CP976" s="90"/>
      <c r="CQ976" s="90"/>
      <c r="CR976" s="90"/>
      <c r="CS976" s="90"/>
      <c r="CT976" s="90"/>
      <c r="CU976" s="90"/>
      <c r="CV976" s="90"/>
      <c r="CW976" s="90"/>
    </row>
    <row r="977" ht="16.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H977" s="90"/>
      <c r="BI977" s="90"/>
      <c r="BJ977" s="90"/>
      <c r="BK977" s="90"/>
      <c r="BL977" s="90"/>
      <c r="BM977" s="90"/>
      <c r="BN977" s="90"/>
      <c r="BO977" s="90"/>
      <c r="BP977" s="90"/>
      <c r="BQ977" s="90"/>
      <c r="BR977" s="90"/>
      <c r="BS977" s="90"/>
      <c r="BT977" s="90"/>
      <c r="BU977" s="90"/>
      <c r="BV977" s="90"/>
      <c r="BW977" s="90"/>
      <c r="BX977" s="90"/>
      <c r="BY977" s="90"/>
      <c r="BZ977" s="90"/>
      <c r="CA977" s="90"/>
      <c r="CB977" s="90"/>
      <c r="CC977" s="90"/>
      <c r="CD977" s="90"/>
      <c r="CE977" s="90"/>
      <c r="CF977" s="90"/>
      <c r="CG977" s="90"/>
      <c r="CH977" s="90"/>
      <c r="CI977" s="90"/>
      <c r="CJ977" s="90"/>
      <c r="CK977" s="90"/>
      <c r="CL977" s="90"/>
      <c r="CM977" s="90"/>
      <c r="CN977" s="90"/>
      <c r="CO977" s="90"/>
      <c r="CP977" s="90"/>
      <c r="CQ977" s="90"/>
      <c r="CR977" s="90"/>
      <c r="CS977" s="90"/>
      <c r="CT977" s="90"/>
      <c r="CU977" s="90"/>
      <c r="CV977" s="90"/>
      <c r="CW977" s="90"/>
    </row>
    <row r="978" ht="16.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H978" s="90"/>
      <c r="BI978" s="90"/>
      <c r="BJ978" s="90"/>
      <c r="BK978" s="90"/>
      <c r="BL978" s="90"/>
      <c r="BM978" s="90"/>
      <c r="BN978" s="90"/>
      <c r="BO978" s="90"/>
      <c r="BP978" s="90"/>
      <c r="BQ978" s="90"/>
      <c r="BR978" s="90"/>
      <c r="BS978" s="90"/>
      <c r="BT978" s="90"/>
      <c r="BU978" s="90"/>
      <c r="BV978" s="90"/>
      <c r="BW978" s="90"/>
      <c r="BX978" s="90"/>
      <c r="BY978" s="90"/>
      <c r="BZ978" s="90"/>
      <c r="CA978" s="90"/>
      <c r="CB978" s="90"/>
      <c r="CC978" s="90"/>
      <c r="CD978" s="90"/>
      <c r="CE978" s="90"/>
      <c r="CF978" s="90"/>
      <c r="CG978" s="90"/>
      <c r="CH978" s="90"/>
      <c r="CI978" s="90"/>
      <c r="CJ978" s="90"/>
      <c r="CK978" s="90"/>
      <c r="CL978" s="90"/>
      <c r="CM978" s="90"/>
      <c r="CN978" s="90"/>
      <c r="CO978" s="90"/>
      <c r="CP978" s="90"/>
      <c r="CQ978" s="90"/>
      <c r="CR978" s="90"/>
      <c r="CS978" s="90"/>
      <c r="CT978" s="90"/>
      <c r="CU978" s="90"/>
      <c r="CV978" s="90"/>
      <c r="CW978" s="90"/>
    </row>
    <row r="979" ht="16.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H979" s="90"/>
      <c r="BI979" s="90"/>
      <c r="BJ979" s="90"/>
      <c r="BK979" s="90"/>
      <c r="BL979" s="90"/>
      <c r="BM979" s="90"/>
      <c r="BN979" s="90"/>
      <c r="BO979" s="90"/>
      <c r="BP979" s="90"/>
      <c r="BQ979" s="90"/>
      <c r="BR979" s="90"/>
      <c r="BS979" s="90"/>
      <c r="BT979" s="90"/>
      <c r="BU979" s="90"/>
      <c r="BV979" s="90"/>
      <c r="BW979" s="90"/>
      <c r="BX979" s="90"/>
      <c r="BY979" s="90"/>
      <c r="BZ979" s="90"/>
      <c r="CA979" s="90"/>
      <c r="CB979" s="90"/>
      <c r="CC979" s="90"/>
      <c r="CD979" s="90"/>
      <c r="CE979" s="90"/>
      <c r="CF979" s="90"/>
      <c r="CG979" s="90"/>
      <c r="CH979" s="90"/>
      <c r="CI979" s="90"/>
      <c r="CJ979" s="90"/>
      <c r="CK979" s="90"/>
      <c r="CL979" s="90"/>
      <c r="CM979" s="90"/>
      <c r="CN979" s="90"/>
      <c r="CO979" s="90"/>
      <c r="CP979" s="90"/>
      <c r="CQ979" s="90"/>
      <c r="CR979" s="90"/>
      <c r="CS979" s="90"/>
      <c r="CT979" s="90"/>
      <c r="CU979" s="90"/>
      <c r="CV979" s="90"/>
      <c r="CW979" s="90"/>
    </row>
    <row r="980" ht="16.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H980" s="90"/>
      <c r="BI980" s="90"/>
      <c r="BJ980" s="90"/>
      <c r="BK980" s="90"/>
      <c r="BL980" s="90"/>
      <c r="BM980" s="90"/>
      <c r="BN980" s="90"/>
      <c r="BO980" s="90"/>
      <c r="BP980" s="90"/>
      <c r="BQ980" s="90"/>
      <c r="BR980" s="90"/>
      <c r="BS980" s="90"/>
      <c r="BT980" s="90"/>
      <c r="BU980" s="90"/>
      <c r="BV980" s="90"/>
      <c r="BW980" s="90"/>
      <c r="BX980" s="90"/>
      <c r="BY980" s="90"/>
      <c r="BZ980" s="90"/>
      <c r="CA980" s="90"/>
      <c r="CB980" s="90"/>
      <c r="CC980" s="90"/>
      <c r="CD980" s="90"/>
      <c r="CE980" s="90"/>
      <c r="CF980" s="90"/>
      <c r="CG980" s="90"/>
      <c r="CH980" s="90"/>
      <c r="CI980" s="90"/>
      <c r="CJ980" s="90"/>
      <c r="CK980" s="90"/>
      <c r="CL980" s="90"/>
      <c r="CM980" s="90"/>
      <c r="CN980" s="90"/>
      <c r="CO980" s="90"/>
      <c r="CP980" s="90"/>
      <c r="CQ980" s="90"/>
      <c r="CR980" s="90"/>
      <c r="CS980" s="90"/>
      <c r="CT980" s="90"/>
      <c r="CU980" s="90"/>
      <c r="CV980" s="90"/>
      <c r="CW980" s="90"/>
    </row>
    <row r="981" ht="16.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H981" s="90"/>
      <c r="BI981" s="90"/>
      <c r="BJ981" s="90"/>
      <c r="BK981" s="90"/>
      <c r="BL981" s="90"/>
      <c r="BM981" s="90"/>
      <c r="BN981" s="90"/>
      <c r="BO981" s="90"/>
      <c r="BP981" s="90"/>
      <c r="BQ981" s="90"/>
      <c r="BR981" s="90"/>
      <c r="BS981" s="90"/>
      <c r="BT981" s="90"/>
      <c r="BU981" s="90"/>
      <c r="BV981" s="90"/>
      <c r="BW981" s="90"/>
      <c r="BX981" s="90"/>
      <c r="BY981" s="90"/>
      <c r="BZ981" s="90"/>
      <c r="CA981" s="90"/>
      <c r="CB981" s="90"/>
      <c r="CC981" s="90"/>
      <c r="CD981" s="90"/>
      <c r="CE981" s="90"/>
      <c r="CF981" s="90"/>
      <c r="CG981" s="90"/>
      <c r="CH981" s="90"/>
      <c r="CI981" s="90"/>
      <c r="CJ981" s="90"/>
      <c r="CK981" s="90"/>
      <c r="CL981" s="90"/>
      <c r="CM981" s="90"/>
      <c r="CN981" s="90"/>
      <c r="CO981" s="90"/>
      <c r="CP981" s="90"/>
      <c r="CQ981" s="90"/>
      <c r="CR981" s="90"/>
      <c r="CS981" s="90"/>
      <c r="CT981" s="90"/>
      <c r="CU981" s="90"/>
      <c r="CV981" s="90"/>
      <c r="CW981" s="90"/>
    </row>
    <row r="982" ht="16.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H982" s="90"/>
      <c r="BI982" s="90"/>
      <c r="BJ982" s="90"/>
      <c r="BK982" s="90"/>
      <c r="BL982" s="90"/>
      <c r="BM982" s="90"/>
      <c r="BN982" s="90"/>
      <c r="BO982" s="90"/>
      <c r="BP982" s="90"/>
      <c r="BQ982" s="90"/>
      <c r="BR982" s="90"/>
      <c r="BS982" s="90"/>
      <c r="BT982" s="90"/>
      <c r="BU982" s="90"/>
      <c r="BV982" s="90"/>
      <c r="BW982" s="90"/>
      <c r="BX982" s="90"/>
      <c r="BY982" s="90"/>
      <c r="BZ982" s="90"/>
      <c r="CA982" s="90"/>
      <c r="CB982" s="90"/>
      <c r="CC982" s="90"/>
      <c r="CD982" s="90"/>
      <c r="CE982" s="90"/>
      <c r="CF982" s="90"/>
      <c r="CG982" s="90"/>
      <c r="CH982" s="90"/>
      <c r="CI982" s="90"/>
      <c r="CJ982" s="90"/>
      <c r="CK982" s="90"/>
      <c r="CL982" s="90"/>
      <c r="CM982" s="90"/>
      <c r="CN982" s="90"/>
      <c r="CO982" s="90"/>
      <c r="CP982" s="90"/>
      <c r="CQ982" s="90"/>
      <c r="CR982" s="90"/>
      <c r="CS982" s="90"/>
      <c r="CT982" s="90"/>
      <c r="CU982" s="90"/>
      <c r="CV982" s="90"/>
      <c r="CW982" s="90"/>
    </row>
    <row r="983" ht="16.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H983" s="90"/>
      <c r="BI983" s="90"/>
      <c r="BJ983" s="90"/>
      <c r="BK983" s="90"/>
      <c r="BL983" s="90"/>
      <c r="BM983" s="90"/>
      <c r="BN983" s="90"/>
      <c r="BO983" s="90"/>
      <c r="BP983" s="90"/>
      <c r="BQ983" s="90"/>
      <c r="BR983" s="90"/>
      <c r="BS983" s="90"/>
      <c r="BT983" s="90"/>
      <c r="BU983" s="90"/>
      <c r="BV983" s="90"/>
      <c r="BW983" s="90"/>
      <c r="BX983" s="90"/>
      <c r="BY983" s="90"/>
      <c r="BZ983" s="90"/>
      <c r="CA983" s="90"/>
      <c r="CB983" s="90"/>
      <c r="CC983" s="90"/>
      <c r="CD983" s="90"/>
      <c r="CE983" s="90"/>
      <c r="CF983" s="90"/>
      <c r="CG983" s="90"/>
      <c r="CH983" s="90"/>
      <c r="CI983" s="90"/>
      <c r="CJ983" s="90"/>
      <c r="CK983" s="90"/>
      <c r="CL983" s="90"/>
      <c r="CM983" s="90"/>
      <c r="CN983" s="90"/>
      <c r="CO983" s="90"/>
      <c r="CP983" s="90"/>
      <c r="CQ983" s="90"/>
      <c r="CR983" s="90"/>
      <c r="CS983" s="90"/>
      <c r="CT983" s="90"/>
      <c r="CU983" s="90"/>
      <c r="CV983" s="90"/>
      <c r="CW983" s="90"/>
    </row>
    <row r="984" ht="16.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  <c r="AT984" s="90"/>
      <c r="AU984" s="90"/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H984" s="90"/>
      <c r="BI984" s="90"/>
      <c r="BJ984" s="90"/>
      <c r="BK984" s="90"/>
      <c r="BL984" s="90"/>
      <c r="BM984" s="90"/>
      <c r="BN984" s="90"/>
      <c r="BO984" s="90"/>
      <c r="BP984" s="90"/>
      <c r="BQ984" s="90"/>
      <c r="BR984" s="90"/>
      <c r="BS984" s="90"/>
      <c r="BT984" s="90"/>
      <c r="BU984" s="90"/>
      <c r="BV984" s="90"/>
      <c r="BW984" s="90"/>
      <c r="BX984" s="90"/>
      <c r="BY984" s="90"/>
      <c r="BZ984" s="90"/>
      <c r="CA984" s="90"/>
      <c r="CB984" s="90"/>
      <c r="CC984" s="90"/>
      <c r="CD984" s="90"/>
      <c r="CE984" s="90"/>
      <c r="CF984" s="90"/>
      <c r="CG984" s="90"/>
      <c r="CH984" s="90"/>
      <c r="CI984" s="90"/>
      <c r="CJ984" s="90"/>
      <c r="CK984" s="90"/>
      <c r="CL984" s="90"/>
      <c r="CM984" s="90"/>
      <c r="CN984" s="90"/>
      <c r="CO984" s="90"/>
      <c r="CP984" s="90"/>
      <c r="CQ984" s="90"/>
      <c r="CR984" s="90"/>
      <c r="CS984" s="90"/>
      <c r="CT984" s="90"/>
      <c r="CU984" s="90"/>
      <c r="CV984" s="90"/>
      <c r="CW984" s="90"/>
    </row>
    <row r="985" ht="16.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  <c r="AT985" s="90"/>
      <c r="AU985" s="90"/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H985" s="90"/>
      <c r="BI985" s="90"/>
      <c r="BJ985" s="90"/>
      <c r="BK985" s="90"/>
      <c r="BL985" s="90"/>
      <c r="BM985" s="90"/>
      <c r="BN985" s="90"/>
      <c r="BO985" s="90"/>
      <c r="BP985" s="90"/>
      <c r="BQ985" s="90"/>
      <c r="BR985" s="90"/>
      <c r="BS985" s="90"/>
      <c r="BT985" s="90"/>
      <c r="BU985" s="90"/>
      <c r="BV985" s="90"/>
      <c r="BW985" s="90"/>
      <c r="BX985" s="90"/>
      <c r="BY985" s="90"/>
      <c r="BZ985" s="90"/>
      <c r="CA985" s="90"/>
      <c r="CB985" s="90"/>
      <c r="CC985" s="90"/>
      <c r="CD985" s="90"/>
      <c r="CE985" s="90"/>
      <c r="CF985" s="90"/>
      <c r="CG985" s="90"/>
      <c r="CH985" s="90"/>
      <c r="CI985" s="90"/>
      <c r="CJ985" s="90"/>
      <c r="CK985" s="90"/>
      <c r="CL985" s="90"/>
      <c r="CM985" s="90"/>
      <c r="CN985" s="90"/>
      <c r="CO985" s="90"/>
      <c r="CP985" s="90"/>
      <c r="CQ985" s="90"/>
      <c r="CR985" s="90"/>
      <c r="CS985" s="90"/>
      <c r="CT985" s="90"/>
      <c r="CU985" s="90"/>
      <c r="CV985" s="90"/>
      <c r="CW985" s="90"/>
    </row>
    <row r="986" ht="16.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0"/>
      <c r="AR986" s="90"/>
      <c r="AS986" s="90"/>
      <c r="AT986" s="90"/>
      <c r="AU986" s="90"/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H986" s="90"/>
      <c r="BI986" s="90"/>
      <c r="BJ986" s="90"/>
      <c r="BK986" s="90"/>
      <c r="BL986" s="90"/>
      <c r="BM986" s="90"/>
      <c r="BN986" s="90"/>
      <c r="BO986" s="90"/>
      <c r="BP986" s="90"/>
      <c r="BQ986" s="90"/>
      <c r="BR986" s="90"/>
      <c r="BS986" s="90"/>
      <c r="BT986" s="90"/>
      <c r="BU986" s="90"/>
      <c r="BV986" s="90"/>
      <c r="BW986" s="90"/>
      <c r="BX986" s="90"/>
      <c r="BY986" s="90"/>
      <c r="BZ986" s="90"/>
      <c r="CA986" s="90"/>
      <c r="CB986" s="90"/>
      <c r="CC986" s="90"/>
      <c r="CD986" s="90"/>
      <c r="CE986" s="90"/>
      <c r="CF986" s="90"/>
      <c r="CG986" s="90"/>
      <c r="CH986" s="90"/>
      <c r="CI986" s="90"/>
      <c r="CJ986" s="90"/>
      <c r="CK986" s="90"/>
      <c r="CL986" s="90"/>
      <c r="CM986" s="90"/>
      <c r="CN986" s="90"/>
      <c r="CO986" s="90"/>
      <c r="CP986" s="90"/>
      <c r="CQ986" s="90"/>
      <c r="CR986" s="90"/>
      <c r="CS986" s="90"/>
      <c r="CT986" s="90"/>
      <c r="CU986" s="90"/>
      <c r="CV986" s="90"/>
      <c r="CW986" s="90"/>
    </row>
    <row r="987" ht="16.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0"/>
      <c r="AR987" s="90"/>
      <c r="AS987" s="90"/>
      <c r="AT987" s="90"/>
      <c r="AU987" s="90"/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H987" s="90"/>
      <c r="BI987" s="90"/>
      <c r="BJ987" s="90"/>
      <c r="BK987" s="90"/>
      <c r="BL987" s="90"/>
      <c r="BM987" s="90"/>
      <c r="BN987" s="90"/>
      <c r="BO987" s="90"/>
      <c r="BP987" s="90"/>
      <c r="BQ987" s="90"/>
      <c r="BR987" s="90"/>
      <c r="BS987" s="90"/>
      <c r="BT987" s="90"/>
      <c r="BU987" s="90"/>
      <c r="BV987" s="90"/>
      <c r="BW987" s="90"/>
      <c r="BX987" s="90"/>
      <c r="BY987" s="90"/>
      <c r="BZ987" s="90"/>
      <c r="CA987" s="90"/>
      <c r="CB987" s="90"/>
      <c r="CC987" s="90"/>
      <c r="CD987" s="90"/>
      <c r="CE987" s="90"/>
      <c r="CF987" s="90"/>
      <c r="CG987" s="90"/>
      <c r="CH987" s="90"/>
      <c r="CI987" s="90"/>
      <c r="CJ987" s="90"/>
      <c r="CK987" s="90"/>
      <c r="CL987" s="90"/>
      <c r="CM987" s="90"/>
      <c r="CN987" s="90"/>
      <c r="CO987" s="90"/>
      <c r="CP987" s="90"/>
      <c r="CQ987" s="90"/>
      <c r="CR987" s="90"/>
      <c r="CS987" s="90"/>
      <c r="CT987" s="90"/>
      <c r="CU987" s="90"/>
      <c r="CV987" s="90"/>
      <c r="CW987" s="90"/>
    </row>
    <row r="988" ht="16.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0"/>
      <c r="AR988" s="90"/>
      <c r="AS988" s="90"/>
      <c r="AT988" s="90"/>
      <c r="AU988" s="90"/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H988" s="90"/>
      <c r="BI988" s="90"/>
      <c r="BJ988" s="90"/>
      <c r="BK988" s="90"/>
      <c r="BL988" s="90"/>
      <c r="BM988" s="90"/>
      <c r="BN988" s="90"/>
      <c r="BO988" s="90"/>
      <c r="BP988" s="90"/>
      <c r="BQ988" s="90"/>
      <c r="BR988" s="90"/>
      <c r="BS988" s="90"/>
      <c r="BT988" s="90"/>
      <c r="BU988" s="90"/>
      <c r="BV988" s="90"/>
      <c r="BW988" s="90"/>
      <c r="BX988" s="90"/>
      <c r="BY988" s="90"/>
      <c r="BZ988" s="90"/>
      <c r="CA988" s="90"/>
      <c r="CB988" s="90"/>
      <c r="CC988" s="90"/>
      <c r="CD988" s="90"/>
      <c r="CE988" s="90"/>
      <c r="CF988" s="90"/>
      <c r="CG988" s="90"/>
      <c r="CH988" s="90"/>
      <c r="CI988" s="90"/>
      <c r="CJ988" s="90"/>
      <c r="CK988" s="90"/>
      <c r="CL988" s="90"/>
      <c r="CM988" s="90"/>
      <c r="CN988" s="90"/>
      <c r="CO988" s="90"/>
      <c r="CP988" s="90"/>
      <c r="CQ988" s="90"/>
      <c r="CR988" s="90"/>
      <c r="CS988" s="90"/>
      <c r="CT988" s="90"/>
      <c r="CU988" s="90"/>
      <c r="CV988" s="90"/>
      <c r="CW988" s="90"/>
    </row>
    <row r="989" ht="16.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  <c r="AQ989" s="90"/>
      <c r="AR989" s="90"/>
      <c r="AS989" s="90"/>
      <c r="AT989" s="90"/>
      <c r="AU989" s="90"/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H989" s="90"/>
      <c r="BI989" s="90"/>
      <c r="BJ989" s="90"/>
      <c r="BK989" s="90"/>
      <c r="BL989" s="90"/>
      <c r="BM989" s="90"/>
      <c r="BN989" s="90"/>
      <c r="BO989" s="90"/>
      <c r="BP989" s="90"/>
      <c r="BQ989" s="90"/>
      <c r="BR989" s="90"/>
      <c r="BS989" s="90"/>
      <c r="BT989" s="90"/>
      <c r="BU989" s="90"/>
      <c r="BV989" s="90"/>
      <c r="BW989" s="90"/>
      <c r="BX989" s="90"/>
      <c r="BY989" s="90"/>
      <c r="BZ989" s="90"/>
      <c r="CA989" s="90"/>
      <c r="CB989" s="90"/>
      <c r="CC989" s="90"/>
      <c r="CD989" s="90"/>
      <c r="CE989" s="90"/>
      <c r="CF989" s="90"/>
      <c r="CG989" s="90"/>
      <c r="CH989" s="90"/>
      <c r="CI989" s="90"/>
      <c r="CJ989" s="90"/>
      <c r="CK989" s="90"/>
      <c r="CL989" s="90"/>
      <c r="CM989" s="90"/>
      <c r="CN989" s="90"/>
      <c r="CO989" s="90"/>
      <c r="CP989" s="90"/>
      <c r="CQ989" s="90"/>
      <c r="CR989" s="90"/>
      <c r="CS989" s="90"/>
      <c r="CT989" s="90"/>
      <c r="CU989" s="90"/>
      <c r="CV989" s="90"/>
      <c r="CW989" s="90"/>
    </row>
    <row r="990" ht="16.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  <c r="AQ990" s="90"/>
      <c r="AR990" s="90"/>
      <c r="AS990" s="90"/>
      <c r="AT990" s="90"/>
      <c r="AU990" s="90"/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H990" s="90"/>
      <c r="BI990" s="90"/>
      <c r="BJ990" s="90"/>
      <c r="BK990" s="90"/>
      <c r="BL990" s="90"/>
      <c r="BM990" s="90"/>
      <c r="BN990" s="90"/>
      <c r="BO990" s="90"/>
      <c r="BP990" s="90"/>
      <c r="BQ990" s="90"/>
      <c r="BR990" s="90"/>
      <c r="BS990" s="90"/>
      <c r="BT990" s="90"/>
      <c r="BU990" s="90"/>
      <c r="BV990" s="90"/>
      <c r="BW990" s="90"/>
      <c r="BX990" s="90"/>
      <c r="BY990" s="90"/>
      <c r="BZ990" s="90"/>
      <c r="CA990" s="90"/>
      <c r="CB990" s="90"/>
      <c r="CC990" s="90"/>
      <c r="CD990" s="90"/>
      <c r="CE990" s="90"/>
      <c r="CF990" s="90"/>
      <c r="CG990" s="90"/>
      <c r="CH990" s="90"/>
      <c r="CI990" s="90"/>
      <c r="CJ990" s="90"/>
      <c r="CK990" s="90"/>
      <c r="CL990" s="90"/>
      <c r="CM990" s="90"/>
      <c r="CN990" s="90"/>
      <c r="CO990" s="90"/>
      <c r="CP990" s="90"/>
      <c r="CQ990" s="90"/>
      <c r="CR990" s="90"/>
      <c r="CS990" s="90"/>
      <c r="CT990" s="90"/>
      <c r="CU990" s="90"/>
      <c r="CV990" s="90"/>
      <c r="CW990" s="90"/>
    </row>
    <row r="991" ht="16.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H991" s="90"/>
      <c r="BI991" s="90"/>
      <c r="BJ991" s="90"/>
      <c r="BK991" s="90"/>
      <c r="BL991" s="90"/>
      <c r="BM991" s="90"/>
      <c r="BN991" s="90"/>
      <c r="BO991" s="90"/>
      <c r="BP991" s="90"/>
      <c r="BQ991" s="90"/>
      <c r="BR991" s="90"/>
      <c r="BS991" s="90"/>
      <c r="BT991" s="90"/>
      <c r="BU991" s="90"/>
      <c r="BV991" s="90"/>
      <c r="BW991" s="90"/>
      <c r="BX991" s="90"/>
      <c r="BY991" s="90"/>
      <c r="BZ991" s="90"/>
      <c r="CA991" s="90"/>
      <c r="CB991" s="90"/>
      <c r="CC991" s="90"/>
      <c r="CD991" s="90"/>
      <c r="CE991" s="90"/>
      <c r="CF991" s="90"/>
      <c r="CG991" s="90"/>
      <c r="CH991" s="90"/>
      <c r="CI991" s="90"/>
      <c r="CJ991" s="90"/>
      <c r="CK991" s="90"/>
      <c r="CL991" s="90"/>
      <c r="CM991" s="90"/>
      <c r="CN991" s="90"/>
      <c r="CO991" s="90"/>
      <c r="CP991" s="90"/>
      <c r="CQ991" s="90"/>
      <c r="CR991" s="90"/>
      <c r="CS991" s="90"/>
      <c r="CT991" s="90"/>
      <c r="CU991" s="90"/>
      <c r="CV991" s="90"/>
      <c r="CW991" s="90"/>
    </row>
    <row r="992" ht="16.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  <c r="AQ992" s="90"/>
      <c r="AR992" s="90"/>
      <c r="AS992" s="90"/>
      <c r="AT992" s="90"/>
      <c r="AU992" s="90"/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H992" s="90"/>
      <c r="BI992" s="90"/>
      <c r="BJ992" s="90"/>
      <c r="BK992" s="90"/>
      <c r="BL992" s="90"/>
      <c r="BM992" s="90"/>
      <c r="BN992" s="90"/>
      <c r="BO992" s="90"/>
      <c r="BP992" s="90"/>
      <c r="BQ992" s="90"/>
      <c r="BR992" s="90"/>
      <c r="BS992" s="90"/>
      <c r="BT992" s="90"/>
      <c r="BU992" s="90"/>
      <c r="BV992" s="90"/>
      <c r="BW992" s="90"/>
      <c r="BX992" s="90"/>
      <c r="BY992" s="90"/>
      <c r="BZ992" s="90"/>
      <c r="CA992" s="90"/>
      <c r="CB992" s="90"/>
      <c r="CC992" s="90"/>
      <c r="CD992" s="90"/>
      <c r="CE992" s="90"/>
      <c r="CF992" s="90"/>
      <c r="CG992" s="90"/>
      <c r="CH992" s="90"/>
      <c r="CI992" s="90"/>
      <c r="CJ992" s="90"/>
      <c r="CK992" s="90"/>
      <c r="CL992" s="90"/>
      <c r="CM992" s="90"/>
      <c r="CN992" s="90"/>
      <c r="CO992" s="90"/>
      <c r="CP992" s="90"/>
      <c r="CQ992" s="90"/>
      <c r="CR992" s="90"/>
      <c r="CS992" s="90"/>
      <c r="CT992" s="90"/>
      <c r="CU992" s="90"/>
      <c r="CV992" s="90"/>
      <c r="CW992" s="90"/>
    </row>
    <row r="993" ht="16.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  <c r="AQ993" s="90"/>
      <c r="AR993" s="90"/>
      <c r="AS993" s="90"/>
      <c r="AT993" s="90"/>
      <c r="AU993" s="90"/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H993" s="90"/>
      <c r="BI993" s="90"/>
      <c r="BJ993" s="90"/>
      <c r="BK993" s="90"/>
      <c r="BL993" s="90"/>
      <c r="BM993" s="90"/>
      <c r="BN993" s="90"/>
      <c r="BO993" s="90"/>
      <c r="BP993" s="90"/>
      <c r="BQ993" s="90"/>
      <c r="BR993" s="90"/>
      <c r="BS993" s="90"/>
      <c r="BT993" s="90"/>
      <c r="BU993" s="90"/>
      <c r="BV993" s="90"/>
      <c r="BW993" s="90"/>
      <c r="BX993" s="90"/>
      <c r="BY993" s="90"/>
      <c r="BZ993" s="90"/>
      <c r="CA993" s="90"/>
      <c r="CB993" s="90"/>
      <c r="CC993" s="90"/>
      <c r="CD993" s="90"/>
      <c r="CE993" s="90"/>
      <c r="CF993" s="90"/>
      <c r="CG993" s="90"/>
      <c r="CH993" s="90"/>
      <c r="CI993" s="90"/>
      <c r="CJ993" s="90"/>
      <c r="CK993" s="90"/>
      <c r="CL993" s="90"/>
      <c r="CM993" s="90"/>
      <c r="CN993" s="90"/>
      <c r="CO993" s="90"/>
      <c r="CP993" s="90"/>
      <c r="CQ993" s="90"/>
      <c r="CR993" s="90"/>
      <c r="CS993" s="90"/>
      <c r="CT993" s="90"/>
      <c r="CU993" s="90"/>
      <c r="CV993" s="90"/>
      <c r="CW993" s="90"/>
    </row>
    <row r="994" ht="16.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0"/>
      <c r="AJ994" s="90"/>
      <c r="AK994" s="90"/>
      <c r="AL994" s="90"/>
      <c r="AM994" s="90"/>
      <c r="AN994" s="90"/>
      <c r="AO994" s="90"/>
      <c r="AP994" s="90"/>
      <c r="AQ994" s="90"/>
      <c r="AR994" s="90"/>
      <c r="AS994" s="90"/>
      <c r="AT994" s="90"/>
      <c r="AU994" s="90"/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H994" s="90"/>
      <c r="BI994" s="90"/>
      <c r="BJ994" s="90"/>
      <c r="BK994" s="90"/>
      <c r="BL994" s="90"/>
      <c r="BM994" s="90"/>
      <c r="BN994" s="90"/>
      <c r="BO994" s="90"/>
      <c r="BP994" s="90"/>
      <c r="BQ994" s="90"/>
      <c r="BR994" s="90"/>
      <c r="BS994" s="90"/>
      <c r="BT994" s="90"/>
      <c r="BU994" s="90"/>
      <c r="BV994" s="90"/>
      <c r="BW994" s="90"/>
      <c r="BX994" s="90"/>
      <c r="BY994" s="90"/>
      <c r="BZ994" s="90"/>
      <c r="CA994" s="90"/>
      <c r="CB994" s="90"/>
      <c r="CC994" s="90"/>
      <c r="CD994" s="90"/>
      <c r="CE994" s="90"/>
      <c r="CF994" s="90"/>
      <c r="CG994" s="90"/>
      <c r="CH994" s="90"/>
      <c r="CI994" s="90"/>
      <c r="CJ994" s="90"/>
      <c r="CK994" s="90"/>
      <c r="CL994" s="90"/>
      <c r="CM994" s="90"/>
      <c r="CN994" s="90"/>
      <c r="CO994" s="90"/>
      <c r="CP994" s="90"/>
      <c r="CQ994" s="90"/>
      <c r="CR994" s="90"/>
      <c r="CS994" s="90"/>
      <c r="CT994" s="90"/>
      <c r="CU994" s="90"/>
      <c r="CV994" s="90"/>
      <c r="CW994" s="90"/>
    </row>
    <row r="995" ht="16.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0"/>
      <c r="AJ995" s="90"/>
      <c r="AK995" s="90"/>
      <c r="AL995" s="90"/>
      <c r="AM995" s="90"/>
      <c r="AN995" s="90"/>
      <c r="AO995" s="90"/>
      <c r="AP995" s="90"/>
      <c r="AQ995" s="90"/>
      <c r="AR995" s="90"/>
      <c r="AS995" s="90"/>
      <c r="AT995" s="90"/>
      <c r="AU995" s="90"/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H995" s="90"/>
      <c r="BI995" s="90"/>
      <c r="BJ995" s="90"/>
      <c r="BK995" s="90"/>
      <c r="BL995" s="90"/>
      <c r="BM995" s="90"/>
      <c r="BN995" s="90"/>
      <c r="BO995" s="90"/>
      <c r="BP995" s="90"/>
      <c r="BQ995" s="90"/>
      <c r="BR995" s="90"/>
      <c r="BS995" s="90"/>
      <c r="BT995" s="90"/>
      <c r="BU995" s="90"/>
      <c r="BV995" s="90"/>
      <c r="BW995" s="90"/>
      <c r="BX995" s="90"/>
      <c r="BY995" s="90"/>
      <c r="BZ995" s="90"/>
      <c r="CA995" s="90"/>
      <c r="CB995" s="90"/>
      <c r="CC995" s="90"/>
      <c r="CD995" s="90"/>
      <c r="CE995" s="90"/>
      <c r="CF995" s="90"/>
      <c r="CG995" s="90"/>
      <c r="CH995" s="90"/>
      <c r="CI995" s="90"/>
      <c r="CJ995" s="90"/>
      <c r="CK995" s="90"/>
      <c r="CL995" s="90"/>
      <c r="CM995" s="90"/>
      <c r="CN995" s="90"/>
      <c r="CO995" s="90"/>
      <c r="CP995" s="90"/>
      <c r="CQ995" s="90"/>
      <c r="CR995" s="90"/>
      <c r="CS995" s="90"/>
      <c r="CT995" s="90"/>
      <c r="CU995" s="90"/>
      <c r="CV995" s="90"/>
      <c r="CW995" s="90"/>
    </row>
    <row r="996" ht="16.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0"/>
      <c r="AJ996" s="90"/>
      <c r="AK996" s="90"/>
      <c r="AL996" s="90"/>
      <c r="AM996" s="90"/>
      <c r="AN996" s="90"/>
      <c r="AO996" s="90"/>
      <c r="AP996" s="90"/>
      <c r="AQ996" s="90"/>
      <c r="AR996" s="90"/>
      <c r="AS996" s="90"/>
      <c r="AT996" s="90"/>
      <c r="AU996" s="90"/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H996" s="90"/>
      <c r="BI996" s="90"/>
      <c r="BJ996" s="90"/>
      <c r="BK996" s="90"/>
      <c r="BL996" s="90"/>
      <c r="BM996" s="90"/>
      <c r="BN996" s="90"/>
      <c r="BO996" s="90"/>
      <c r="BP996" s="90"/>
      <c r="BQ996" s="90"/>
      <c r="BR996" s="90"/>
      <c r="BS996" s="90"/>
      <c r="BT996" s="90"/>
      <c r="BU996" s="90"/>
      <c r="BV996" s="90"/>
      <c r="BW996" s="90"/>
      <c r="BX996" s="90"/>
      <c r="BY996" s="90"/>
      <c r="BZ996" s="90"/>
      <c r="CA996" s="90"/>
      <c r="CB996" s="90"/>
      <c r="CC996" s="90"/>
      <c r="CD996" s="90"/>
      <c r="CE996" s="90"/>
      <c r="CF996" s="90"/>
      <c r="CG996" s="90"/>
      <c r="CH996" s="90"/>
      <c r="CI996" s="90"/>
      <c r="CJ996" s="90"/>
      <c r="CK996" s="90"/>
      <c r="CL996" s="90"/>
      <c r="CM996" s="90"/>
      <c r="CN996" s="90"/>
      <c r="CO996" s="90"/>
      <c r="CP996" s="90"/>
      <c r="CQ996" s="90"/>
      <c r="CR996" s="90"/>
      <c r="CS996" s="90"/>
      <c r="CT996" s="90"/>
      <c r="CU996" s="90"/>
      <c r="CV996" s="90"/>
      <c r="CW996" s="90"/>
    </row>
    <row r="997" ht="16.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0"/>
      <c r="AJ997" s="90"/>
      <c r="AK997" s="90"/>
      <c r="AL997" s="90"/>
      <c r="AM997" s="90"/>
      <c r="AN997" s="90"/>
      <c r="AO997" s="90"/>
      <c r="AP997" s="90"/>
      <c r="AQ997" s="90"/>
      <c r="AR997" s="90"/>
      <c r="AS997" s="90"/>
      <c r="AT997" s="90"/>
      <c r="AU997" s="90"/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H997" s="90"/>
      <c r="BI997" s="90"/>
      <c r="BJ997" s="90"/>
      <c r="BK997" s="90"/>
      <c r="BL997" s="90"/>
      <c r="BM997" s="90"/>
      <c r="BN997" s="90"/>
      <c r="BO997" s="90"/>
      <c r="BP997" s="90"/>
      <c r="BQ997" s="90"/>
      <c r="BR997" s="90"/>
      <c r="BS997" s="90"/>
      <c r="BT997" s="90"/>
      <c r="BU997" s="90"/>
      <c r="BV997" s="90"/>
      <c r="BW997" s="90"/>
      <c r="BX997" s="90"/>
      <c r="BY997" s="90"/>
      <c r="BZ997" s="90"/>
      <c r="CA997" s="90"/>
      <c r="CB997" s="90"/>
      <c r="CC997" s="90"/>
      <c r="CD997" s="90"/>
      <c r="CE997" s="90"/>
      <c r="CF997" s="90"/>
      <c r="CG997" s="90"/>
      <c r="CH997" s="90"/>
      <c r="CI997" s="90"/>
      <c r="CJ997" s="90"/>
      <c r="CK997" s="90"/>
      <c r="CL997" s="90"/>
      <c r="CM997" s="90"/>
      <c r="CN997" s="90"/>
      <c r="CO997" s="90"/>
      <c r="CP997" s="90"/>
      <c r="CQ997" s="90"/>
      <c r="CR997" s="90"/>
      <c r="CS997" s="90"/>
      <c r="CT997" s="90"/>
      <c r="CU997" s="90"/>
      <c r="CV997" s="90"/>
      <c r="CW997" s="90"/>
    </row>
    <row r="998" ht="16.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0"/>
      <c r="AJ998" s="90"/>
      <c r="AK998" s="90"/>
      <c r="AL998" s="90"/>
      <c r="AM998" s="90"/>
      <c r="AN998" s="90"/>
      <c r="AO998" s="90"/>
      <c r="AP998" s="90"/>
      <c r="AQ998" s="90"/>
      <c r="AR998" s="90"/>
      <c r="AS998" s="90"/>
      <c r="AT998" s="90"/>
      <c r="AU998" s="90"/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H998" s="90"/>
      <c r="BI998" s="90"/>
      <c r="BJ998" s="90"/>
      <c r="BK998" s="90"/>
      <c r="BL998" s="90"/>
      <c r="BM998" s="90"/>
      <c r="BN998" s="90"/>
      <c r="BO998" s="90"/>
      <c r="BP998" s="90"/>
      <c r="BQ998" s="90"/>
      <c r="BR998" s="90"/>
      <c r="BS998" s="90"/>
      <c r="BT998" s="90"/>
      <c r="BU998" s="90"/>
      <c r="BV998" s="90"/>
      <c r="BW998" s="90"/>
      <c r="BX998" s="90"/>
      <c r="BY998" s="90"/>
      <c r="BZ998" s="90"/>
      <c r="CA998" s="90"/>
      <c r="CB998" s="90"/>
      <c r="CC998" s="90"/>
      <c r="CD998" s="90"/>
      <c r="CE998" s="90"/>
      <c r="CF998" s="90"/>
      <c r="CG998" s="90"/>
      <c r="CH998" s="90"/>
      <c r="CI998" s="90"/>
      <c r="CJ998" s="90"/>
      <c r="CK998" s="90"/>
      <c r="CL998" s="90"/>
      <c r="CM998" s="90"/>
      <c r="CN998" s="90"/>
      <c r="CO998" s="90"/>
      <c r="CP998" s="90"/>
      <c r="CQ998" s="90"/>
      <c r="CR998" s="90"/>
      <c r="CS998" s="90"/>
      <c r="CT998" s="90"/>
      <c r="CU998" s="90"/>
      <c r="CV998" s="90"/>
      <c r="CW998" s="90"/>
    </row>
    <row r="999" ht="16.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0"/>
      <c r="AJ999" s="90"/>
      <c r="AK999" s="90"/>
      <c r="AL999" s="90"/>
      <c r="AM999" s="90"/>
      <c r="AN999" s="90"/>
      <c r="AO999" s="90"/>
      <c r="AP999" s="90"/>
      <c r="AQ999" s="90"/>
      <c r="AR999" s="90"/>
      <c r="AS999" s="90"/>
      <c r="AT999" s="90"/>
      <c r="AU999" s="90"/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H999" s="90"/>
      <c r="BI999" s="90"/>
      <c r="BJ999" s="90"/>
      <c r="BK999" s="90"/>
      <c r="BL999" s="90"/>
      <c r="BM999" s="90"/>
      <c r="BN999" s="90"/>
      <c r="BO999" s="90"/>
      <c r="BP999" s="90"/>
      <c r="BQ999" s="90"/>
      <c r="BR999" s="90"/>
      <c r="BS999" s="90"/>
      <c r="BT999" s="90"/>
      <c r="BU999" s="90"/>
      <c r="BV999" s="90"/>
      <c r="BW999" s="90"/>
      <c r="BX999" s="90"/>
      <c r="BY999" s="90"/>
      <c r="BZ999" s="90"/>
      <c r="CA999" s="90"/>
      <c r="CB999" s="90"/>
      <c r="CC999" s="90"/>
      <c r="CD999" s="90"/>
      <c r="CE999" s="90"/>
      <c r="CF999" s="90"/>
      <c r="CG999" s="90"/>
      <c r="CH999" s="90"/>
      <c r="CI999" s="90"/>
      <c r="CJ999" s="90"/>
      <c r="CK999" s="90"/>
      <c r="CL999" s="90"/>
      <c r="CM999" s="90"/>
      <c r="CN999" s="90"/>
      <c r="CO999" s="90"/>
      <c r="CP999" s="90"/>
      <c r="CQ999" s="90"/>
      <c r="CR999" s="90"/>
      <c r="CS999" s="90"/>
      <c r="CT999" s="90"/>
      <c r="CU999" s="90"/>
      <c r="CV999" s="90"/>
      <c r="CW999" s="90"/>
    </row>
    <row r="1000" ht="16.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  <c r="AE1000" s="90"/>
      <c r="AF1000" s="90"/>
      <c r="AG1000" s="90"/>
      <c r="AH1000" s="90"/>
      <c r="AI1000" s="90"/>
      <c r="AJ1000" s="90"/>
      <c r="AK1000" s="90"/>
      <c r="AL1000" s="90"/>
      <c r="AM1000" s="90"/>
      <c r="AN1000" s="90"/>
      <c r="AO1000" s="90"/>
      <c r="AP1000" s="90"/>
      <c r="AQ1000" s="90"/>
      <c r="AR1000" s="90"/>
      <c r="AS1000" s="90"/>
      <c r="AT1000" s="90"/>
      <c r="AU1000" s="90"/>
      <c r="AV1000" s="90"/>
      <c r="AW1000" s="90"/>
      <c r="AX1000" s="90"/>
      <c r="AY1000" s="90"/>
      <c r="AZ1000" s="90"/>
      <c r="BA1000" s="90"/>
      <c r="BB1000" s="90"/>
      <c r="BC1000" s="90"/>
      <c r="BD1000" s="90"/>
      <c r="BE1000" s="90"/>
      <c r="BF1000" s="90"/>
      <c r="BG1000" s="90"/>
      <c r="BH1000" s="90"/>
      <c r="BI1000" s="90"/>
      <c r="BJ1000" s="90"/>
      <c r="BK1000" s="90"/>
      <c r="BL1000" s="90"/>
      <c r="BM1000" s="90"/>
      <c r="BN1000" s="90"/>
      <c r="BO1000" s="90"/>
      <c r="BP1000" s="90"/>
      <c r="BQ1000" s="90"/>
      <c r="BR1000" s="90"/>
      <c r="BS1000" s="90"/>
      <c r="BT1000" s="90"/>
      <c r="BU1000" s="90"/>
      <c r="BV1000" s="90"/>
      <c r="BW1000" s="90"/>
      <c r="BX1000" s="90"/>
      <c r="BY1000" s="90"/>
      <c r="BZ1000" s="90"/>
      <c r="CA1000" s="90"/>
      <c r="CB1000" s="90"/>
      <c r="CC1000" s="90"/>
      <c r="CD1000" s="90"/>
      <c r="CE1000" s="90"/>
      <c r="CF1000" s="90"/>
      <c r="CG1000" s="90"/>
      <c r="CH1000" s="90"/>
      <c r="CI1000" s="90"/>
      <c r="CJ1000" s="90"/>
      <c r="CK1000" s="90"/>
      <c r="CL1000" s="90"/>
      <c r="CM1000" s="90"/>
      <c r="CN1000" s="90"/>
      <c r="CO1000" s="90"/>
      <c r="CP1000" s="90"/>
      <c r="CQ1000" s="90"/>
      <c r="CR1000" s="90"/>
      <c r="CS1000" s="90"/>
      <c r="CT1000" s="90"/>
      <c r="CU1000" s="90"/>
      <c r="CV1000" s="90"/>
      <c r="CW1000" s="90"/>
    </row>
  </sheetData>
  <autoFilter ref="$A$2:$CW$82"/>
  <customSheetViews>
    <customSheetView guid="{54F8CE8E-2557-445F-84FF-C9618C825AB6}" filter="1" showAutoFilter="1">
      <autoFilter ref="$A$2:$AH$76"/>
    </customSheetView>
  </customSheetViews>
  <mergeCells count="2">
    <mergeCell ref="E1:AS1"/>
    <mergeCell ref="A83:B83"/>
  </mergeCells>
  <conditionalFormatting sqref="E3:AS76 AT3:CW78 A4:D4 A11:D11 A17:D17 A21:D21 A25 B25:D27 A27 A35:D36 D38 A41:D42 D44 A46:D46 A51:D52 A55:C57 D55:D58 A60:D60 A69:D69">
    <cfRule type="containsText" dxfId="4" priority="1" operator="containsText" text="DISPONIBLE">
      <formula>NOT(ISERROR(SEARCH(("DISPONIBLE"),(E3))))</formula>
    </cfRule>
  </conditionalFormatting>
  <conditionalFormatting sqref="E3:AS76 AT3:CW78 A4:D4 A11:D11 A17:D17 A21:D21 A25 B25:D27 A27 A35:D36 D38 A41:D42 D44 A46:D46 A51:D52 A55:C57 D55:D58 A60:D60 A69:D69">
    <cfRule type="containsText" dxfId="5" priority="2" operator="containsText" text="ASISTE TENIS">
      <formula>NOT(ISERROR(SEARCH(("ASISTE TENIS"),(E3))))</formula>
    </cfRule>
  </conditionalFormatting>
  <conditionalFormatting sqref="E3:AS76 AT3:CW78 A4:D4 A11:D11 A17:D17 A21:D21 A25 B25:D27 A27 A35:D36 D38 A41:D42 D44 A46:D46 A51:D52 A55:C57 D55:D58 A60:D60 A69:D69">
    <cfRule type="containsText" dxfId="6" priority="3" operator="containsText" text="ASISTE GOLF">
      <formula>NOT(ISERROR(SEARCH(("ASISTE GOLF"),(E3))))</formula>
    </cfRule>
  </conditionalFormatting>
  <conditionalFormatting sqref="E1:N76 AT1:BC78 BE3:BE78 BD4:BD5 BF4:BF5 BG4 BH4:BJ10 BK4:BL8 BM4:BM6 BN4:BN5 BO4:BO10 BP4:BP13 BQ4:BR6 BS4:BS10 BT4:BT13 BU4:BV6 BW4:BW10 BX4:BX13 BY4:BY10 BZ4:CA13 CB4:CB10 CC4:CC13 CD4:CD10 CE4:CE13 CF4:CF10 CG4:CH13 CI4:CW4 AE5 AG5 AH6:AI6 BQ8:BR9 BM9:BN9 BU9:BV9 BV11:BV13 BH12:BH13 BI12:BJ12 BM12:BM13 BN12 BO12:BO13 BQ12:BS13 BU12:BU13 BW12:BW13 BY12:BY13 CB12:CB13 CD12:CD13 CF12:CF13 BP15:CH15 BD17 BF17:BI17 BK17 BM17 BO17 BQ17 BS17 BU17 BW17 BY17 CA17:CD17 CF17 BD19 BF19:BG19 BH19:BJ20 BK19:BL19 BM19:BM20 BN19:BN26 BO19:BS19 BU19 BW19:BY19 CB19:CD19 CF19:CH19 CA21 BM22:BM28 BO22:BO23 BQ24:BR26 BD25 BF25:BG28 BH25:BJ25 BK25:BL31 BO25:BO27 BP25 BS25:BT27 BU25:BV26 BW25:CW25 BP27 BD28 BI28:BJ28 BN28 BR28:BR31 BV28:CH28 BO29:BO31 BP29:BP40 BQ29:BQ31 BS29:BT30 BF30:BG31 BM30:BM34 BN30:BN31 BU30:BU40 BV30:BV31 BW30:CH30 BH32:BH34 BT32:BT40 BD33:BD34 BF33:BG35 BI33:BI34 BJ33:BJ43 BK33:BL36 BN33:BN34 BO33:BO40 BQ33:BS40 BV33:BV40 BW33:CH35 CI33:CW34 BH36:BI36 BM36:BM39 BN36:BN37 BF38:BG40 BK38:BL40 AE42 BG42:BG50 BK42:BK43 BL42:BL46 BM42:BM44 BO42:BO51 BQ42:BQ44 BS42:BS51 BT42 BU42:BU44 BW42:BY44 CB42:CD44 CF42:CH44 BF44:BF50 BN44 BP44:BP51 BR44 BT44:BT51 BV44 BH46:BH49 BI46:BJ46 BK46:BK52 BM46:BM50 BN46 BQ46:BR46 BU46:CH46 BL48:BL52 BQ48:BR50 BU48:BV52 BW49:CG49 BI51:BI52 BF52:BH52 BJ52 BM52:BN52 BQ52:BR52 BF54:BF60 BG54:BG59 BK54:BK74 BL54:BL59 BO54:BP78 BS54:BT78 BU55:BU56 BW57 BY57 CA57:CB57 CD57 CF57 BJ58:BJ59 BM58:BM62 BN58:BN59 BQ58:BQ78 BR58:BR60 BU58:BV62 BH60:BH62 BI61:BI62 BJ61:BJ64 BL61:BL74 BN62 BR62:BR64 BW62:BX62 BF64:BI64 BM64:BN64 BU64:BU78 BV64 BD66:BD68 BF66:BG67 BH66:BJ78 BM66:BM68 BN66:BN71 BR66:BR78 BV66:BV78 BW66:CW67 BG69:BG78 AM70:AP70 AS70 BM70:BM71 BW70:BW71 BF71:BF78 BX71:CE71 BD72:BD73 BM73:BN78 BK76:BL78 BD77:BD78 BW77:CW78">
    <cfRule type="containsText" dxfId="7" priority="4" operator="containsText" text="ESTUDIA">
      <formula>NOT(ISERROR(SEARCH(("ESTUDIA"),(E1))))</formula>
    </cfRule>
  </conditionalFormatting>
  <conditionalFormatting sqref="E3:AS76 AT3:CW78 A4:D4 A11:D11 A17:D17 A21:D21 A25 B25:D27 A27 A35:D36 D38 A41:D42 D44 A46:D46 A51:D52 A55:C57 D55:D58 A60:D60 A69:D69">
    <cfRule type="containsText" dxfId="8" priority="5" operator="containsText" text="JUGADOR">
      <formula>NOT(ISERROR(SEARCH(("JUGADOR"),(E3))))</formula>
    </cfRule>
  </conditionalFormatting>
  <conditionalFormatting sqref="A1:CW1000">
    <cfRule type="containsText" dxfId="9" priority="6" operator="containsText" text="APOYO TORNEO">
      <formula>NOT(ISERROR(SEARCH(("APOYO TORNEO"),(A1))))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</hyperlinks>
  <drawing r:id="rId7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88"/>
    <col customWidth="1" min="2" max="2" width="24.25"/>
    <col customWidth="1" min="3" max="3" width="7.88"/>
    <col customWidth="1" min="4" max="4" width="14.0"/>
    <col customWidth="1" hidden="1" min="5" max="5" width="10.5"/>
    <col customWidth="1" hidden="1" min="6" max="13" width="8.88"/>
    <col customWidth="1" hidden="1" min="14" max="14" width="8.25"/>
    <col customWidth="1" hidden="1" min="15" max="20" width="8.63"/>
    <col customWidth="1" hidden="1" min="21" max="21" width="8.25"/>
    <col customWidth="1" hidden="1" min="22" max="45" width="7.88"/>
    <col customWidth="1" min="46" max="55" width="7.88"/>
    <col customWidth="1" hidden="1" min="56" max="76" width="7.88"/>
    <col customWidth="1" min="77" max="82" width="7.88"/>
    <col customWidth="1" min="83" max="83" width="8.75"/>
    <col customWidth="1" min="84" max="101" width="7.88"/>
  </cols>
  <sheetData>
    <row r="1" ht="16.5" customHeight="1">
      <c r="A1" s="1"/>
      <c r="B1" s="3"/>
      <c r="C1" s="5"/>
      <c r="D1" s="3"/>
      <c r="E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</row>
    <row r="2" ht="17.25" customHeight="1">
      <c r="A2" s="1"/>
      <c r="B2" s="2"/>
      <c r="C2" s="4" t="s">
        <v>0</v>
      </c>
      <c r="D2" s="5" t="s">
        <v>26</v>
      </c>
      <c r="E2" s="6" t="s">
        <v>2</v>
      </c>
      <c r="F2" s="8" t="s">
        <v>3</v>
      </c>
      <c r="G2" s="6" t="s">
        <v>27</v>
      </c>
      <c r="H2" s="8" t="s">
        <v>28</v>
      </c>
      <c r="I2" s="6" t="s">
        <v>29</v>
      </c>
      <c r="J2" s="8" t="s">
        <v>30</v>
      </c>
      <c r="K2" s="6" t="s">
        <v>31</v>
      </c>
      <c r="L2" s="8" t="s">
        <v>32</v>
      </c>
      <c r="M2" s="6" t="s">
        <v>33</v>
      </c>
      <c r="N2" s="8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6" t="s">
        <v>47</v>
      </c>
      <c r="AB2" s="6" t="s">
        <v>12</v>
      </c>
      <c r="AC2" s="6" t="s">
        <v>13</v>
      </c>
      <c r="AD2" s="6" t="s">
        <v>14</v>
      </c>
      <c r="AE2" s="6" t="s">
        <v>15</v>
      </c>
      <c r="AF2" s="9">
        <v>46187.0</v>
      </c>
      <c r="AG2" s="6" t="s">
        <v>16</v>
      </c>
      <c r="AH2" s="6" t="s">
        <v>17</v>
      </c>
      <c r="AI2" s="9">
        <v>46194.0</v>
      </c>
      <c r="AJ2" s="6" t="s">
        <v>18</v>
      </c>
      <c r="AK2" s="9">
        <v>46201.0</v>
      </c>
      <c r="AL2" s="9">
        <v>46202.0</v>
      </c>
      <c r="AM2" s="6" t="s">
        <v>20</v>
      </c>
      <c r="AN2" s="9">
        <v>46208.0</v>
      </c>
      <c r="AO2" s="6" t="s">
        <v>21</v>
      </c>
      <c r="AP2" s="9">
        <v>46215.0</v>
      </c>
      <c r="AQ2" s="6" t="s">
        <v>22</v>
      </c>
      <c r="AR2" s="9">
        <v>46222.0</v>
      </c>
      <c r="AS2" s="9">
        <v>46223.0</v>
      </c>
      <c r="AT2" s="6" t="s">
        <v>2</v>
      </c>
      <c r="AU2" s="8" t="s">
        <v>3</v>
      </c>
      <c r="AV2" s="6" t="s">
        <v>27</v>
      </c>
      <c r="AW2" s="8" t="s">
        <v>28</v>
      </c>
      <c r="AX2" s="6" t="s">
        <v>29</v>
      </c>
      <c r="AY2" s="8" t="s">
        <v>30</v>
      </c>
      <c r="AZ2" s="6" t="s">
        <v>31</v>
      </c>
      <c r="BA2" s="8" t="s">
        <v>32</v>
      </c>
      <c r="BB2" s="6" t="s">
        <v>33</v>
      </c>
      <c r="BC2" s="8" t="s">
        <v>34</v>
      </c>
      <c r="BD2" s="6" t="s">
        <v>56</v>
      </c>
      <c r="BE2" s="12" t="s">
        <v>57</v>
      </c>
      <c r="BF2" s="12" t="s">
        <v>58</v>
      </c>
      <c r="BG2" s="12" t="s">
        <v>59</v>
      </c>
      <c r="BH2" s="12" t="s">
        <v>60</v>
      </c>
      <c r="BI2" s="12" t="s">
        <v>61</v>
      </c>
      <c r="BJ2" s="12" t="s">
        <v>62</v>
      </c>
      <c r="BK2" s="12" t="s">
        <v>63</v>
      </c>
      <c r="BL2" s="12" t="s">
        <v>64</v>
      </c>
      <c r="BM2" s="12" t="s">
        <v>65</v>
      </c>
      <c r="BN2" s="12" t="s">
        <v>66</v>
      </c>
      <c r="BO2" s="12" t="s">
        <v>68</v>
      </c>
      <c r="BP2" s="12" t="s">
        <v>69</v>
      </c>
      <c r="BQ2" s="12" t="s">
        <v>70</v>
      </c>
      <c r="BR2" s="12" t="s">
        <v>71</v>
      </c>
      <c r="BS2" s="12" t="s">
        <v>72</v>
      </c>
      <c r="BT2" s="12" t="s">
        <v>73</v>
      </c>
      <c r="BU2" s="12" t="s">
        <v>74</v>
      </c>
      <c r="BV2" s="12" t="s">
        <v>75</v>
      </c>
      <c r="BW2" s="12" t="s">
        <v>76</v>
      </c>
      <c r="BX2" s="12" t="s">
        <v>77</v>
      </c>
      <c r="BY2" s="12" t="s">
        <v>78</v>
      </c>
      <c r="BZ2" s="12" t="s">
        <v>79</v>
      </c>
      <c r="CA2" s="12" t="s">
        <v>80</v>
      </c>
      <c r="CB2" s="12" t="s">
        <v>81</v>
      </c>
      <c r="CC2" s="12" t="s">
        <v>82</v>
      </c>
      <c r="CD2" s="12" t="s">
        <v>83</v>
      </c>
      <c r="CE2" s="12" t="s">
        <v>84</v>
      </c>
      <c r="CF2" s="12" t="s">
        <v>85</v>
      </c>
      <c r="CG2" s="12" t="s">
        <v>86</v>
      </c>
      <c r="CH2" s="12" t="s">
        <v>87</v>
      </c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</row>
    <row r="3" ht="16.5" customHeight="1">
      <c r="A3" s="28"/>
      <c r="B3" s="17"/>
      <c r="C3" s="16"/>
      <c r="D3" s="17"/>
      <c r="E3" s="22"/>
      <c r="F3" s="17" t="s">
        <v>50</v>
      </c>
      <c r="G3" s="22"/>
      <c r="H3" s="29" t="s">
        <v>51</v>
      </c>
      <c r="I3" s="22"/>
      <c r="J3" s="29" t="s">
        <v>51</v>
      </c>
      <c r="K3" s="22"/>
      <c r="L3" s="29" t="s">
        <v>51</v>
      </c>
      <c r="M3" s="22"/>
      <c r="N3" s="22"/>
      <c r="O3" s="17" t="s">
        <v>50</v>
      </c>
      <c r="P3" s="17" t="s">
        <v>50</v>
      </c>
      <c r="Q3" s="29" t="s">
        <v>51</v>
      </c>
      <c r="R3" s="29" t="s">
        <v>51</v>
      </c>
      <c r="S3" s="17" t="s">
        <v>50</v>
      </c>
      <c r="T3" s="17" t="s">
        <v>50</v>
      </c>
      <c r="U3" s="17" t="s">
        <v>51</v>
      </c>
      <c r="V3" s="17" t="s">
        <v>51</v>
      </c>
      <c r="W3" s="17" t="s">
        <v>50</v>
      </c>
      <c r="X3" s="17" t="s">
        <v>50</v>
      </c>
      <c r="Y3" s="17" t="s">
        <v>51</v>
      </c>
      <c r="Z3" s="17" t="s">
        <v>50</v>
      </c>
      <c r="AA3" s="17" t="s">
        <v>50</v>
      </c>
      <c r="AB3" s="17" t="s">
        <v>50</v>
      </c>
      <c r="AC3" s="17" t="s">
        <v>50</v>
      </c>
      <c r="AD3" s="17" t="s">
        <v>51</v>
      </c>
      <c r="AE3" s="17" t="s">
        <v>50</v>
      </c>
      <c r="AF3" s="17" t="s">
        <v>50</v>
      </c>
      <c r="AG3" s="17" t="s">
        <v>50</v>
      </c>
      <c r="AH3" s="17" t="s">
        <v>51</v>
      </c>
      <c r="AI3" s="17" t="s">
        <v>51</v>
      </c>
      <c r="AJ3" s="17" t="s">
        <v>50</v>
      </c>
      <c r="AK3" s="17" t="s">
        <v>50</v>
      </c>
      <c r="AL3" s="17" t="s">
        <v>51</v>
      </c>
      <c r="AM3" s="17" t="s">
        <v>50</v>
      </c>
      <c r="AN3" s="17" t="s">
        <v>50</v>
      </c>
      <c r="AO3" s="17" t="s">
        <v>51</v>
      </c>
      <c r="AP3" s="17" t="s">
        <v>51</v>
      </c>
      <c r="AQ3" s="17" t="s">
        <v>50</v>
      </c>
      <c r="AR3" s="17" t="s">
        <v>50</v>
      </c>
      <c r="AS3" s="17" t="s">
        <v>51</v>
      </c>
      <c r="AT3" s="17"/>
      <c r="AU3" s="17"/>
      <c r="AV3" s="17"/>
      <c r="AW3" s="29"/>
      <c r="AX3" s="17"/>
      <c r="AY3" s="29"/>
      <c r="AZ3" s="17"/>
      <c r="BA3" s="29"/>
      <c r="BB3" s="17"/>
      <c r="BC3" s="17"/>
      <c r="BD3" s="17" t="s">
        <v>50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</row>
    <row r="4" ht="16.5" customHeight="1">
      <c r="A4" s="31" t="s">
        <v>105</v>
      </c>
      <c r="B4" s="17" t="s">
        <v>110</v>
      </c>
      <c r="C4" s="16">
        <v>1.011512703E9</v>
      </c>
      <c r="D4" s="17" t="s">
        <v>49</v>
      </c>
      <c r="E4" s="18" t="s">
        <v>50</v>
      </c>
      <c r="F4" s="22"/>
      <c r="G4" s="22"/>
      <c r="H4" s="17" t="s">
        <v>51</v>
      </c>
      <c r="I4" s="22"/>
      <c r="J4" s="17" t="s">
        <v>51</v>
      </c>
      <c r="K4" s="22"/>
      <c r="L4" s="17" t="s">
        <v>51</v>
      </c>
      <c r="M4" s="22"/>
      <c r="N4" s="22"/>
      <c r="O4" s="19" t="s">
        <v>51</v>
      </c>
      <c r="P4" s="18" t="s">
        <v>50</v>
      </c>
      <c r="Q4" s="18" t="s">
        <v>50</v>
      </c>
      <c r="R4" s="18" t="s">
        <v>50</v>
      </c>
      <c r="S4" s="20" t="s">
        <v>52</v>
      </c>
      <c r="T4" s="20" t="s">
        <v>52</v>
      </c>
      <c r="U4" s="18" t="s">
        <v>50</v>
      </c>
      <c r="V4" s="18" t="s">
        <v>50</v>
      </c>
      <c r="W4" s="18" t="s">
        <v>50</v>
      </c>
      <c r="X4" s="18" t="s">
        <v>51</v>
      </c>
      <c r="Y4" s="18" t="s">
        <v>50</v>
      </c>
      <c r="Z4" s="18" t="s">
        <v>51</v>
      </c>
      <c r="AA4" s="18" t="s">
        <v>51</v>
      </c>
      <c r="AB4" s="18" t="s">
        <v>50</v>
      </c>
      <c r="AC4" s="18" t="s">
        <v>50</v>
      </c>
      <c r="AD4" s="18" t="s">
        <v>50</v>
      </c>
      <c r="AE4" s="18" t="s">
        <v>51</v>
      </c>
      <c r="AF4" s="18" t="s">
        <v>51</v>
      </c>
      <c r="AG4" s="18" t="s">
        <v>51</v>
      </c>
      <c r="AH4" s="18" t="s">
        <v>50</v>
      </c>
      <c r="AI4" s="18" t="s">
        <v>50</v>
      </c>
      <c r="AJ4" s="18" t="s">
        <v>50</v>
      </c>
      <c r="AK4" s="18" t="s">
        <v>50</v>
      </c>
      <c r="AL4" s="18" t="s">
        <v>50</v>
      </c>
      <c r="AM4" s="17" t="s">
        <v>51</v>
      </c>
      <c r="AN4" s="17" t="s">
        <v>51</v>
      </c>
      <c r="AO4" s="17" t="s">
        <v>50</v>
      </c>
      <c r="AP4" s="17" t="s">
        <v>50</v>
      </c>
      <c r="AQ4" s="17" t="s">
        <v>51</v>
      </c>
      <c r="AR4" s="17" t="s">
        <v>51</v>
      </c>
      <c r="AS4" s="17" t="s">
        <v>50</v>
      </c>
      <c r="AT4" s="17" t="s">
        <v>111</v>
      </c>
      <c r="AU4" s="17" t="s">
        <v>51</v>
      </c>
      <c r="AV4" s="17" t="s">
        <v>51</v>
      </c>
      <c r="AW4" s="17" t="s">
        <v>111</v>
      </c>
      <c r="AX4" s="17" t="s">
        <v>111</v>
      </c>
      <c r="AY4" s="17" t="s">
        <v>111</v>
      </c>
      <c r="AZ4" s="17" t="s">
        <v>51</v>
      </c>
      <c r="BA4" s="17" t="s">
        <v>111</v>
      </c>
      <c r="BB4" s="17" t="s">
        <v>111</v>
      </c>
      <c r="BC4" s="17" t="s">
        <v>51</v>
      </c>
      <c r="BD4" s="17" t="s">
        <v>51</v>
      </c>
      <c r="BE4" s="17" t="s">
        <v>50</v>
      </c>
      <c r="BF4" s="17" t="s">
        <v>50</v>
      </c>
      <c r="BG4" s="17" t="s">
        <v>50</v>
      </c>
      <c r="BH4" s="17" t="s">
        <v>51</v>
      </c>
      <c r="BI4" s="17" t="s">
        <v>51</v>
      </c>
      <c r="BJ4" s="17" t="s">
        <v>51</v>
      </c>
      <c r="BK4" s="17" t="s">
        <v>50</v>
      </c>
      <c r="BL4" s="17" t="s">
        <v>50</v>
      </c>
      <c r="BM4" s="17" t="s">
        <v>50</v>
      </c>
      <c r="BN4" s="17" t="s">
        <v>50</v>
      </c>
      <c r="BO4" s="18" t="s">
        <v>51</v>
      </c>
      <c r="BP4" s="18" t="s">
        <v>51</v>
      </c>
      <c r="BQ4" s="17" t="s">
        <v>50</v>
      </c>
      <c r="BR4" s="17" t="s">
        <v>50</v>
      </c>
      <c r="BS4" s="18" t="s">
        <v>51</v>
      </c>
      <c r="BT4" s="18" t="s">
        <v>51</v>
      </c>
      <c r="BU4" s="17" t="s">
        <v>50</v>
      </c>
      <c r="BV4" s="17" t="s">
        <v>50</v>
      </c>
      <c r="BW4" s="17" t="s">
        <v>51</v>
      </c>
      <c r="BX4" s="17" t="s">
        <v>51</v>
      </c>
      <c r="BY4" s="17" t="s">
        <v>51</v>
      </c>
      <c r="BZ4" s="17" t="s">
        <v>51</v>
      </c>
      <c r="CA4" s="17" t="s">
        <v>51</v>
      </c>
      <c r="CB4" s="17" t="s">
        <v>50</v>
      </c>
      <c r="CC4" s="17" t="s">
        <v>50</v>
      </c>
      <c r="CD4" s="17" t="s">
        <v>51</v>
      </c>
      <c r="CE4" s="17" t="s">
        <v>51</v>
      </c>
      <c r="CF4" s="17" t="s">
        <v>50</v>
      </c>
      <c r="CG4" s="17" t="s">
        <v>50</v>
      </c>
      <c r="CH4" s="17" t="s">
        <v>50</v>
      </c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</row>
    <row r="5" ht="16.5" customHeight="1">
      <c r="A5" s="14" t="s">
        <v>121</v>
      </c>
      <c r="B5" s="17" t="s">
        <v>126</v>
      </c>
      <c r="C5" s="16">
        <v>1.034918501E9</v>
      </c>
      <c r="D5" s="17" t="s">
        <v>127</v>
      </c>
      <c r="E5" s="22"/>
      <c r="F5" s="19" t="s">
        <v>51</v>
      </c>
      <c r="G5" s="22"/>
      <c r="H5" s="19" t="s">
        <v>51</v>
      </c>
      <c r="I5" s="22"/>
      <c r="J5" s="19" t="s">
        <v>51</v>
      </c>
      <c r="K5" s="17" t="s">
        <v>51</v>
      </c>
      <c r="L5" s="19" t="s">
        <v>51</v>
      </c>
      <c r="M5" s="22"/>
      <c r="N5" s="19" t="s">
        <v>51</v>
      </c>
      <c r="O5" s="19" t="s">
        <v>51</v>
      </c>
      <c r="P5" s="18" t="s">
        <v>50</v>
      </c>
      <c r="Q5" s="18" t="s">
        <v>50</v>
      </c>
      <c r="R5" s="18" t="s">
        <v>50</v>
      </c>
      <c r="S5" s="18" t="s">
        <v>50</v>
      </c>
      <c r="T5" s="18" t="s">
        <v>50</v>
      </c>
      <c r="U5" s="18" t="s">
        <v>50</v>
      </c>
      <c r="V5" s="18" t="s">
        <v>50</v>
      </c>
      <c r="W5" s="18" t="s">
        <v>51</v>
      </c>
      <c r="X5" s="18" t="s">
        <v>50</v>
      </c>
      <c r="Y5" s="18" t="s">
        <v>50</v>
      </c>
      <c r="Z5" s="18" t="s">
        <v>51</v>
      </c>
      <c r="AA5" s="18" t="s">
        <v>51</v>
      </c>
      <c r="AB5" s="18" t="s">
        <v>50</v>
      </c>
      <c r="AC5" s="18" t="s">
        <v>50</v>
      </c>
      <c r="AD5" s="18" t="s">
        <v>50</v>
      </c>
      <c r="AE5" s="18" t="s">
        <v>51</v>
      </c>
      <c r="AF5" s="18" t="s">
        <v>51</v>
      </c>
      <c r="AG5" s="18" t="s">
        <v>50</v>
      </c>
      <c r="AH5" s="18" t="s">
        <v>50</v>
      </c>
      <c r="AI5" s="18" t="s">
        <v>50</v>
      </c>
      <c r="AJ5" s="18" t="s">
        <v>50</v>
      </c>
      <c r="AK5" s="18" t="s">
        <v>50</v>
      </c>
      <c r="AL5" s="18" t="s">
        <v>50</v>
      </c>
      <c r="AM5" s="17" t="s">
        <v>50</v>
      </c>
      <c r="AN5" s="17" t="s">
        <v>50</v>
      </c>
      <c r="AO5" s="17" t="s">
        <v>51</v>
      </c>
      <c r="AP5" s="17" t="s">
        <v>51</v>
      </c>
      <c r="AQ5" s="17" t="s">
        <v>50</v>
      </c>
      <c r="AR5" s="17" t="s">
        <v>50</v>
      </c>
      <c r="AS5" s="17" t="s">
        <v>51</v>
      </c>
      <c r="AT5" s="17" t="s">
        <v>111</v>
      </c>
      <c r="AU5" s="36" t="s">
        <v>125</v>
      </c>
      <c r="AV5" s="17" t="s">
        <v>111</v>
      </c>
      <c r="AW5" s="36" t="s">
        <v>125</v>
      </c>
      <c r="AX5" s="17" t="s">
        <v>111</v>
      </c>
      <c r="AY5" s="36" t="s">
        <v>125</v>
      </c>
      <c r="AZ5" s="17" t="s">
        <v>111</v>
      </c>
      <c r="BA5" s="36" t="s">
        <v>125</v>
      </c>
      <c r="BB5" s="17" t="s">
        <v>50</v>
      </c>
      <c r="BC5" s="17" t="s">
        <v>50</v>
      </c>
      <c r="BD5" s="17" t="s">
        <v>51</v>
      </c>
      <c r="BE5" s="17" t="s">
        <v>51</v>
      </c>
      <c r="BF5" s="36" t="s">
        <v>125</v>
      </c>
      <c r="BG5" s="17" t="s">
        <v>50</v>
      </c>
      <c r="BH5" s="36" t="s">
        <v>125</v>
      </c>
      <c r="BI5" s="17" t="s">
        <v>111</v>
      </c>
      <c r="BJ5" s="17" t="s">
        <v>50</v>
      </c>
      <c r="BK5" s="17" t="s">
        <v>50</v>
      </c>
      <c r="BL5" s="17" t="s">
        <v>50</v>
      </c>
      <c r="BM5" s="36" t="s">
        <v>125</v>
      </c>
      <c r="BN5" s="17" t="s">
        <v>111</v>
      </c>
      <c r="BO5" s="36" t="s">
        <v>125</v>
      </c>
      <c r="BP5" s="17" t="s">
        <v>111</v>
      </c>
      <c r="BQ5" s="36" t="s">
        <v>125</v>
      </c>
      <c r="BR5" s="17" t="s">
        <v>111</v>
      </c>
      <c r="BS5" s="36" t="s">
        <v>125</v>
      </c>
      <c r="BT5" s="17" t="s">
        <v>111</v>
      </c>
      <c r="BU5" s="36" t="s">
        <v>125</v>
      </c>
      <c r="BV5" s="17" t="s">
        <v>111</v>
      </c>
      <c r="BW5" s="36" t="s">
        <v>125</v>
      </c>
      <c r="BX5" s="17" t="s">
        <v>111</v>
      </c>
      <c r="BY5" s="36" t="s">
        <v>125</v>
      </c>
      <c r="BZ5" s="17" t="s">
        <v>111</v>
      </c>
      <c r="CA5" s="36" t="s">
        <v>125</v>
      </c>
      <c r="CB5" s="36" t="s">
        <v>125</v>
      </c>
      <c r="CC5" s="17" t="s">
        <v>111</v>
      </c>
      <c r="CD5" s="36" t="s">
        <v>125</v>
      </c>
      <c r="CE5" s="17" t="s">
        <v>111</v>
      </c>
      <c r="CF5" s="36" t="s">
        <v>125</v>
      </c>
      <c r="CG5" s="17" t="s">
        <v>111</v>
      </c>
      <c r="CH5" s="36" t="s">
        <v>125</v>
      </c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</row>
    <row r="6" ht="16.5" customHeight="1">
      <c r="A6" s="39" t="s">
        <v>134</v>
      </c>
      <c r="B6" s="17" t="s">
        <v>137</v>
      </c>
      <c r="C6" s="16">
        <v>1.020113476E9</v>
      </c>
      <c r="D6" s="17" t="s">
        <v>49</v>
      </c>
      <c r="E6" s="22"/>
      <c r="F6" s="22"/>
      <c r="G6" s="18" t="s">
        <v>50</v>
      </c>
      <c r="H6" s="20" t="s">
        <v>52</v>
      </c>
      <c r="I6" s="22"/>
      <c r="J6" s="22"/>
      <c r="K6" s="19" t="s">
        <v>51</v>
      </c>
      <c r="L6" s="22"/>
      <c r="M6" s="22"/>
      <c r="N6" s="22"/>
      <c r="O6" s="20" t="s">
        <v>52</v>
      </c>
      <c r="P6" s="18" t="s">
        <v>50</v>
      </c>
      <c r="Q6" s="36" t="s">
        <v>125</v>
      </c>
      <c r="R6" s="18" t="s">
        <v>50</v>
      </c>
      <c r="S6" s="19" t="s">
        <v>51</v>
      </c>
      <c r="T6" s="18" t="s">
        <v>50</v>
      </c>
      <c r="U6" s="36" t="s">
        <v>125</v>
      </c>
      <c r="V6" s="18" t="s">
        <v>50</v>
      </c>
      <c r="W6" s="18" t="s">
        <v>50</v>
      </c>
      <c r="X6" s="36" t="s">
        <v>125</v>
      </c>
      <c r="Y6" s="18" t="s">
        <v>50</v>
      </c>
      <c r="Z6" s="36" t="s">
        <v>125</v>
      </c>
      <c r="AA6" s="18" t="s">
        <v>50</v>
      </c>
      <c r="AB6" s="36" t="s">
        <v>125</v>
      </c>
      <c r="AC6" s="18" t="s">
        <v>50</v>
      </c>
      <c r="AD6" s="18" t="s">
        <v>50</v>
      </c>
      <c r="AE6" s="36" t="s">
        <v>125</v>
      </c>
      <c r="AF6" s="18" t="s">
        <v>50</v>
      </c>
      <c r="AG6" s="18" t="s">
        <v>50</v>
      </c>
      <c r="AH6" s="36" t="s">
        <v>125</v>
      </c>
      <c r="AI6" s="18" t="s">
        <v>50</v>
      </c>
      <c r="AJ6" s="36" t="s">
        <v>125</v>
      </c>
      <c r="AK6" s="18" t="s">
        <v>50</v>
      </c>
      <c r="AL6" s="18" t="s">
        <v>51</v>
      </c>
      <c r="AM6" s="17" t="s">
        <v>52</v>
      </c>
      <c r="AN6" s="17" t="s">
        <v>52</v>
      </c>
      <c r="AO6" s="17" t="s">
        <v>50</v>
      </c>
      <c r="AP6" s="17" t="s">
        <v>50</v>
      </c>
      <c r="AQ6" s="18" t="s">
        <v>51</v>
      </c>
      <c r="AR6" s="17" t="s">
        <v>50</v>
      </c>
      <c r="AS6" s="17" t="s">
        <v>52</v>
      </c>
      <c r="AT6" s="17" t="s">
        <v>111</v>
      </c>
      <c r="AU6" s="18" t="s">
        <v>50</v>
      </c>
      <c r="AV6" s="17" t="s">
        <v>111</v>
      </c>
      <c r="AW6" s="27" t="s">
        <v>100</v>
      </c>
      <c r="AX6" s="17" t="s">
        <v>111</v>
      </c>
      <c r="AY6" s="18" t="s">
        <v>52</v>
      </c>
      <c r="AZ6" s="17" t="s">
        <v>111</v>
      </c>
      <c r="BA6" s="18" t="s">
        <v>52</v>
      </c>
      <c r="BB6" s="17" t="s">
        <v>111</v>
      </c>
      <c r="BC6" s="17" t="s">
        <v>111</v>
      </c>
      <c r="BD6" s="17" t="s">
        <v>50</v>
      </c>
      <c r="BE6" s="17" t="s">
        <v>50</v>
      </c>
      <c r="BF6" s="17" t="s">
        <v>50</v>
      </c>
      <c r="BG6" s="17" t="s">
        <v>50</v>
      </c>
      <c r="BH6" s="36" t="s">
        <v>125</v>
      </c>
      <c r="BI6" s="17" t="s">
        <v>51</v>
      </c>
      <c r="BJ6" s="17" t="s">
        <v>51</v>
      </c>
      <c r="BK6" s="36" t="s">
        <v>125</v>
      </c>
      <c r="BL6" s="17" t="s">
        <v>50</v>
      </c>
      <c r="BM6" s="36" t="s">
        <v>125</v>
      </c>
      <c r="BN6" s="18" t="s">
        <v>51</v>
      </c>
      <c r="BO6" s="36" t="s">
        <v>125</v>
      </c>
      <c r="BP6" s="17" t="s">
        <v>50</v>
      </c>
      <c r="BQ6" s="36" t="s">
        <v>125</v>
      </c>
      <c r="BR6" s="18" t="s">
        <v>51</v>
      </c>
      <c r="BS6" s="36" t="s">
        <v>125</v>
      </c>
      <c r="BT6" s="17" t="s">
        <v>50</v>
      </c>
      <c r="BU6" s="36" t="s">
        <v>125</v>
      </c>
      <c r="BV6" s="18" t="s">
        <v>51</v>
      </c>
      <c r="BW6" s="36" t="s">
        <v>125</v>
      </c>
      <c r="BX6" s="17" t="s">
        <v>50</v>
      </c>
      <c r="BY6" s="36" t="s">
        <v>125</v>
      </c>
      <c r="BZ6" s="18" t="s">
        <v>51</v>
      </c>
      <c r="CA6" s="18" t="s">
        <v>51</v>
      </c>
      <c r="CB6" s="36" t="s">
        <v>125</v>
      </c>
      <c r="CC6" s="17" t="s">
        <v>50</v>
      </c>
      <c r="CD6" s="36" t="s">
        <v>125</v>
      </c>
      <c r="CE6" s="18" t="s">
        <v>51</v>
      </c>
      <c r="CF6" s="36" t="s">
        <v>125</v>
      </c>
      <c r="CG6" s="17" t="s">
        <v>50</v>
      </c>
      <c r="CH6" s="17" t="s">
        <v>50</v>
      </c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</row>
    <row r="7" ht="16.5" customHeight="1">
      <c r="A7" s="31" t="s">
        <v>142</v>
      </c>
      <c r="B7" s="17" t="s">
        <v>145</v>
      </c>
      <c r="C7" s="17">
        <v>1.039446686E9</v>
      </c>
      <c r="D7" s="17" t="s">
        <v>127</v>
      </c>
      <c r="E7" s="19" t="s">
        <v>51</v>
      </c>
      <c r="F7" s="17" t="s">
        <v>50</v>
      </c>
      <c r="G7" s="17" t="s">
        <v>111</v>
      </c>
      <c r="H7" s="17" t="s">
        <v>50</v>
      </c>
      <c r="I7" s="19" t="s">
        <v>51</v>
      </c>
      <c r="J7" s="17" t="s">
        <v>50</v>
      </c>
      <c r="K7" s="17" t="s">
        <v>111</v>
      </c>
      <c r="L7" s="17" t="s">
        <v>111</v>
      </c>
      <c r="M7" s="17" t="s">
        <v>51</v>
      </c>
      <c r="N7" s="17" t="s">
        <v>50</v>
      </c>
      <c r="O7" s="19" t="s">
        <v>51</v>
      </c>
      <c r="P7" s="19" t="s">
        <v>51</v>
      </c>
      <c r="Q7" s="18" t="s">
        <v>50</v>
      </c>
      <c r="R7" s="18" t="s">
        <v>50</v>
      </c>
      <c r="S7" s="18" t="s">
        <v>50</v>
      </c>
      <c r="T7" s="18" t="s">
        <v>50</v>
      </c>
      <c r="U7" s="18" t="s">
        <v>51</v>
      </c>
      <c r="V7" s="18" t="s">
        <v>51</v>
      </c>
      <c r="W7" s="18" t="s">
        <v>50</v>
      </c>
      <c r="X7" s="18" t="s">
        <v>50</v>
      </c>
      <c r="Y7" s="18" t="s">
        <v>50</v>
      </c>
      <c r="Z7" s="18" t="s">
        <v>51</v>
      </c>
      <c r="AA7" s="18" t="s">
        <v>51</v>
      </c>
      <c r="AB7" s="18" t="s">
        <v>50</v>
      </c>
      <c r="AC7" s="18" t="s">
        <v>50</v>
      </c>
      <c r="AD7" s="18" t="s">
        <v>50</v>
      </c>
      <c r="AE7" s="18" t="s">
        <v>50</v>
      </c>
      <c r="AF7" s="18" t="s">
        <v>51</v>
      </c>
      <c r="AG7" s="18" t="s">
        <v>51</v>
      </c>
      <c r="AH7" s="18" t="s">
        <v>50</v>
      </c>
      <c r="AI7" s="18" t="s">
        <v>50</v>
      </c>
      <c r="AJ7" s="18" t="s">
        <v>50</v>
      </c>
      <c r="AK7" s="18" t="s">
        <v>50</v>
      </c>
      <c r="AL7" s="18" t="s">
        <v>51</v>
      </c>
      <c r="AM7" s="17" t="s">
        <v>51</v>
      </c>
      <c r="AN7" s="17" t="s">
        <v>51</v>
      </c>
      <c r="AO7" s="17" t="s">
        <v>50</v>
      </c>
      <c r="AP7" s="17" t="s">
        <v>50</v>
      </c>
      <c r="AQ7" s="17" t="s">
        <v>51</v>
      </c>
      <c r="AR7" s="17" t="s">
        <v>51</v>
      </c>
      <c r="AS7" s="17" t="s">
        <v>50</v>
      </c>
      <c r="AT7" s="19" t="s">
        <v>51</v>
      </c>
      <c r="AU7" s="18" t="s">
        <v>50</v>
      </c>
      <c r="AV7" s="17" t="s">
        <v>111</v>
      </c>
      <c r="AW7" s="19" t="s">
        <v>51</v>
      </c>
      <c r="AX7" s="19" t="s">
        <v>51</v>
      </c>
      <c r="AY7" s="19" t="s">
        <v>51</v>
      </c>
      <c r="AZ7" s="17" t="s">
        <v>111</v>
      </c>
      <c r="BA7" s="17" t="s">
        <v>111</v>
      </c>
      <c r="BB7" s="19" t="s">
        <v>51</v>
      </c>
      <c r="BC7" s="17" t="s">
        <v>50</v>
      </c>
      <c r="BD7" s="18" t="s">
        <v>51</v>
      </c>
      <c r="BE7" s="17" t="s">
        <v>50</v>
      </c>
      <c r="BF7" s="17" t="s">
        <v>50</v>
      </c>
      <c r="BG7" s="17" t="s">
        <v>50</v>
      </c>
      <c r="BH7" s="17" t="s">
        <v>51</v>
      </c>
      <c r="BI7" s="17" t="s">
        <v>51</v>
      </c>
      <c r="BJ7" s="17" t="s">
        <v>51</v>
      </c>
      <c r="BK7" s="17" t="s">
        <v>50</v>
      </c>
      <c r="BL7" s="17" t="s">
        <v>50</v>
      </c>
      <c r="BM7" s="18" t="s">
        <v>51</v>
      </c>
      <c r="BN7" s="18" t="s">
        <v>51</v>
      </c>
      <c r="BO7" s="17" t="s">
        <v>50</v>
      </c>
      <c r="BP7" s="17" t="s">
        <v>50</v>
      </c>
      <c r="BQ7" s="18" t="s">
        <v>51</v>
      </c>
      <c r="BR7" s="18" t="s">
        <v>51</v>
      </c>
      <c r="BS7" s="17" t="s">
        <v>50</v>
      </c>
      <c r="BT7" s="17" t="s">
        <v>50</v>
      </c>
      <c r="BU7" s="18" t="s">
        <v>51</v>
      </c>
      <c r="BV7" s="18" t="s">
        <v>51</v>
      </c>
      <c r="BW7" s="17" t="s">
        <v>50</v>
      </c>
      <c r="BX7" s="17" t="s">
        <v>50</v>
      </c>
      <c r="BY7" s="18" t="s">
        <v>51</v>
      </c>
      <c r="BZ7" s="18" t="s">
        <v>51</v>
      </c>
      <c r="CA7" s="18" t="s">
        <v>51</v>
      </c>
      <c r="CB7" s="17" t="s">
        <v>50</v>
      </c>
      <c r="CC7" s="17" t="s">
        <v>50</v>
      </c>
      <c r="CD7" s="18" t="s">
        <v>51</v>
      </c>
      <c r="CE7" s="18" t="s">
        <v>51</v>
      </c>
      <c r="CF7" s="17" t="s">
        <v>50</v>
      </c>
      <c r="CG7" s="17" t="s">
        <v>50</v>
      </c>
      <c r="CH7" s="17" t="s">
        <v>50</v>
      </c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</row>
    <row r="8" ht="16.5" customHeight="1">
      <c r="A8" s="44" t="s">
        <v>151</v>
      </c>
      <c r="B8" s="17" t="s">
        <v>155</v>
      </c>
      <c r="C8" s="17">
        <v>1.04035541E9</v>
      </c>
      <c r="D8" s="17" t="s">
        <v>49</v>
      </c>
      <c r="E8" s="18" t="s">
        <v>50</v>
      </c>
      <c r="F8" s="22"/>
      <c r="G8" s="34" t="s">
        <v>50</v>
      </c>
      <c r="H8" s="19" t="s">
        <v>51</v>
      </c>
      <c r="I8" s="19" t="s">
        <v>50</v>
      </c>
      <c r="J8" s="18" t="s">
        <v>51</v>
      </c>
      <c r="K8" s="18" t="s">
        <v>50</v>
      </c>
      <c r="L8" s="22"/>
      <c r="M8" s="18" t="s">
        <v>50</v>
      </c>
      <c r="N8" s="19" t="s">
        <v>51</v>
      </c>
      <c r="O8" s="19" t="s">
        <v>51</v>
      </c>
      <c r="P8" s="18" t="s">
        <v>50</v>
      </c>
      <c r="Q8" s="18" t="s">
        <v>50</v>
      </c>
      <c r="R8" s="18" t="s">
        <v>50</v>
      </c>
      <c r="S8" s="20" t="s">
        <v>52</v>
      </c>
      <c r="T8" s="18" t="s">
        <v>50</v>
      </c>
      <c r="U8" s="18" t="s">
        <v>51</v>
      </c>
      <c r="V8" s="18" t="s">
        <v>51</v>
      </c>
      <c r="W8" s="18" t="s">
        <v>50</v>
      </c>
      <c r="X8" s="18" t="s">
        <v>50</v>
      </c>
      <c r="Y8" s="18" t="s">
        <v>51</v>
      </c>
      <c r="Z8" s="18" t="s">
        <v>51</v>
      </c>
      <c r="AA8" s="18" t="s">
        <v>50</v>
      </c>
      <c r="AB8" s="18" t="s">
        <v>50</v>
      </c>
      <c r="AC8" s="18" t="s">
        <v>50</v>
      </c>
      <c r="AD8" s="18" t="s">
        <v>51</v>
      </c>
      <c r="AE8" s="18" t="s">
        <v>50</v>
      </c>
      <c r="AF8" s="18" t="s">
        <v>50</v>
      </c>
      <c r="AG8" s="18" t="s">
        <v>50</v>
      </c>
      <c r="AH8" s="18" t="s">
        <v>51</v>
      </c>
      <c r="AI8" s="18" t="s">
        <v>51</v>
      </c>
      <c r="AJ8" s="18" t="s">
        <v>50</v>
      </c>
      <c r="AK8" s="18" t="s">
        <v>50</v>
      </c>
      <c r="AL8" s="18" t="s">
        <v>50</v>
      </c>
      <c r="AM8" s="17" t="s">
        <v>51</v>
      </c>
      <c r="AN8" s="17" t="s">
        <v>50</v>
      </c>
      <c r="AO8" s="17" t="s">
        <v>52</v>
      </c>
      <c r="AP8" s="17" t="s">
        <v>52</v>
      </c>
      <c r="AQ8" s="17" t="s">
        <v>50</v>
      </c>
      <c r="AR8" s="17" t="s">
        <v>50</v>
      </c>
      <c r="AS8" s="17" t="s">
        <v>52</v>
      </c>
      <c r="AT8" s="18" t="s">
        <v>50</v>
      </c>
      <c r="AU8" s="17" t="s">
        <v>111</v>
      </c>
      <c r="AV8" s="18" t="s">
        <v>50</v>
      </c>
      <c r="AW8" s="19" t="s">
        <v>51</v>
      </c>
      <c r="AX8" s="18" t="s">
        <v>51</v>
      </c>
      <c r="AY8" s="18" t="s">
        <v>50</v>
      </c>
      <c r="AZ8" s="18" t="s">
        <v>51</v>
      </c>
      <c r="BA8" s="17" t="s">
        <v>111</v>
      </c>
      <c r="BB8" s="19" t="s">
        <v>51</v>
      </c>
      <c r="BC8" s="18" t="s">
        <v>50</v>
      </c>
      <c r="BD8" s="17" t="s">
        <v>50</v>
      </c>
      <c r="BE8" s="17" t="s">
        <v>50</v>
      </c>
      <c r="BF8" s="17" t="s">
        <v>50</v>
      </c>
      <c r="BG8" s="17" t="s">
        <v>50</v>
      </c>
      <c r="BH8" s="17" t="s">
        <v>51</v>
      </c>
      <c r="BI8" s="17" t="s">
        <v>51</v>
      </c>
      <c r="BJ8" s="17" t="s">
        <v>51</v>
      </c>
      <c r="BK8" s="17" t="s">
        <v>50</v>
      </c>
      <c r="BL8" s="17" t="s">
        <v>50</v>
      </c>
      <c r="BM8" s="18" t="s">
        <v>51</v>
      </c>
      <c r="BN8" s="18" t="s">
        <v>51</v>
      </c>
      <c r="BO8" s="18" t="s">
        <v>51</v>
      </c>
      <c r="BP8" s="18" t="s">
        <v>51</v>
      </c>
      <c r="BQ8" s="18" t="s">
        <v>52</v>
      </c>
      <c r="BR8" s="18" t="s">
        <v>51</v>
      </c>
      <c r="BS8" s="17" t="s">
        <v>50</v>
      </c>
      <c r="BT8" s="17" t="s">
        <v>50</v>
      </c>
      <c r="BU8" s="18" t="s">
        <v>51</v>
      </c>
      <c r="BV8" s="18" t="s">
        <v>51</v>
      </c>
      <c r="BW8" s="17" t="s">
        <v>50</v>
      </c>
      <c r="BX8" s="17" t="s">
        <v>50</v>
      </c>
      <c r="BY8" s="18" t="s">
        <v>51</v>
      </c>
      <c r="BZ8" s="18" t="s">
        <v>51</v>
      </c>
      <c r="CA8" s="18" t="s">
        <v>51</v>
      </c>
      <c r="CB8" s="17" t="s">
        <v>50</v>
      </c>
      <c r="CC8" s="17" t="s">
        <v>50</v>
      </c>
      <c r="CD8" s="18" t="s">
        <v>51</v>
      </c>
      <c r="CE8" s="18" t="s">
        <v>51</v>
      </c>
      <c r="CF8" s="17" t="s">
        <v>50</v>
      </c>
      <c r="CG8" s="17" t="s">
        <v>50</v>
      </c>
      <c r="CH8" s="17" t="s">
        <v>50</v>
      </c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</row>
    <row r="9" ht="16.5" customHeight="1">
      <c r="A9" s="48" t="s">
        <v>160</v>
      </c>
      <c r="B9" s="17" t="s">
        <v>164</v>
      </c>
      <c r="C9" s="16">
        <v>1.033178035E9</v>
      </c>
      <c r="D9" s="17" t="s">
        <v>127</v>
      </c>
      <c r="E9" s="18" t="s">
        <v>50</v>
      </c>
      <c r="F9" s="19" t="s">
        <v>51</v>
      </c>
      <c r="G9" s="20" t="s">
        <v>52</v>
      </c>
      <c r="H9" s="22"/>
      <c r="I9" s="17" t="s">
        <v>51</v>
      </c>
      <c r="J9" s="22"/>
      <c r="K9" s="19" t="s">
        <v>51</v>
      </c>
      <c r="L9" s="22"/>
      <c r="M9" s="22"/>
      <c r="N9" s="22"/>
      <c r="O9" s="18" t="s">
        <v>50</v>
      </c>
      <c r="P9" s="18" t="s">
        <v>50</v>
      </c>
      <c r="Q9" s="19" t="s">
        <v>51</v>
      </c>
      <c r="R9" s="19" t="s">
        <v>51</v>
      </c>
      <c r="S9" s="18" t="s">
        <v>50</v>
      </c>
      <c r="T9" s="18" t="s">
        <v>50</v>
      </c>
      <c r="U9" s="18" t="s">
        <v>50</v>
      </c>
      <c r="V9" s="18" t="s">
        <v>50</v>
      </c>
      <c r="W9" s="18" t="s">
        <v>50</v>
      </c>
      <c r="X9" s="18" t="s">
        <v>52</v>
      </c>
      <c r="Y9" s="18" t="s">
        <v>52</v>
      </c>
      <c r="Z9" s="18" t="s">
        <v>52</v>
      </c>
      <c r="AA9" s="18" t="s">
        <v>50</v>
      </c>
      <c r="AB9" s="18" t="s">
        <v>50</v>
      </c>
      <c r="AC9" s="18" t="s">
        <v>50</v>
      </c>
      <c r="AD9" s="18" t="s">
        <v>51</v>
      </c>
      <c r="AE9" s="18" t="s">
        <v>50</v>
      </c>
      <c r="AF9" s="18" t="s">
        <v>50</v>
      </c>
      <c r="AG9" s="18" t="s">
        <v>50</v>
      </c>
      <c r="AH9" s="18" t="s">
        <v>51</v>
      </c>
      <c r="AI9" s="18" t="s">
        <v>51</v>
      </c>
      <c r="AJ9" s="18" t="s">
        <v>50</v>
      </c>
      <c r="AK9" s="18" t="s">
        <v>50</v>
      </c>
      <c r="AL9" s="18" t="s">
        <v>50</v>
      </c>
      <c r="AM9" s="17" t="s">
        <v>51</v>
      </c>
      <c r="AN9" s="17" t="s">
        <v>51</v>
      </c>
      <c r="AO9" s="17" t="s">
        <v>50</v>
      </c>
      <c r="AP9" s="17" t="s">
        <v>50</v>
      </c>
      <c r="AQ9" s="17" t="s">
        <v>52</v>
      </c>
      <c r="AR9" s="17" t="s">
        <v>52</v>
      </c>
      <c r="AS9" s="17" t="s">
        <v>50</v>
      </c>
      <c r="AT9" s="17" t="s">
        <v>111</v>
      </c>
      <c r="AU9" s="17" t="s">
        <v>111</v>
      </c>
      <c r="AV9" s="17" t="s">
        <v>111</v>
      </c>
      <c r="AW9" s="17" t="s">
        <v>111</v>
      </c>
      <c r="AX9" s="19" t="s">
        <v>168</v>
      </c>
      <c r="AY9" s="17" t="s">
        <v>111</v>
      </c>
      <c r="AZ9" s="17" t="s">
        <v>111</v>
      </c>
      <c r="BA9" s="17" t="s">
        <v>111</v>
      </c>
      <c r="BB9" s="19" t="s">
        <v>168</v>
      </c>
      <c r="BC9" s="17" t="s">
        <v>111</v>
      </c>
      <c r="BD9" s="27" t="s">
        <v>92</v>
      </c>
      <c r="BE9" s="17" t="s">
        <v>50</v>
      </c>
      <c r="BF9" s="17" t="s">
        <v>50</v>
      </c>
      <c r="BG9" s="17" t="s">
        <v>50</v>
      </c>
      <c r="BH9" s="36" t="s">
        <v>125</v>
      </c>
      <c r="BI9" s="36" t="s">
        <v>125</v>
      </c>
      <c r="BJ9" s="36" t="s">
        <v>125</v>
      </c>
      <c r="BK9" s="17" t="s">
        <v>50</v>
      </c>
      <c r="BL9" s="17" t="s">
        <v>50</v>
      </c>
      <c r="BM9" s="36" t="s">
        <v>125</v>
      </c>
      <c r="BN9" s="36" t="s">
        <v>125</v>
      </c>
      <c r="BO9" s="36" t="s">
        <v>125</v>
      </c>
      <c r="BP9" s="36" t="s">
        <v>125</v>
      </c>
      <c r="BQ9" s="36" t="s">
        <v>125</v>
      </c>
      <c r="BR9" s="36" t="s">
        <v>125</v>
      </c>
      <c r="BS9" s="36" t="s">
        <v>125</v>
      </c>
      <c r="BT9" s="36" t="s">
        <v>125</v>
      </c>
      <c r="BU9" s="36" t="s">
        <v>125</v>
      </c>
      <c r="BV9" s="36" t="s">
        <v>170</v>
      </c>
      <c r="BW9" s="36" t="s">
        <v>125</v>
      </c>
      <c r="BX9" s="36" t="s">
        <v>125</v>
      </c>
      <c r="BY9" s="36" t="s">
        <v>125</v>
      </c>
      <c r="BZ9" s="36" t="s">
        <v>125</v>
      </c>
      <c r="CA9" s="36" t="s">
        <v>125</v>
      </c>
      <c r="CB9" s="36" t="s">
        <v>125</v>
      </c>
      <c r="CC9" s="36" t="s">
        <v>125</v>
      </c>
      <c r="CD9" s="36" t="s">
        <v>125</v>
      </c>
      <c r="CE9" s="36" t="s">
        <v>125</v>
      </c>
      <c r="CF9" s="36" t="s">
        <v>125</v>
      </c>
      <c r="CG9" s="36" t="s">
        <v>125</v>
      </c>
      <c r="CH9" s="36" t="s">
        <v>125</v>
      </c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</row>
    <row r="10" ht="16.5" customHeight="1">
      <c r="A10" s="31" t="s">
        <v>172</v>
      </c>
      <c r="B10" s="17" t="s">
        <v>176</v>
      </c>
      <c r="C10" s="16">
        <v>1.000889013E9</v>
      </c>
      <c r="D10" s="17" t="s">
        <v>127</v>
      </c>
      <c r="E10" s="19" t="s">
        <v>162</v>
      </c>
      <c r="F10" s="22"/>
      <c r="G10" s="22"/>
      <c r="H10" s="22"/>
      <c r="I10" s="19" t="s">
        <v>162</v>
      </c>
      <c r="J10" s="22"/>
      <c r="K10" s="22"/>
      <c r="L10" s="22"/>
      <c r="M10" s="22"/>
      <c r="N10" s="22"/>
      <c r="O10" s="19" t="s">
        <v>51</v>
      </c>
      <c r="P10" s="18" t="s">
        <v>50</v>
      </c>
      <c r="Q10" s="18" t="s">
        <v>50</v>
      </c>
      <c r="R10" s="18" t="s">
        <v>50</v>
      </c>
      <c r="S10" s="19" t="s">
        <v>51</v>
      </c>
      <c r="T10" s="18" t="s">
        <v>50</v>
      </c>
      <c r="U10" s="18" t="s">
        <v>50</v>
      </c>
      <c r="V10" s="18" t="s">
        <v>51</v>
      </c>
      <c r="W10" s="18" t="s">
        <v>50</v>
      </c>
      <c r="X10" s="18" t="s">
        <v>50</v>
      </c>
      <c r="Y10" s="18" t="s">
        <v>51</v>
      </c>
      <c r="Z10" s="18" t="s">
        <v>51</v>
      </c>
      <c r="AA10" s="18" t="s">
        <v>50</v>
      </c>
      <c r="AB10" s="18" t="s">
        <v>50</v>
      </c>
      <c r="AC10" s="18" t="s">
        <v>50</v>
      </c>
      <c r="AD10" s="18" t="s">
        <v>51</v>
      </c>
      <c r="AE10" s="18" t="s">
        <v>50</v>
      </c>
      <c r="AF10" s="18" t="s">
        <v>50</v>
      </c>
      <c r="AG10" s="18" t="s">
        <v>50</v>
      </c>
      <c r="AH10" s="18" t="s">
        <v>51</v>
      </c>
      <c r="AI10" s="18" t="s">
        <v>51</v>
      </c>
      <c r="AJ10" s="18" t="s">
        <v>50</v>
      </c>
      <c r="AK10" s="18" t="s">
        <v>51</v>
      </c>
      <c r="AL10" s="18" t="s">
        <v>50</v>
      </c>
      <c r="AM10" s="18" t="s">
        <v>50</v>
      </c>
      <c r="AN10" s="17" t="s">
        <v>51</v>
      </c>
      <c r="AO10" s="17" t="s">
        <v>51</v>
      </c>
      <c r="AP10" s="17" t="s">
        <v>51</v>
      </c>
      <c r="AQ10" s="17" t="s">
        <v>50</v>
      </c>
      <c r="AR10" s="17" t="s">
        <v>50</v>
      </c>
      <c r="AS10" s="17" t="s">
        <v>51</v>
      </c>
      <c r="AT10" s="19" t="s">
        <v>51</v>
      </c>
      <c r="AU10" s="19" t="s">
        <v>51</v>
      </c>
      <c r="AV10" s="17" t="s">
        <v>111</v>
      </c>
      <c r="AW10" s="17" t="s">
        <v>111</v>
      </c>
      <c r="AX10" s="19" t="s">
        <v>51</v>
      </c>
      <c r="AY10" s="19" t="s">
        <v>51</v>
      </c>
      <c r="AZ10" s="17" t="s">
        <v>111</v>
      </c>
      <c r="BA10" s="17" t="s">
        <v>111</v>
      </c>
      <c r="BB10" s="19" t="s">
        <v>51</v>
      </c>
      <c r="BC10" s="17" t="s">
        <v>111</v>
      </c>
      <c r="BD10" s="17" t="s">
        <v>50</v>
      </c>
      <c r="BE10" s="17" t="s">
        <v>50</v>
      </c>
      <c r="BF10" s="17" t="s">
        <v>50</v>
      </c>
      <c r="BG10" s="17" t="s">
        <v>50</v>
      </c>
      <c r="BH10" s="17" t="s">
        <v>51</v>
      </c>
      <c r="BI10" s="17" t="s">
        <v>51</v>
      </c>
      <c r="BJ10" s="17" t="s">
        <v>51</v>
      </c>
      <c r="BK10" s="17" t="s">
        <v>50</v>
      </c>
      <c r="BL10" s="17" t="s">
        <v>50</v>
      </c>
      <c r="BM10" s="18" t="s">
        <v>51</v>
      </c>
      <c r="BN10" s="18" t="s">
        <v>51</v>
      </c>
      <c r="BO10" s="17" t="s">
        <v>50</v>
      </c>
      <c r="BP10" s="17" t="s">
        <v>50</v>
      </c>
      <c r="BQ10" s="18" t="s">
        <v>51</v>
      </c>
      <c r="BR10" s="18" t="s">
        <v>51</v>
      </c>
      <c r="BS10" s="17" t="s">
        <v>50</v>
      </c>
      <c r="BT10" s="17" t="s">
        <v>50</v>
      </c>
      <c r="BU10" s="18" t="s">
        <v>51</v>
      </c>
      <c r="BV10" s="18" t="s">
        <v>51</v>
      </c>
      <c r="BW10" s="17" t="s">
        <v>50</v>
      </c>
      <c r="BX10" s="17" t="s">
        <v>50</v>
      </c>
      <c r="BY10" s="18" t="s">
        <v>51</v>
      </c>
      <c r="BZ10" s="18" t="s">
        <v>51</v>
      </c>
      <c r="CA10" s="18" t="s">
        <v>51</v>
      </c>
      <c r="CB10" s="17" t="s">
        <v>50</v>
      </c>
      <c r="CC10" s="17" t="s">
        <v>50</v>
      </c>
      <c r="CD10" s="18" t="s">
        <v>51</v>
      </c>
      <c r="CE10" s="18" t="s">
        <v>51</v>
      </c>
      <c r="CF10" s="17" t="s">
        <v>50</v>
      </c>
      <c r="CG10" s="17" t="s">
        <v>50</v>
      </c>
      <c r="CH10" s="17" t="s">
        <v>50</v>
      </c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</row>
    <row r="11" ht="16.5" customHeight="1">
      <c r="A11" s="31" t="s">
        <v>181</v>
      </c>
      <c r="B11" s="17" t="s">
        <v>182</v>
      </c>
      <c r="C11" s="16">
        <v>1.127206552E9</v>
      </c>
      <c r="D11" s="17" t="s">
        <v>104</v>
      </c>
      <c r="E11" s="19" t="s">
        <v>51</v>
      </c>
      <c r="F11" s="22"/>
      <c r="G11" s="19" t="s">
        <v>51</v>
      </c>
      <c r="H11" s="22"/>
      <c r="I11" s="22"/>
      <c r="J11" s="20" t="s">
        <v>52</v>
      </c>
      <c r="K11" s="18" t="s">
        <v>50</v>
      </c>
      <c r="L11" s="22"/>
      <c r="M11" s="50"/>
      <c r="N11" s="22"/>
      <c r="O11" s="20" t="s">
        <v>52</v>
      </c>
      <c r="P11" s="18" t="s">
        <v>50</v>
      </c>
      <c r="Q11" s="18" t="s">
        <v>50</v>
      </c>
      <c r="R11" s="18" t="s">
        <v>50</v>
      </c>
      <c r="S11" s="18" t="s">
        <v>50</v>
      </c>
      <c r="T11" s="18" t="s">
        <v>50</v>
      </c>
      <c r="U11" s="18" t="s">
        <v>50</v>
      </c>
      <c r="V11" s="18" t="s">
        <v>50</v>
      </c>
      <c r="W11" s="18" t="s">
        <v>52</v>
      </c>
      <c r="X11" s="18" t="s">
        <v>50</v>
      </c>
      <c r="Y11" s="18" t="s">
        <v>50</v>
      </c>
      <c r="Z11" s="18" t="s">
        <v>50</v>
      </c>
      <c r="AA11" s="18" t="s">
        <v>50</v>
      </c>
      <c r="AB11" s="18" t="s">
        <v>52</v>
      </c>
      <c r="AC11" s="18" t="s">
        <v>50</v>
      </c>
      <c r="AD11" s="18" t="s">
        <v>50</v>
      </c>
      <c r="AE11" s="18" t="s">
        <v>50</v>
      </c>
      <c r="AF11" s="18" t="s">
        <v>50</v>
      </c>
      <c r="AG11" s="18" t="s">
        <v>51</v>
      </c>
      <c r="AH11" s="18" t="s">
        <v>50</v>
      </c>
      <c r="AI11" s="18" t="s">
        <v>50</v>
      </c>
      <c r="AJ11" s="18" t="s">
        <v>50</v>
      </c>
      <c r="AK11" s="18" t="s">
        <v>50</v>
      </c>
      <c r="AL11" s="18" t="s">
        <v>50</v>
      </c>
      <c r="AM11" s="17" t="s">
        <v>50</v>
      </c>
      <c r="AN11" s="17" t="s">
        <v>50</v>
      </c>
      <c r="AO11" s="17" t="s">
        <v>52</v>
      </c>
      <c r="AP11" s="18" t="s">
        <v>50</v>
      </c>
      <c r="AQ11" s="17" t="s">
        <v>50</v>
      </c>
      <c r="AR11" s="17" t="s">
        <v>50</v>
      </c>
      <c r="AS11" s="17" t="s">
        <v>50</v>
      </c>
      <c r="AT11" s="17" t="s">
        <v>50</v>
      </c>
      <c r="AU11" s="17" t="s">
        <v>50</v>
      </c>
      <c r="AV11" s="17" t="s">
        <v>111</v>
      </c>
      <c r="AW11" s="27" t="s">
        <v>100</v>
      </c>
      <c r="AX11" s="17" t="s">
        <v>111</v>
      </c>
      <c r="AY11" s="18" t="s">
        <v>52</v>
      </c>
      <c r="AZ11" s="17" t="s">
        <v>111</v>
      </c>
      <c r="BA11" s="18" t="s">
        <v>52</v>
      </c>
      <c r="BB11" s="17" t="s">
        <v>111</v>
      </c>
      <c r="BC11" s="18" t="s">
        <v>50</v>
      </c>
      <c r="BD11" s="18" t="s">
        <v>52</v>
      </c>
      <c r="BE11" s="17" t="s">
        <v>52</v>
      </c>
      <c r="BF11" s="27" t="s">
        <v>100</v>
      </c>
      <c r="BG11" s="17" t="s">
        <v>50</v>
      </c>
      <c r="BH11" s="27" t="s">
        <v>100</v>
      </c>
      <c r="BI11" s="18" t="s">
        <v>52</v>
      </c>
      <c r="BJ11" s="18" t="s">
        <v>52</v>
      </c>
      <c r="BK11" s="27" t="s">
        <v>100</v>
      </c>
      <c r="BL11" s="17" t="s">
        <v>50</v>
      </c>
      <c r="BM11" s="27" t="s">
        <v>100</v>
      </c>
      <c r="BN11" s="18" t="s">
        <v>52</v>
      </c>
      <c r="BO11" s="27" t="s">
        <v>100</v>
      </c>
      <c r="BP11" s="17" t="s">
        <v>50</v>
      </c>
      <c r="BQ11" s="27" t="s">
        <v>100</v>
      </c>
      <c r="BR11" s="18" t="s">
        <v>51</v>
      </c>
      <c r="BS11" s="27" t="s">
        <v>100</v>
      </c>
      <c r="BT11" s="17" t="s">
        <v>50</v>
      </c>
      <c r="BU11" s="27" t="s">
        <v>100</v>
      </c>
      <c r="BV11" s="18" t="s">
        <v>52</v>
      </c>
      <c r="BW11" s="27" t="s">
        <v>100</v>
      </c>
      <c r="BX11" s="18" t="s">
        <v>52</v>
      </c>
      <c r="BY11" s="27" t="s">
        <v>100</v>
      </c>
      <c r="BZ11" s="20" t="s">
        <v>184</v>
      </c>
      <c r="CA11" s="20" t="s">
        <v>184</v>
      </c>
      <c r="CB11" s="27" t="s">
        <v>100</v>
      </c>
      <c r="CC11" s="18" t="s">
        <v>52</v>
      </c>
      <c r="CD11" s="27" t="s">
        <v>100</v>
      </c>
      <c r="CE11" s="20" t="s">
        <v>184</v>
      </c>
      <c r="CF11" s="27" t="s">
        <v>100</v>
      </c>
      <c r="CG11" s="18" t="s">
        <v>52</v>
      </c>
      <c r="CH11" s="18" t="s">
        <v>52</v>
      </c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</row>
    <row r="12" ht="16.5" customHeight="1">
      <c r="A12" s="31" t="s">
        <v>186</v>
      </c>
      <c r="B12" s="17" t="s">
        <v>188</v>
      </c>
      <c r="C12" s="16">
        <v>1.025886622E9</v>
      </c>
      <c r="D12" s="17" t="s">
        <v>49</v>
      </c>
      <c r="E12" s="19" t="s">
        <v>51</v>
      </c>
      <c r="F12" s="22"/>
      <c r="G12" s="18" t="s">
        <v>50</v>
      </c>
      <c r="H12" s="52"/>
      <c r="I12" s="22"/>
      <c r="J12" s="22"/>
      <c r="K12" s="22"/>
      <c r="L12" s="19" t="s">
        <v>51</v>
      </c>
      <c r="M12" s="22"/>
      <c r="N12" s="19" t="s">
        <v>51</v>
      </c>
      <c r="O12" s="19" t="s">
        <v>51</v>
      </c>
      <c r="P12" s="18" t="s">
        <v>50</v>
      </c>
      <c r="Q12" s="18" t="s">
        <v>50</v>
      </c>
      <c r="R12" s="18" t="s">
        <v>50</v>
      </c>
      <c r="S12" s="18" t="s">
        <v>50</v>
      </c>
      <c r="T12" s="19" t="s">
        <v>51</v>
      </c>
      <c r="U12" s="18" t="s">
        <v>50</v>
      </c>
      <c r="V12" s="18" t="s">
        <v>50</v>
      </c>
      <c r="W12" s="18" t="s">
        <v>50</v>
      </c>
      <c r="X12" s="18" t="s">
        <v>51</v>
      </c>
      <c r="Y12" s="18" t="s">
        <v>50</v>
      </c>
      <c r="Z12" s="18" t="s">
        <v>51</v>
      </c>
      <c r="AA12" s="18" t="s">
        <v>50</v>
      </c>
      <c r="AB12" s="18" t="s">
        <v>51</v>
      </c>
      <c r="AC12" s="18" t="s">
        <v>51</v>
      </c>
      <c r="AD12" s="18" t="s">
        <v>50</v>
      </c>
      <c r="AE12" s="18" t="s">
        <v>50</v>
      </c>
      <c r="AF12" s="18" t="s">
        <v>50</v>
      </c>
      <c r="AG12" s="18" t="s">
        <v>51</v>
      </c>
      <c r="AH12" s="18" t="s">
        <v>50</v>
      </c>
      <c r="AI12" s="18" t="s">
        <v>50</v>
      </c>
      <c r="AJ12" s="18" t="s">
        <v>50</v>
      </c>
      <c r="AK12" s="18" t="s">
        <v>190</v>
      </c>
      <c r="AL12" s="18" t="s">
        <v>51</v>
      </c>
      <c r="AM12" s="17" t="s">
        <v>51</v>
      </c>
      <c r="AN12" s="17" t="s">
        <v>51</v>
      </c>
      <c r="AO12" s="17" t="s">
        <v>50</v>
      </c>
      <c r="AP12" s="17" t="s">
        <v>50</v>
      </c>
      <c r="AQ12" s="18" t="s">
        <v>51</v>
      </c>
      <c r="AR12" s="17" t="s">
        <v>50</v>
      </c>
      <c r="AS12" s="17" t="s">
        <v>50</v>
      </c>
      <c r="AT12" s="18" t="s">
        <v>50</v>
      </c>
      <c r="AU12" s="18" t="s">
        <v>50</v>
      </c>
      <c r="AV12" s="17" t="s">
        <v>111</v>
      </c>
      <c r="AW12" s="19" t="s">
        <v>51</v>
      </c>
      <c r="AX12" s="17" t="s">
        <v>111</v>
      </c>
      <c r="AY12" s="19" t="s">
        <v>51</v>
      </c>
      <c r="AZ12" s="17" t="s">
        <v>111</v>
      </c>
      <c r="BA12" s="19" t="s">
        <v>51</v>
      </c>
      <c r="BB12" s="19" t="s">
        <v>51</v>
      </c>
      <c r="BC12" s="18" t="s">
        <v>50</v>
      </c>
      <c r="BD12" s="17" t="s">
        <v>50</v>
      </c>
      <c r="BE12" s="17" t="s">
        <v>51</v>
      </c>
      <c r="BF12" s="17" t="s">
        <v>50</v>
      </c>
      <c r="BG12" s="17" t="s">
        <v>50</v>
      </c>
      <c r="BH12" s="17" t="s">
        <v>51</v>
      </c>
      <c r="BI12" s="17" t="s">
        <v>51</v>
      </c>
      <c r="BJ12" s="17" t="s">
        <v>51</v>
      </c>
      <c r="BK12" s="17" t="s">
        <v>50</v>
      </c>
      <c r="BL12" s="17" t="s">
        <v>50</v>
      </c>
      <c r="BM12" s="17" t="s">
        <v>51</v>
      </c>
      <c r="BN12" s="17" t="s">
        <v>51</v>
      </c>
      <c r="BO12" s="17" t="s">
        <v>50</v>
      </c>
      <c r="BP12" s="17" t="s">
        <v>50</v>
      </c>
      <c r="BQ12" s="17" t="s">
        <v>51</v>
      </c>
      <c r="BR12" s="17" t="s">
        <v>51</v>
      </c>
      <c r="BS12" s="17" t="s">
        <v>50</v>
      </c>
      <c r="BT12" s="17" t="s">
        <v>50</v>
      </c>
      <c r="BU12" s="17" t="s">
        <v>51</v>
      </c>
      <c r="BV12" s="17" t="s">
        <v>51</v>
      </c>
      <c r="BW12" s="17" t="s">
        <v>50</v>
      </c>
      <c r="BX12" s="17" t="s">
        <v>50</v>
      </c>
      <c r="BY12" s="18" t="s">
        <v>51</v>
      </c>
      <c r="BZ12" s="18" t="s">
        <v>51</v>
      </c>
      <c r="CA12" s="18" t="s">
        <v>51</v>
      </c>
      <c r="CB12" s="17" t="s">
        <v>50</v>
      </c>
      <c r="CC12" s="17" t="s">
        <v>50</v>
      </c>
      <c r="CD12" s="18" t="s">
        <v>51</v>
      </c>
      <c r="CE12" s="18" t="s">
        <v>51</v>
      </c>
      <c r="CF12" s="17" t="s">
        <v>50</v>
      </c>
      <c r="CG12" s="17" t="s">
        <v>50</v>
      </c>
      <c r="CH12" s="17" t="s">
        <v>50</v>
      </c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</row>
    <row r="13" ht="16.5" customHeight="1">
      <c r="A13" s="31" t="s">
        <v>193</v>
      </c>
      <c r="B13" s="17" t="s">
        <v>196</v>
      </c>
      <c r="C13" s="16">
        <v>1.000654693E9</v>
      </c>
      <c r="D13" s="17" t="s">
        <v>104</v>
      </c>
      <c r="E13" s="19" t="s">
        <v>51</v>
      </c>
      <c r="F13" s="18" t="s">
        <v>50</v>
      </c>
      <c r="G13" s="20" t="s">
        <v>52</v>
      </c>
      <c r="H13" s="22"/>
      <c r="I13" s="19" t="s">
        <v>51</v>
      </c>
      <c r="J13" s="22"/>
      <c r="K13" s="18" t="s">
        <v>52</v>
      </c>
      <c r="L13" s="22"/>
      <c r="M13" s="22"/>
      <c r="N13" s="22"/>
      <c r="O13" s="19" t="s">
        <v>51</v>
      </c>
      <c r="P13" s="18" t="s">
        <v>50</v>
      </c>
      <c r="Q13" s="18" t="s">
        <v>50</v>
      </c>
      <c r="R13" s="18" t="s">
        <v>50</v>
      </c>
      <c r="S13" s="20" t="s">
        <v>52</v>
      </c>
      <c r="T13" s="19" t="s">
        <v>51</v>
      </c>
      <c r="U13" s="18" t="s">
        <v>50</v>
      </c>
      <c r="V13" s="18" t="s">
        <v>50</v>
      </c>
      <c r="W13" s="18" t="s">
        <v>50</v>
      </c>
      <c r="X13" s="18" t="s">
        <v>50</v>
      </c>
      <c r="Y13" s="18" t="s">
        <v>50</v>
      </c>
      <c r="Z13" s="18" t="s">
        <v>52</v>
      </c>
      <c r="AA13" s="18" t="s">
        <v>50</v>
      </c>
      <c r="AB13" s="18" t="s">
        <v>50</v>
      </c>
      <c r="AC13" s="18" t="s">
        <v>50</v>
      </c>
      <c r="AD13" s="18" t="s">
        <v>50</v>
      </c>
      <c r="AE13" s="18" t="s">
        <v>50</v>
      </c>
      <c r="AF13" s="18" t="s">
        <v>51</v>
      </c>
      <c r="AG13" s="18" t="s">
        <v>50</v>
      </c>
      <c r="AH13" s="18" t="s">
        <v>50</v>
      </c>
      <c r="AI13" s="18" t="s">
        <v>50</v>
      </c>
      <c r="AJ13" s="18" t="s">
        <v>50</v>
      </c>
      <c r="AK13" s="18" t="s">
        <v>50</v>
      </c>
      <c r="AL13" s="18" t="s">
        <v>52</v>
      </c>
      <c r="AM13" s="17" t="s">
        <v>52</v>
      </c>
      <c r="AN13" s="17" t="s">
        <v>52</v>
      </c>
      <c r="AO13" s="17" t="s">
        <v>50</v>
      </c>
      <c r="AP13" s="17" t="s">
        <v>50</v>
      </c>
      <c r="AQ13" s="18" t="s">
        <v>51</v>
      </c>
      <c r="AR13" s="18" t="s">
        <v>51</v>
      </c>
      <c r="AS13" s="17" t="s">
        <v>50</v>
      </c>
      <c r="AT13" s="19" t="s">
        <v>51</v>
      </c>
      <c r="AU13" s="18" t="s">
        <v>111</v>
      </c>
      <c r="AV13" s="18" t="s">
        <v>52</v>
      </c>
      <c r="AW13" s="18" t="s">
        <v>50</v>
      </c>
      <c r="AX13" s="19" t="s">
        <v>51</v>
      </c>
      <c r="AY13" s="17" t="s">
        <v>111</v>
      </c>
      <c r="AZ13" s="18" t="s">
        <v>111</v>
      </c>
      <c r="BA13" s="17" t="s">
        <v>111</v>
      </c>
      <c r="BB13" s="18" t="s">
        <v>50</v>
      </c>
      <c r="BC13" s="18" t="s">
        <v>52</v>
      </c>
      <c r="BD13" s="17" t="s">
        <v>50</v>
      </c>
      <c r="BE13" s="17" t="s">
        <v>51</v>
      </c>
      <c r="BF13" s="17" t="s">
        <v>50</v>
      </c>
      <c r="BG13" s="17" t="s">
        <v>50</v>
      </c>
      <c r="BH13" s="17" t="s">
        <v>111</v>
      </c>
      <c r="BI13" s="18" t="s">
        <v>52</v>
      </c>
      <c r="BJ13" s="18" t="s">
        <v>52</v>
      </c>
      <c r="BK13" s="17" t="s">
        <v>50</v>
      </c>
      <c r="BL13" s="17" t="s">
        <v>50</v>
      </c>
      <c r="BM13" s="17" t="s">
        <v>111</v>
      </c>
      <c r="BN13" s="18" t="s">
        <v>52</v>
      </c>
      <c r="BO13" s="17" t="s">
        <v>111</v>
      </c>
      <c r="BP13" s="17" t="s">
        <v>50</v>
      </c>
      <c r="BQ13" s="17" t="s">
        <v>111</v>
      </c>
      <c r="BR13" s="17" t="s">
        <v>51</v>
      </c>
      <c r="BS13" s="17" t="s">
        <v>111</v>
      </c>
      <c r="BT13" s="17" t="s">
        <v>50</v>
      </c>
      <c r="BU13" s="17" t="s">
        <v>111</v>
      </c>
      <c r="BV13" s="18" t="s">
        <v>52</v>
      </c>
      <c r="BW13" s="17" t="s">
        <v>111</v>
      </c>
      <c r="BX13" s="17" t="s">
        <v>50</v>
      </c>
      <c r="BY13" s="17" t="s">
        <v>111</v>
      </c>
      <c r="BZ13" s="18" t="s">
        <v>52</v>
      </c>
      <c r="CA13" s="18" t="s">
        <v>52</v>
      </c>
      <c r="CB13" s="17" t="s">
        <v>111</v>
      </c>
      <c r="CC13" s="17" t="s">
        <v>50</v>
      </c>
      <c r="CD13" s="17" t="s">
        <v>111</v>
      </c>
      <c r="CE13" s="18" t="s">
        <v>52</v>
      </c>
      <c r="CF13" s="17" t="s">
        <v>111</v>
      </c>
      <c r="CG13" s="17" t="s">
        <v>50</v>
      </c>
      <c r="CH13" s="17" t="s">
        <v>50</v>
      </c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</row>
    <row r="14" ht="16.5" customHeight="1">
      <c r="A14" s="31" t="s">
        <v>199</v>
      </c>
      <c r="B14" s="17" t="s">
        <v>203</v>
      </c>
      <c r="C14" s="16">
        <v>1.042764028E9</v>
      </c>
      <c r="D14" s="26" t="s">
        <v>90</v>
      </c>
      <c r="E14" s="22"/>
      <c r="F14" s="22"/>
      <c r="G14" s="22"/>
      <c r="H14" s="22"/>
      <c r="I14" s="20" t="s">
        <v>52</v>
      </c>
      <c r="J14" s="18" t="s">
        <v>52</v>
      </c>
      <c r="K14" s="22"/>
      <c r="L14" s="22"/>
      <c r="M14" s="22"/>
      <c r="N14" s="22"/>
      <c r="O14" s="27" t="s">
        <v>100</v>
      </c>
      <c r="P14" s="27" t="s">
        <v>92</v>
      </c>
      <c r="Q14" s="27" t="s">
        <v>100</v>
      </c>
      <c r="R14" s="27" t="s">
        <v>92</v>
      </c>
      <c r="S14" s="27" t="s">
        <v>100</v>
      </c>
      <c r="T14" s="27" t="s">
        <v>92</v>
      </c>
      <c r="U14" s="27" t="s">
        <v>100</v>
      </c>
      <c r="V14" s="27" t="s">
        <v>92</v>
      </c>
      <c r="W14" s="18" t="s">
        <v>52</v>
      </c>
      <c r="X14" s="27" t="s">
        <v>92</v>
      </c>
      <c r="Y14" s="27" t="s">
        <v>92</v>
      </c>
      <c r="Z14" s="27" t="s">
        <v>92</v>
      </c>
      <c r="AA14" s="27" t="s">
        <v>92</v>
      </c>
      <c r="AB14" s="27" t="s">
        <v>92</v>
      </c>
      <c r="AC14" s="27" t="s">
        <v>92</v>
      </c>
      <c r="AD14" s="27" t="s">
        <v>92</v>
      </c>
      <c r="AE14" s="27" t="s">
        <v>92</v>
      </c>
      <c r="AF14" s="27" t="s">
        <v>92</v>
      </c>
      <c r="AG14" s="27" t="s">
        <v>92</v>
      </c>
      <c r="AH14" s="27" t="s">
        <v>92</v>
      </c>
      <c r="AI14" s="27" t="s">
        <v>92</v>
      </c>
      <c r="AJ14" s="27" t="s">
        <v>92</v>
      </c>
      <c r="AK14" s="18" t="s">
        <v>50</v>
      </c>
      <c r="AL14" s="18" t="s">
        <v>50</v>
      </c>
      <c r="AM14" s="27" t="s">
        <v>92</v>
      </c>
      <c r="AN14" s="27" t="s">
        <v>92</v>
      </c>
      <c r="AO14" s="17" t="s">
        <v>50</v>
      </c>
      <c r="AP14" s="17" t="s">
        <v>50</v>
      </c>
      <c r="AQ14" s="27" t="s">
        <v>92</v>
      </c>
      <c r="AR14" s="27" t="s">
        <v>92</v>
      </c>
      <c r="AS14" s="17" t="s">
        <v>50</v>
      </c>
      <c r="AT14" s="17" t="s">
        <v>111</v>
      </c>
      <c r="AU14" s="18" t="s">
        <v>50</v>
      </c>
      <c r="AV14" s="17" t="s">
        <v>111</v>
      </c>
      <c r="AW14" s="17" t="s">
        <v>111</v>
      </c>
      <c r="AX14" s="18" t="s">
        <v>52</v>
      </c>
      <c r="AY14" s="18" t="s">
        <v>52</v>
      </c>
      <c r="AZ14" s="17" t="s">
        <v>111</v>
      </c>
      <c r="BA14" s="17" t="s">
        <v>111</v>
      </c>
      <c r="BB14" s="17" t="s">
        <v>111</v>
      </c>
      <c r="BC14" s="17" t="s">
        <v>111</v>
      </c>
      <c r="BD14" s="56" t="s">
        <v>92</v>
      </c>
      <c r="BE14" s="18" t="s">
        <v>52</v>
      </c>
      <c r="BF14" s="27" t="s">
        <v>100</v>
      </c>
      <c r="BG14" s="27" t="s">
        <v>100</v>
      </c>
      <c r="BH14" s="27" t="s">
        <v>100</v>
      </c>
      <c r="BI14" s="27" t="s">
        <v>100</v>
      </c>
      <c r="BJ14" s="27" t="s">
        <v>100</v>
      </c>
      <c r="BK14" s="27" t="s">
        <v>100</v>
      </c>
      <c r="BL14" s="27" t="s">
        <v>100</v>
      </c>
      <c r="BM14" s="27" t="s">
        <v>100</v>
      </c>
      <c r="BN14" s="27" t="s">
        <v>100</v>
      </c>
      <c r="BO14" s="27" t="s">
        <v>100</v>
      </c>
      <c r="BP14" s="27" t="s">
        <v>100</v>
      </c>
      <c r="BQ14" s="27" t="s">
        <v>100</v>
      </c>
      <c r="BR14" s="27" t="s">
        <v>100</v>
      </c>
      <c r="BS14" s="27" t="s">
        <v>100</v>
      </c>
      <c r="BT14" s="27" t="s">
        <v>100</v>
      </c>
      <c r="BU14" s="27" t="s">
        <v>100</v>
      </c>
      <c r="BV14" s="27" t="s">
        <v>100</v>
      </c>
      <c r="BW14" s="27" t="s">
        <v>100</v>
      </c>
      <c r="BX14" s="27" t="s">
        <v>100</v>
      </c>
      <c r="BY14" s="27" t="s">
        <v>100</v>
      </c>
      <c r="BZ14" s="27" t="s">
        <v>100</v>
      </c>
      <c r="CA14" s="27" t="s">
        <v>100</v>
      </c>
      <c r="CB14" s="27" t="s">
        <v>100</v>
      </c>
      <c r="CC14" s="27" t="s">
        <v>100</v>
      </c>
      <c r="CD14" s="27" t="s">
        <v>100</v>
      </c>
      <c r="CE14" s="27" t="s">
        <v>100</v>
      </c>
      <c r="CF14" s="27" t="s">
        <v>100</v>
      </c>
      <c r="CG14" s="27" t="s">
        <v>100</v>
      </c>
      <c r="CH14" s="27" t="s">
        <v>100</v>
      </c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</row>
    <row r="15" ht="16.5" customHeight="1">
      <c r="A15" s="31" t="s">
        <v>208</v>
      </c>
      <c r="B15" s="17" t="s">
        <v>210</v>
      </c>
      <c r="C15" s="16">
        <v>1.001577545E9</v>
      </c>
      <c r="D15" s="26" t="s">
        <v>98</v>
      </c>
      <c r="E15" s="18" t="s">
        <v>50</v>
      </c>
      <c r="F15" s="18" t="s">
        <v>50</v>
      </c>
      <c r="G15" s="22"/>
      <c r="H15" s="20" t="s">
        <v>99</v>
      </c>
      <c r="I15" s="22"/>
      <c r="J15" s="18" t="s">
        <v>50</v>
      </c>
      <c r="K15" s="22"/>
      <c r="L15" s="20" t="s">
        <v>52</v>
      </c>
      <c r="M15" s="22"/>
      <c r="N15" s="22"/>
      <c r="O15" s="27" t="s">
        <v>100</v>
      </c>
      <c r="P15" s="20" t="s">
        <v>52</v>
      </c>
      <c r="Q15" s="27" t="s">
        <v>100</v>
      </c>
      <c r="R15" s="18" t="s">
        <v>50</v>
      </c>
      <c r="S15" s="27" t="s">
        <v>100</v>
      </c>
      <c r="T15" s="18" t="s">
        <v>50</v>
      </c>
      <c r="U15" s="27" t="s">
        <v>100</v>
      </c>
      <c r="V15" s="18" t="s">
        <v>50</v>
      </c>
      <c r="W15" s="18" t="s">
        <v>52</v>
      </c>
      <c r="X15" s="18" t="s">
        <v>52</v>
      </c>
      <c r="Y15" s="18" t="s">
        <v>52</v>
      </c>
      <c r="Z15" s="27" t="s">
        <v>100</v>
      </c>
      <c r="AA15" s="18" t="s">
        <v>50</v>
      </c>
      <c r="AB15" s="27" t="s">
        <v>100</v>
      </c>
      <c r="AC15" s="18" t="s">
        <v>50</v>
      </c>
      <c r="AD15" s="27" t="s">
        <v>100</v>
      </c>
      <c r="AE15" s="18" t="s">
        <v>52</v>
      </c>
      <c r="AF15" s="27" t="s">
        <v>50</v>
      </c>
      <c r="AG15" s="18" t="s">
        <v>50</v>
      </c>
      <c r="AH15" s="27" t="s">
        <v>100</v>
      </c>
      <c r="AI15" s="18" t="s">
        <v>50</v>
      </c>
      <c r="AJ15" s="27" t="s">
        <v>100</v>
      </c>
      <c r="AK15" s="18" t="s">
        <v>50</v>
      </c>
      <c r="AL15" s="18" t="s">
        <v>50</v>
      </c>
      <c r="AM15" s="17" t="s">
        <v>52</v>
      </c>
      <c r="AN15" s="17" t="s">
        <v>52</v>
      </c>
      <c r="AO15" s="17" t="s">
        <v>50</v>
      </c>
      <c r="AP15" s="17" t="s">
        <v>50</v>
      </c>
      <c r="AQ15" s="17" t="s">
        <v>52</v>
      </c>
      <c r="AR15" s="17" t="s">
        <v>52</v>
      </c>
      <c r="AS15" s="17" t="s">
        <v>50</v>
      </c>
      <c r="AT15" s="18" t="s">
        <v>50</v>
      </c>
      <c r="AU15" s="18" t="s">
        <v>111</v>
      </c>
      <c r="AV15" s="17" t="s">
        <v>111</v>
      </c>
      <c r="AW15" s="27" t="s">
        <v>100</v>
      </c>
      <c r="AX15" s="17" t="s">
        <v>111</v>
      </c>
      <c r="AY15" s="27" t="s">
        <v>100</v>
      </c>
      <c r="AZ15" s="17" t="s">
        <v>111</v>
      </c>
      <c r="BA15" s="27" t="s">
        <v>100</v>
      </c>
      <c r="BB15" s="17" t="s">
        <v>111</v>
      </c>
      <c r="BC15" s="17" t="s">
        <v>111</v>
      </c>
      <c r="BD15" s="24" t="s">
        <v>52</v>
      </c>
      <c r="BE15" s="17" t="s">
        <v>50</v>
      </c>
      <c r="BF15" s="27" t="s">
        <v>100</v>
      </c>
      <c r="BG15" s="17" t="s">
        <v>50</v>
      </c>
      <c r="BH15" s="27" t="s">
        <v>100</v>
      </c>
      <c r="BI15" s="17" t="s">
        <v>50</v>
      </c>
      <c r="BJ15" s="17" t="s">
        <v>50</v>
      </c>
      <c r="BK15" s="27" t="s">
        <v>100</v>
      </c>
      <c r="BL15" s="17" t="s">
        <v>50</v>
      </c>
      <c r="BM15" s="27" t="s">
        <v>100</v>
      </c>
      <c r="BN15" s="17" t="s">
        <v>50</v>
      </c>
      <c r="BO15" s="27" t="s">
        <v>100</v>
      </c>
      <c r="BP15" s="17" t="s">
        <v>111</v>
      </c>
      <c r="BQ15" s="17" t="s">
        <v>111</v>
      </c>
      <c r="BR15" s="17" t="s">
        <v>111</v>
      </c>
      <c r="BS15" s="17" t="s">
        <v>111</v>
      </c>
      <c r="BT15" s="17" t="s">
        <v>111</v>
      </c>
      <c r="BU15" s="17" t="s">
        <v>111</v>
      </c>
      <c r="BV15" s="17" t="s">
        <v>111</v>
      </c>
      <c r="BW15" s="27" t="s">
        <v>100</v>
      </c>
      <c r="BX15" s="17" t="s">
        <v>50</v>
      </c>
      <c r="BY15" s="27" t="s">
        <v>100</v>
      </c>
      <c r="BZ15" s="17" t="s">
        <v>50</v>
      </c>
      <c r="CA15" s="17" t="s">
        <v>50</v>
      </c>
      <c r="CB15" s="27" t="s">
        <v>100</v>
      </c>
      <c r="CC15" s="17" t="s">
        <v>50</v>
      </c>
      <c r="CD15" s="17" t="s">
        <v>111</v>
      </c>
      <c r="CE15" s="17" t="s">
        <v>111</v>
      </c>
      <c r="CF15" s="17" t="s">
        <v>111</v>
      </c>
      <c r="CG15" s="17" t="s">
        <v>111</v>
      </c>
      <c r="CH15" s="17" t="s">
        <v>111</v>
      </c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</row>
    <row r="16" ht="16.5" customHeight="1">
      <c r="A16" s="14" t="s">
        <v>216</v>
      </c>
      <c r="B16" s="17" t="s">
        <v>219</v>
      </c>
      <c r="C16" s="16">
        <v>1.033184338E9</v>
      </c>
      <c r="D16" s="17" t="s">
        <v>49</v>
      </c>
      <c r="E16" s="22"/>
      <c r="F16" s="22"/>
      <c r="G16" s="18" t="s">
        <v>50</v>
      </c>
      <c r="H16" s="22"/>
      <c r="I16" s="19" t="s">
        <v>51</v>
      </c>
      <c r="J16" s="22"/>
      <c r="K16" s="19" t="s">
        <v>51</v>
      </c>
      <c r="L16" s="22"/>
      <c r="M16" s="19" t="s">
        <v>51</v>
      </c>
      <c r="N16" s="22"/>
      <c r="O16" s="19" t="s">
        <v>51</v>
      </c>
      <c r="P16" s="18" t="s">
        <v>50</v>
      </c>
      <c r="Q16" s="18" t="s">
        <v>50</v>
      </c>
      <c r="R16" s="18" t="s">
        <v>50</v>
      </c>
      <c r="S16" s="19" t="s">
        <v>51</v>
      </c>
      <c r="T16" s="19" t="s">
        <v>51</v>
      </c>
      <c r="U16" s="18" t="s">
        <v>50</v>
      </c>
      <c r="V16" s="18" t="s">
        <v>50</v>
      </c>
      <c r="W16" s="18" t="s">
        <v>50</v>
      </c>
      <c r="X16" s="18" t="s">
        <v>51</v>
      </c>
      <c r="Y16" s="18" t="s">
        <v>50</v>
      </c>
      <c r="Z16" s="18" t="s">
        <v>51</v>
      </c>
      <c r="AA16" s="18" t="s">
        <v>50</v>
      </c>
      <c r="AB16" s="18" t="s">
        <v>51</v>
      </c>
      <c r="AC16" s="18" t="s">
        <v>51</v>
      </c>
      <c r="AD16" s="18" t="s">
        <v>50</v>
      </c>
      <c r="AE16" s="18" t="s">
        <v>50</v>
      </c>
      <c r="AF16" s="18" t="s">
        <v>50</v>
      </c>
      <c r="AG16" s="18" t="s">
        <v>51</v>
      </c>
      <c r="AH16" s="18" t="s">
        <v>50</v>
      </c>
      <c r="AI16" s="18" t="s">
        <v>50</v>
      </c>
      <c r="AJ16" s="18" t="s">
        <v>50</v>
      </c>
      <c r="AK16" s="18" t="s">
        <v>50</v>
      </c>
      <c r="AL16" s="18" t="s">
        <v>51</v>
      </c>
      <c r="AM16" s="17" t="s">
        <v>51</v>
      </c>
      <c r="AN16" s="17" t="s">
        <v>51</v>
      </c>
      <c r="AO16" s="17" t="s">
        <v>50</v>
      </c>
      <c r="AP16" s="17" t="s">
        <v>50</v>
      </c>
      <c r="AQ16" s="18" t="s">
        <v>51</v>
      </c>
      <c r="AR16" s="18" t="s">
        <v>51</v>
      </c>
      <c r="AS16" s="17" t="s">
        <v>50</v>
      </c>
      <c r="AT16" s="17" t="s">
        <v>111</v>
      </c>
      <c r="AU16" s="17" t="s">
        <v>111</v>
      </c>
      <c r="AV16" s="19" t="s">
        <v>51</v>
      </c>
      <c r="AW16" s="17" t="s">
        <v>111</v>
      </c>
      <c r="AX16" s="19" t="s">
        <v>51</v>
      </c>
      <c r="AY16" s="17" t="s">
        <v>111</v>
      </c>
      <c r="AZ16" s="19" t="s">
        <v>51</v>
      </c>
      <c r="BA16" s="17" t="s">
        <v>111</v>
      </c>
      <c r="BB16" s="18" t="s">
        <v>50</v>
      </c>
      <c r="BC16" s="17" t="s">
        <v>111</v>
      </c>
      <c r="BD16" s="17" t="s">
        <v>50</v>
      </c>
      <c r="BE16" s="17" t="s">
        <v>51</v>
      </c>
      <c r="BF16" s="17" t="s">
        <v>50</v>
      </c>
      <c r="BG16" s="17" t="s">
        <v>50</v>
      </c>
      <c r="BH16" s="18" t="s">
        <v>51</v>
      </c>
      <c r="BI16" s="18" t="s">
        <v>51</v>
      </c>
      <c r="BJ16" s="18" t="s">
        <v>51</v>
      </c>
      <c r="BK16" s="17" t="s">
        <v>50</v>
      </c>
      <c r="BL16" s="17" t="s">
        <v>50</v>
      </c>
      <c r="BM16" s="18" t="s">
        <v>51</v>
      </c>
      <c r="BN16" s="18" t="s">
        <v>51</v>
      </c>
      <c r="BO16" s="17" t="s">
        <v>50</v>
      </c>
      <c r="BP16" s="17" t="s">
        <v>50</v>
      </c>
      <c r="BQ16" s="18" t="s">
        <v>51</v>
      </c>
      <c r="BR16" s="17" t="s">
        <v>50</v>
      </c>
      <c r="BS16" s="18" t="s">
        <v>51</v>
      </c>
      <c r="BT16" s="18" t="s">
        <v>51</v>
      </c>
      <c r="BU16" s="18" t="s">
        <v>51</v>
      </c>
      <c r="BV16" s="17" t="s">
        <v>50</v>
      </c>
      <c r="BW16" s="18" t="s">
        <v>51</v>
      </c>
      <c r="BX16" s="18" t="s">
        <v>51</v>
      </c>
      <c r="BY16" s="17" t="s">
        <v>50</v>
      </c>
      <c r="BZ16" s="17" t="s">
        <v>50</v>
      </c>
      <c r="CA16" s="17" t="s">
        <v>50</v>
      </c>
      <c r="CB16" s="18" t="s">
        <v>51</v>
      </c>
      <c r="CC16" s="18" t="s">
        <v>51</v>
      </c>
      <c r="CD16" s="17" t="s">
        <v>50</v>
      </c>
      <c r="CE16" s="17" t="s">
        <v>50</v>
      </c>
      <c r="CF16" s="18" t="s">
        <v>51</v>
      </c>
      <c r="CG16" s="18" t="s">
        <v>51</v>
      </c>
      <c r="CH16" s="18" t="s">
        <v>51</v>
      </c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</row>
    <row r="17" ht="16.5" customHeight="1">
      <c r="A17" s="48" t="s">
        <v>223</v>
      </c>
      <c r="B17" s="17" t="s">
        <v>227</v>
      </c>
      <c r="C17" s="16">
        <v>1.011391701E9</v>
      </c>
      <c r="D17" s="17" t="s">
        <v>175</v>
      </c>
      <c r="E17" s="22"/>
      <c r="F17" s="18" t="s">
        <v>50</v>
      </c>
      <c r="G17" s="22"/>
      <c r="H17" s="19" t="s">
        <v>51</v>
      </c>
      <c r="I17" s="22"/>
      <c r="J17" s="19" t="s">
        <v>51</v>
      </c>
      <c r="K17" s="22"/>
      <c r="L17" s="19" t="s">
        <v>51</v>
      </c>
      <c r="M17" s="22"/>
      <c r="N17" s="50"/>
      <c r="O17" s="35" t="s">
        <v>111</v>
      </c>
      <c r="P17" s="19" t="s">
        <v>51</v>
      </c>
      <c r="Q17" s="35" t="s">
        <v>111</v>
      </c>
      <c r="R17" s="18" t="s">
        <v>50</v>
      </c>
      <c r="S17" s="35" t="s">
        <v>111</v>
      </c>
      <c r="T17" s="18" t="s">
        <v>50</v>
      </c>
      <c r="U17" s="35" t="s">
        <v>111</v>
      </c>
      <c r="V17" s="18" t="s">
        <v>50</v>
      </c>
      <c r="W17" s="18" t="s">
        <v>50</v>
      </c>
      <c r="X17" s="35" t="s">
        <v>111</v>
      </c>
      <c r="Y17" s="18" t="s">
        <v>50</v>
      </c>
      <c r="Z17" s="35" t="s">
        <v>111</v>
      </c>
      <c r="AA17" s="18" t="s">
        <v>50</v>
      </c>
      <c r="AB17" s="35" t="s">
        <v>111</v>
      </c>
      <c r="AC17" s="18" t="s">
        <v>50</v>
      </c>
      <c r="AD17" s="35" t="s">
        <v>111</v>
      </c>
      <c r="AE17" s="35" t="s">
        <v>111</v>
      </c>
      <c r="AF17" s="35" t="s">
        <v>50</v>
      </c>
      <c r="AG17" s="18" t="s">
        <v>50</v>
      </c>
      <c r="AH17" s="18" t="s">
        <v>50</v>
      </c>
      <c r="AI17" s="18" t="s">
        <v>50</v>
      </c>
      <c r="AJ17" s="18" t="s">
        <v>51</v>
      </c>
      <c r="AK17" s="18" t="s">
        <v>51</v>
      </c>
      <c r="AL17" s="18" t="s">
        <v>50</v>
      </c>
      <c r="AM17" s="17" t="s">
        <v>50</v>
      </c>
      <c r="AN17" s="17" t="s">
        <v>50</v>
      </c>
      <c r="AO17" s="17" t="s">
        <v>51</v>
      </c>
      <c r="AP17" s="17" t="s">
        <v>51</v>
      </c>
      <c r="AQ17" s="17" t="s">
        <v>50</v>
      </c>
      <c r="AR17" s="17" t="s">
        <v>50</v>
      </c>
      <c r="AS17" s="17" t="s">
        <v>51</v>
      </c>
      <c r="AT17" s="17" t="s">
        <v>111</v>
      </c>
      <c r="AU17" s="19" t="s">
        <v>51</v>
      </c>
      <c r="AV17" s="18" t="s">
        <v>50</v>
      </c>
      <c r="AW17" s="19" t="s">
        <v>51</v>
      </c>
      <c r="AX17" s="17" t="s">
        <v>111</v>
      </c>
      <c r="AY17" s="19" t="s">
        <v>51</v>
      </c>
      <c r="AZ17" s="18" t="s">
        <v>50</v>
      </c>
      <c r="BA17" s="19" t="s">
        <v>51</v>
      </c>
      <c r="BB17" s="17" t="s">
        <v>111</v>
      </c>
      <c r="BC17" s="17" t="s">
        <v>111</v>
      </c>
      <c r="BD17" s="17" t="s">
        <v>111</v>
      </c>
      <c r="BE17" s="17" t="s">
        <v>111</v>
      </c>
      <c r="BF17" s="17" t="s">
        <v>111</v>
      </c>
      <c r="BG17" s="17" t="s">
        <v>111</v>
      </c>
      <c r="BH17" s="17" t="s">
        <v>111</v>
      </c>
      <c r="BI17" s="17" t="s">
        <v>51</v>
      </c>
      <c r="BJ17" s="18" t="s">
        <v>51</v>
      </c>
      <c r="BK17" s="19" t="s">
        <v>111</v>
      </c>
      <c r="BL17" s="17" t="s">
        <v>50</v>
      </c>
      <c r="BM17" s="19" t="s">
        <v>111</v>
      </c>
      <c r="BN17" s="18" t="s">
        <v>51</v>
      </c>
      <c r="BO17" s="19" t="s">
        <v>111</v>
      </c>
      <c r="BP17" s="17" t="s">
        <v>50</v>
      </c>
      <c r="BQ17" s="19" t="s">
        <v>111</v>
      </c>
      <c r="BR17" s="18" t="s">
        <v>51</v>
      </c>
      <c r="BS17" s="19" t="s">
        <v>111</v>
      </c>
      <c r="BT17" s="17" t="s">
        <v>50</v>
      </c>
      <c r="BU17" s="17" t="s">
        <v>111</v>
      </c>
      <c r="BV17" s="18" t="s">
        <v>51</v>
      </c>
      <c r="BW17" s="17" t="s">
        <v>111</v>
      </c>
      <c r="BX17" s="17" t="s">
        <v>50</v>
      </c>
      <c r="BY17" s="17" t="s">
        <v>111</v>
      </c>
      <c r="BZ17" s="18" t="s">
        <v>51</v>
      </c>
      <c r="CA17" s="18" t="s">
        <v>51</v>
      </c>
      <c r="CB17" s="17" t="s">
        <v>111</v>
      </c>
      <c r="CC17" s="17" t="s">
        <v>50</v>
      </c>
      <c r="CD17" s="17" t="s">
        <v>111</v>
      </c>
      <c r="CE17" s="18" t="s">
        <v>51</v>
      </c>
      <c r="CF17" s="17" t="s">
        <v>111</v>
      </c>
      <c r="CG17" s="17" t="s">
        <v>50</v>
      </c>
      <c r="CH17" s="17" t="s">
        <v>50</v>
      </c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</row>
    <row r="18" ht="16.5" customHeight="1">
      <c r="A18" s="53" t="s">
        <v>230</v>
      </c>
      <c r="B18" s="17" t="s">
        <v>232</v>
      </c>
      <c r="C18" s="16">
        <v>1.036448195E9</v>
      </c>
      <c r="D18" s="26" t="s">
        <v>90</v>
      </c>
      <c r="E18" s="18" t="s">
        <v>233</v>
      </c>
      <c r="F18" s="18" t="s">
        <v>233</v>
      </c>
      <c r="G18" s="18" t="s">
        <v>50</v>
      </c>
      <c r="H18" s="20" t="s">
        <v>99</v>
      </c>
      <c r="I18" s="20" t="s">
        <v>52</v>
      </c>
      <c r="J18" s="20" t="s">
        <v>52</v>
      </c>
      <c r="K18" s="20" t="s">
        <v>235</v>
      </c>
      <c r="L18" s="22"/>
      <c r="M18" s="18" t="s">
        <v>50</v>
      </c>
      <c r="N18" s="18" t="s">
        <v>52</v>
      </c>
      <c r="O18" s="35" t="s">
        <v>111</v>
      </c>
      <c r="P18" s="35" t="s">
        <v>111</v>
      </c>
      <c r="Q18" s="35" t="s">
        <v>111</v>
      </c>
      <c r="R18" s="35" t="s">
        <v>111</v>
      </c>
      <c r="S18" s="35" t="s">
        <v>111</v>
      </c>
      <c r="T18" s="35" t="s">
        <v>111</v>
      </c>
      <c r="U18" s="35" t="s">
        <v>111</v>
      </c>
      <c r="V18" s="35" t="s">
        <v>111</v>
      </c>
      <c r="W18" s="18" t="s">
        <v>52</v>
      </c>
      <c r="X18" s="35" t="s">
        <v>111</v>
      </c>
      <c r="Y18" s="35" t="s">
        <v>111</v>
      </c>
      <c r="Z18" s="35" t="s">
        <v>111</v>
      </c>
      <c r="AA18" s="35" t="s">
        <v>111</v>
      </c>
      <c r="AB18" s="35" t="s">
        <v>111</v>
      </c>
      <c r="AC18" s="35" t="s">
        <v>111</v>
      </c>
      <c r="AD18" s="18" t="s">
        <v>50</v>
      </c>
      <c r="AE18" s="35" t="s">
        <v>111</v>
      </c>
      <c r="AF18" s="35" t="s">
        <v>111</v>
      </c>
      <c r="AG18" s="18" t="s">
        <v>50</v>
      </c>
      <c r="AH18" s="18" t="s">
        <v>50</v>
      </c>
      <c r="AI18" s="18" t="s">
        <v>50</v>
      </c>
      <c r="AJ18" s="18" t="s">
        <v>52</v>
      </c>
      <c r="AK18" s="18" t="s">
        <v>50</v>
      </c>
      <c r="AL18" s="18" t="s">
        <v>50</v>
      </c>
      <c r="AM18" s="17" t="s">
        <v>50</v>
      </c>
      <c r="AN18" s="17" t="s">
        <v>50</v>
      </c>
      <c r="AO18" s="17" t="s">
        <v>52</v>
      </c>
      <c r="AP18" s="17" t="s">
        <v>52</v>
      </c>
      <c r="AQ18" s="17" t="s">
        <v>50</v>
      </c>
      <c r="AR18" s="17" t="s">
        <v>50</v>
      </c>
      <c r="AS18" s="17" t="s">
        <v>50</v>
      </c>
      <c r="AT18" s="18" t="s">
        <v>50</v>
      </c>
      <c r="AU18" s="17" t="s">
        <v>111</v>
      </c>
      <c r="AV18" s="17" t="s">
        <v>111</v>
      </c>
      <c r="AW18" s="27" t="s">
        <v>100</v>
      </c>
      <c r="AX18" s="18" t="s">
        <v>52</v>
      </c>
      <c r="AY18" s="17" t="s">
        <v>111</v>
      </c>
      <c r="AZ18" s="17" t="s">
        <v>111</v>
      </c>
      <c r="BA18" s="18" t="s">
        <v>50</v>
      </c>
      <c r="BB18" s="18" t="s">
        <v>52</v>
      </c>
      <c r="BC18" s="17" t="s">
        <v>111</v>
      </c>
      <c r="BD18" s="24" t="s">
        <v>50</v>
      </c>
      <c r="BE18" s="17" t="s">
        <v>50</v>
      </c>
      <c r="BF18" s="27" t="s">
        <v>100</v>
      </c>
      <c r="BG18" s="17" t="s">
        <v>50</v>
      </c>
      <c r="BH18" s="27" t="s">
        <v>100</v>
      </c>
      <c r="BI18" s="17" t="s">
        <v>50</v>
      </c>
      <c r="BJ18" s="17" t="s">
        <v>50</v>
      </c>
      <c r="BK18" s="27" t="s">
        <v>100</v>
      </c>
      <c r="BL18" s="17" t="s">
        <v>50</v>
      </c>
      <c r="BM18" s="27" t="s">
        <v>100</v>
      </c>
      <c r="BN18" s="18" t="s">
        <v>52</v>
      </c>
      <c r="BO18" s="27" t="s">
        <v>100</v>
      </c>
      <c r="BP18" s="17" t="s">
        <v>50</v>
      </c>
      <c r="BQ18" s="27" t="s">
        <v>100</v>
      </c>
      <c r="BR18" s="18" t="s">
        <v>52</v>
      </c>
      <c r="BS18" s="27" t="s">
        <v>100</v>
      </c>
      <c r="BT18" s="17" t="s">
        <v>50</v>
      </c>
      <c r="BU18" s="27" t="s">
        <v>100</v>
      </c>
      <c r="BV18" s="27" t="s">
        <v>100</v>
      </c>
      <c r="BW18" s="27" t="s">
        <v>100</v>
      </c>
      <c r="BX18" s="27" t="s">
        <v>100</v>
      </c>
      <c r="BY18" s="27" t="s">
        <v>100</v>
      </c>
      <c r="BZ18" s="27" t="s">
        <v>100</v>
      </c>
      <c r="CA18" s="27" t="s">
        <v>100</v>
      </c>
      <c r="CB18" s="27" t="s">
        <v>100</v>
      </c>
      <c r="CC18" s="27" t="s">
        <v>100</v>
      </c>
      <c r="CD18" s="27" t="s">
        <v>100</v>
      </c>
      <c r="CE18" s="27" t="s">
        <v>100</v>
      </c>
      <c r="CF18" s="27" t="s">
        <v>100</v>
      </c>
      <c r="CG18" s="27" t="s">
        <v>100</v>
      </c>
      <c r="CH18" s="27" t="s">
        <v>100</v>
      </c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</row>
    <row r="19" ht="16.5" customHeight="1">
      <c r="A19" s="31" t="s">
        <v>239</v>
      </c>
      <c r="B19" s="17" t="s">
        <v>241</v>
      </c>
      <c r="C19" s="16">
        <v>1.018243153E9</v>
      </c>
      <c r="D19" s="17" t="s">
        <v>124</v>
      </c>
      <c r="E19" s="19"/>
      <c r="F19" s="18"/>
      <c r="G19" s="17"/>
      <c r="H19" s="17"/>
      <c r="I19" s="17"/>
      <c r="J19" s="17"/>
      <c r="K19" s="19"/>
      <c r="L19" s="17"/>
      <c r="M19" s="17"/>
      <c r="N19" s="18"/>
      <c r="O19" s="36"/>
      <c r="P19" s="19"/>
      <c r="Q19" s="36"/>
      <c r="R19" s="18"/>
      <c r="S19" s="36"/>
      <c r="T19" s="18"/>
      <c r="U19" s="36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7"/>
      <c r="AP19" s="17"/>
      <c r="AQ19" s="17"/>
      <c r="AR19" s="17"/>
      <c r="AS19" s="17"/>
      <c r="AT19" s="17" t="s">
        <v>111</v>
      </c>
      <c r="AU19" s="19" t="s">
        <v>51</v>
      </c>
      <c r="AV19" s="18" t="s">
        <v>50</v>
      </c>
      <c r="AW19" s="19" t="s">
        <v>51</v>
      </c>
      <c r="AX19" s="19" t="s">
        <v>51</v>
      </c>
      <c r="AY19" s="17" t="s">
        <v>111</v>
      </c>
      <c r="AZ19" s="18" t="s">
        <v>52</v>
      </c>
      <c r="BA19" s="17" t="s">
        <v>111</v>
      </c>
      <c r="BB19" s="17" t="s">
        <v>111</v>
      </c>
      <c r="BC19" s="17" t="s">
        <v>111</v>
      </c>
      <c r="BD19" s="17" t="s">
        <v>111</v>
      </c>
      <c r="BE19" s="17" t="s">
        <v>111</v>
      </c>
      <c r="BF19" s="17" t="s">
        <v>111</v>
      </c>
      <c r="BG19" s="17" t="s">
        <v>111</v>
      </c>
      <c r="BH19" s="17" t="s">
        <v>111</v>
      </c>
      <c r="BI19" s="17" t="s">
        <v>111</v>
      </c>
      <c r="BJ19" s="17" t="s">
        <v>111</v>
      </c>
      <c r="BK19" s="17" t="s">
        <v>111</v>
      </c>
      <c r="BL19" s="17" t="s">
        <v>111</v>
      </c>
      <c r="BM19" s="17" t="s">
        <v>111</v>
      </c>
      <c r="BN19" s="17" t="s">
        <v>111</v>
      </c>
      <c r="BO19" s="17" t="s">
        <v>111</v>
      </c>
      <c r="BP19" s="17" t="s">
        <v>111</v>
      </c>
      <c r="BQ19" s="17" t="s">
        <v>111</v>
      </c>
      <c r="BR19" s="17" t="s">
        <v>111</v>
      </c>
      <c r="BS19" s="17" t="s">
        <v>111</v>
      </c>
      <c r="BT19" s="18" t="s">
        <v>52</v>
      </c>
      <c r="BU19" s="17" t="s">
        <v>111</v>
      </c>
      <c r="BV19" s="17" t="s">
        <v>50</v>
      </c>
      <c r="BW19" s="17" t="s">
        <v>111</v>
      </c>
      <c r="BX19" s="18" t="s">
        <v>52</v>
      </c>
      <c r="BY19" s="17" t="s">
        <v>111</v>
      </c>
      <c r="BZ19" s="17" t="s">
        <v>50</v>
      </c>
      <c r="CA19" s="17" t="s">
        <v>50</v>
      </c>
      <c r="CB19" s="17" t="s">
        <v>111</v>
      </c>
      <c r="CC19" s="18" t="s">
        <v>51</v>
      </c>
      <c r="CD19" s="17" t="s">
        <v>111</v>
      </c>
      <c r="CE19" s="17" t="s">
        <v>50</v>
      </c>
      <c r="CF19" s="17" t="s">
        <v>111</v>
      </c>
      <c r="CG19" s="18" t="s">
        <v>52</v>
      </c>
      <c r="CH19" s="18" t="s">
        <v>52</v>
      </c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</row>
    <row r="20" ht="16.5" customHeight="1">
      <c r="A20" s="31" t="s">
        <v>245</v>
      </c>
      <c r="B20" s="17" t="s">
        <v>247</v>
      </c>
      <c r="C20" s="16">
        <v>1.036448863E9</v>
      </c>
      <c r="D20" s="17" t="s">
        <v>124</v>
      </c>
      <c r="E20" s="19" t="s">
        <v>248</v>
      </c>
      <c r="F20" s="18" t="s">
        <v>111</v>
      </c>
      <c r="G20" s="17" t="s">
        <v>111</v>
      </c>
      <c r="H20" s="17" t="s">
        <v>111</v>
      </c>
      <c r="I20" s="17" t="s">
        <v>111</v>
      </c>
      <c r="J20" s="17" t="s">
        <v>111</v>
      </c>
      <c r="K20" s="19" t="s">
        <v>248</v>
      </c>
      <c r="L20" s="17" t="s">
        <v>111</v>
      </c>
      <c r="M20" s="17" t="s">
        <v>51</v>
      </c>
      <c r="N20" s="18" t="s">
        <v>50</v>
      </c>
      <c r="O20" s="36" t="s">
        <v>125</v>
      </c>
      <c r="P20" s="19" t="s">
        <v>51</v>
      </c>
      <c r="Q20" s="36" t="s">
        <v>125</v>
      </c>
      <c r="R20" s="18" t="s">
        <v>50</v>
      </c>
      <c r="S20" s="36" t="s">
        <v>125</v>
      </c>
      <c r="T20" s="18" t="s">
        <v>50</v>
      </c>
      <c r="U20" s="36" t="s">
        <v>125</v>
      </c>
      <c r="V20" s="18" t="s">
        <v>50</v>
      </c>
      <c r="W20" s="18" t="s">
        <v>50</v>
      </c>
      <c r="X20" s="18" t="s">
        <v>51</v>
      </c>
      <c r="Y20" s="18" t="s">
        <v>50</v>
      </c>
      <c r="Z20" s="18" t="s">
        <v>52</v>
      </c>
      <c r="AA20" s="18" t="s">
        <v>50</v>
      </c>
      <c r="AB20" s="18" t="s">
        <v>51</v>
      </c>
      <c r="AC20" s="18" t="s">
        <v>51</v>
      </c>
      <c r="AD20" s="18" t="s">
        <v>50</v>
      </c>
      <c r="AE20" s="18" t="s">
        <v>50</v>
      </c>
      <c r="AF20" s="18" t="s">
        <v>50</v>
      </c>
      <c r="AG20" s="18" t="s">
        <v>51</v>
      </c>
      <c r="AH20" s="18" t="s">
        <v>50</v>
      </c>
      <c r="AI20" s="18" t="s">
        <v>50</v>
      </c>
      <c r="AJ20" s="18" t="s">
        <v>50</v>
      </c>
      <c r="AK20" s="18" t="s">
        <v>50</v>
      </c>
      <c r="AL20" s="18" t="s">
        <v>52</v>
      </c>
      <c r="AM20" s="18" t="s">
        <v>52</v>
      </c>
      <c r="AN20" s="18" t="s">
        <v>52</v>
      </c>
      <c r="AO20" s="17" t="s">
        <v>50</v>
      </c>
      <c r="AP20" s="17" t="s">
        <v>50</v>
      </c>
      <c r="AQ20" s="17" t="s">
        <v>51</v>
      </c>
      <c r="AR20" s="17" t="s">
        <v>51</v>
      </c>
      <c r="AS20" s="17" t="s">
        <v>50</v>
      </c>
      <c r="AT20" s="19" t="s">
        <v>248</v>
      </c>
      <c r="AU20" s="18" t="s">
        <v>111</v>
      </c>
      <c r="AV20" s="17" t="s">
        <v>111</v>
      </c>
      <c r="AW20" s="17" t="s">
        <v>111</v>
      </c>
      <c r="AX20" s="17" t="s">
        <v>111</v>
      </c>
      <c r="AY20" s="17" t="s">
        <v>111</v>
      </c>
      <c r="AZ20" s="19" t="s">
        <v>248</v>
      </c>
      <c r="BA20" s="17" t="s">
        <v>111</v>
      </c>
      <c r="BB20" s="18" t="s">
        <v>50</v>
      </c>
      <c r="BC20" s="17" t="s">
        <v>51</v>
      </c>
      <c r="BD20" s="17" t="s">
        <v>51</v>
      </c>
      <c r="BE20" s="17" t="s">
        <v>50</v>
      </c>
      <c r="BF20" s="17" t="s">
        <v>50</v>
      </c>
      <c r="BG20" s="17" t="s">
        <v>50</v>
      </c>
      <c r="BH20" s="17" t="s">
        <v>51</v>
      </c>
      <c r="BI20" s="17" t="s">
        <v>51</v>
      </c>
      <c r="BJ20" s="17" t="s">
        <v>51</v>
      </c>
      <c r="BK20" s="17" t="s">
        <v>50</v>
      </c>
      <c r="BL20" s="17" t="s">
        <v>50</v>
      </c>
      <c r="BM20" s="17" t="s">
        <v>51</v>
      </c>
      <c r="BN20" s="17" t="s">
        <v>51</v>
      </c>
      <c r="BO20" s="17" t="s">
        <v>50</v>
      </c>
      <c r="BP20" s="17" t="s">
        <v>50</v>
      </c>
      <c r="BQ20" s="18" t="s">
        <v>52</v>
      </c>
      <c r="BR20" s="17" t="s">
        <v>50</v>
      </c>
      <c r="BS20" s="18" t="s">
        <v>52</v>
      </c>
      <c r="BT20" s="17" t="s">
        <v>50</v>
      </c>
      <c r="BU20" s="18" t="s">
        <v>52</v>
      </c>
      <c r="BV20" s="18" t="s">
        <v>170</v>
      </c>
      <c r="BW20" s="18" t="s">
        <v>52</v>
      </c>
      <c r="BX20" s="18" t="s">
        <v>52</v>
      </c>
      <c r="BY20" s="17" t="s">
        <v>50</v>
      </c>
      <c r="BZ20" s="17" t="s">
        <v>50</v>
      </c>
      <c r="CA20" s="17" t="s">
        <v>50</v>
      </c>
      <c r="CB20" s="18" t="s">
        <v>52</v>
      </c>
      <c r="CC20" s="18" t="s">
        <v>52</v>
      </c>
      <c r="CD20" s="17" t="s">
        <v>50</v>
      </c>
      <c r="CE20" s="17" t="s">
        <v>50</v>
      </c>
      <c r="CF20" s="18" t="s">
        <v>51</v>
      </c>
      <c r="CG20" s="18" t="s">
        <v>51</v>
      </c>
      <c r="CH20" s="18" t="s">
        <v>51</v>
      </c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</row>
    <row r="21" ht="16.5" customHeight="1">
      <c r="A21" s="14" t="s">
        <v>253</v>
      </c>
      <c r="B21" s="17" t="s">
        <v>257</v>
      </c>
      <c r="C21" s="16">
        <v>1.033180843E9</v>
      </c>
      <c r="D21" s="17" t="s">
        <v>104</v>
      </c>
      <c r="E21" s="22"/>
      <c r="F21" s="22"/>
      <c r="G21" s="22"/>
      <c r="H21" s="19" t="s">
        <v>51</v>
      </c>
      <c r="I21" s="22"/>
      <c r="J21" s="20" t="s">
        <v>52</v>
      </c>
      <c r="K21" s="22"/>
      <c r="L21" s="22"/>
      <c r="M21" s="22"/>
      <c r="N21" s="18" t="s">
        <v>52</v>
      </c>
      <c r="O21" s="18" t="s">
        <v>50</v>
      </c>
      <c r="P21" s="18" t="s">
        <v>50</v>
      </c>
      <c r="Q21" s="19" t="s">
        <v>51</v>
      </c>
      <c r="R21" s="19" t="s">
        <v>51</v>
      </c>
      <c r="S21" s="18" t="s">
        <v>50</v>
      </c>
      <c r="T21" s="18" t="s">
        <v>50</v>
      </c>
      <c r="U21" s="18" t="s">
        <v>51</v>
      </c>
      <c r="V21" s="18" t="s">
        <v>51</v>
      </c>
      <c r="W21" s="18" t="s">
        <v>50</v>
      </c>
      <c r="X21" s="18" t="s">
        <v>50</v>
      </c>
      <c r="Y21" s="18" t="s">
        <v>50</v>
      </c>
      <c r="Z21" s="18" t="s">
        <v>52</v>
      </c>
      <c r="AA21" s="18" t="s">
        <v>50</v>
      </c>
      <c r="AB21" s="18" t="s">
        <v>50</v>
      </c>
      <c r="AC21" s="18" t="s">
        <v>50</v>
      </c>
      <c r="AD21" s="18" t="s">
        <v>52</v>
      </c>
      <c r="AE21" s="18" t="s">
        <v>50</v>
      </c>
      <c r="AF21" s="18" t="s">
        <v>52</v>
      </c>
      <c r="AG21" s="18" t="s">
        <v>52</v>
      </c>
      <c r="AH21" s="18" t="s">
        <v>50</v>
      </c>
      <c r="AI21" s="18" t="s">
        <v>50</v>
      </c>
      <c r="AJ21" s="18" t="s">
        <v>50</v>
      </c>
      <c r="AK21" s="18" t="s">
        <v>50</v>
      </c>
      <c r="AL21" s="18" t="s">
        <v>52</v>
      </c>
      <c r="AM21" s="18" t="s">
        <v>52</v>
      </c>
      <c r="AN21" s="18" t="s">
        <v>52</v>
      </c>
      <c r="AO21" s="17" t="s">
        <v>50</v>
      </c>
      <c r="AP21" s="17" t="s">
        <v>50</v>
      </c>
      <c r="AQ21" s="18" t="s">
        <v>52</v>
      </c>
      <c r="AR21" s="18" t="s">
        <v>52</v>
      </c>
      <c r="AS21" s="17" t="s">
        <v>50</v>
      </c>
      <c r="AT21" s="17" t="s">
        <v>111</v>
      </c>
      <c r="AU21" s="17" t="s">
        <v>111</v>
      </c>
      <c r="AV21" s="17" t="s">
        <v>111</v>
      </c>
      <c r="AW21" s="27" t="s">
        <v>100</v>
      </c>
      <c r="AX21" s="18" t="s">
        <v>52</v>
      </c>
      <c r="AY21" s="18" t="s">
        <v>52</v>
      </c>
      <c r="AZ21" s="17" t="s">
        <v>111</v>
      </c>
      <c r="BA21" s="18" t="s">
        <v>50</v>
      </c>
      <c r="BB21" s="17" t="s">
        <v>111</v>
      </c>
      <c r="BC21" s="17" t="s">
        <v>111</v>
      </c>
      <c r="BD21" s="17" t="s">
        <v>50</v>
      </c>
      <c r="BE21" s="24" t="s">
        <v>52</v>
      </c>
      <c r="BF21" s="27" t="s">
        <v>100</v>
      </c>
      <c r="BG21" s="17" t="s">
        <v>50</v>
      </c>
      <c r="BH21" s="27" t="s">
        <v>100</v>
      </c>
      <c r="BI21" s="17" t="s">
        <v>50</v>
      </c>
      <c r="BJ21" s="17" t="s">
        <v>50</v>
      </c>
      <c r="BK21" s="27" t="s">
        <v>100</v>
      </c>
      <c r="BL21" s="17" t="s">
        <v>50</v>
      </c>
      <c r="BM21" s="27" t="s">
        <v>100</v>
      </c>
      <c r="BN21" s="24" t="s">
        <v>52</v>
      </c>
      <c r="BO21" s="27" t="s">
        <v>100</v>
      </c>
      <c r="BP21" s="17" t="s">
        <v>50</v>
      </c>
      <c r="BQ21" s="27" t="s">
        <v>100</v>
      </c>
      <c r="BR21" s="18" t="s">
        <v>52</v>
      </c>
      <c r="BS21" s="27" t="s">
        <v>100</v>
      </c>
      <c r="BT21" s="17" t="s">
        <v>50</v>
      </c>
      <c r="BU21" s="27" t="s">
        <v>100</v>
      </c>
      <c r="BV21" s="27" t="s">
        <v>100</v>
      </c>
      <c r="BW21" s="27" t="s">
        <v>100</v>
      </c>
      <c r="BX21" s="18" t="s">
        <v>170</v>
      </c>
      <c r="BY21" s="27" t="s">
        <v>100</v>
      </c>
      <c r="BZ21" s="27" t="s">
        <v>100</v>
      </c>
      <c r="CA21" s="17" t="s">
        <v>50</v>
      </c>
      <c r="CB21" s="27" t="s">
        <v>100</v>
      </c>
      <c r="CC21" s="27" t="s">
        <v>100</v>
      </c>
      <c r="CD21" s="27" t="s">
        <v>100</v>
      </c>
      <c r="CE21" s="27" t="s">
        <v>100</v>
      </c>
      <c r="CF21" s="27" t="s">
        <v>100</v>
      </c>
      <c r="CG21" s="27" t="s">
        <v>100</v>
      </c>
      <c r="CH21" s="27" t="s">
        <v>100</v>
      </c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</row>
    <row r="22" ht="16.5" customHeight="1">
      <c r="A22" s="31" t="s">
        <v>261</v>
      </c>
      <c r="B22" s="17" t="s">
        <v>263</v>
      </c>
      <c r="C22" s="16">
        <v>1.018238026E9</v>
      </c>
      <c r="D22" s="17" t="s">
        <v>124</v>
      </c>
      <c r="E22" s="22"/>
      <c r="F22" s="22"/>
      <c r="G22" s="22"/>
      <c r="H22" s="22"/>
      <c r="I22" s="22"/>
      <c r="J22" s="19"/>
      <c r="K22" s="18"/>
      <c r="L22" s="18"/>
      <c r="M22" s="22"/>
      <c r="N22" s="18"/>
      <c r="O22" s="18"/>
      <c r="P22" s="18"/>
      <c r="Q22" s="20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7"/>
      <c r="AN22" s="17"/>
      <c r="AO22" s="17"/>
      <c r="AP22" s="17"/>
      <c r="AQ22" s="17"/>
      <c r="AR22" s="17"/>
      <c r="AS22" s="17"/>
      <c r="AT22" s="18" t="s">
        <v>50</v>
      </c>
      <c r="AU22" s="17" t="s">
        <v>111</v>
      </c>
      <c r="AV22" s="19" t="s">
        <v>248</v>
      </c>
      <c r="AW22" s="17" t="s">
        <v>111</v>
      </c>
      <c r="AX22" s="18" t="s">
        <v>50</v>
      </c>
      <c r="AY22" s="17" t="s">
        <v>51</v>
      </c>
      <c r="AZ22" s="17" t="s">
        <v>111</v>
      </c>
      <c r="BA22" s="17" t="s">
        <v>264</v>
      </c>
      <c r="BB22" s="18" t="s">
        <v>52</v>
      </c>
      <c r="BC22" s="17" t="s">
        <v>111</v>
      </c>
      <c r="BD22" s="17"/>
      <c r="BE22" s="24"/>
      <c r="BF22" s="18"/>
      <c r="BG22" s="18"/>
      <c r="BH22" s="17"/>
      <c r="BI22" s="17"/>
      <c r="BJ22" s="17"/>
      <c r="BK22" s="18"/>
      <c r="BL22" s="18"/>
      <c r="BM22" s="24"/>
      <c r="BN22" s="24"/>
      <c r="BO22" s="24"/>
      <c r="BP22" s="17"/>
      <c r="BQ22" s="18"/>
      <c r="BR22" s="18"/>
      <c r="BS22" s="18" t="s">
        <v>51</v>
      </c>
      <c r="BT22" s="18" t="s">
        <v>52</v>
      </c>
      <c r="BU22" s="17" t="s">
        <v>52</v>
      </c>
      <c r="BV22" s="17" t="s">
        <v>52</v>
      </c>
      <c r="BW22" s="17" t="s">
        <v>50</v>
      </c>
      <c r="BX22" s="17" t="s">
        <v>50</v>
      </c>
      <c r="BY22" s="18" t="s">
        <v>51</v>
      </c>
      <c r="BZ22" s="18" t="s">
        <v>51</v>
      </c>
      <c r="CA22" s="18" t="s">
        <v>51</v>
      </c>
      <c r="CB22" s="17" t="s">
        <v>50</v>
      </c>
      <c r="CC22" s="17" t="s">
        <v>50</v>
      </c>
      <c r="CD22" s="18" t="s">
        <v>52</v>
      </c>
      <c r="CE22" s="18" t="s">
        <v>52</v>
      </c>
      <c r="CF22" s="17" t="s">
        <v>50</v>
      </c>
      <c r="CG22" s="17" t="s">
        <v>50</v>
      </c>
      <c r="CH22" s="17" t="s">
        <v>50</v>
      </c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</row>
    <row r="23" ht="16.5" customHeight="1">
      <c r="A23" s="31" t="s">
        <v>310</v>
      </c>
      <c r="B23" s="17" t="s">
        <v>269</v>
      </c>
      <c r="C23" s="16">
        <v>1.03498784E9</v>
      </c>
      <c r="D23" s="17" t="s">
        <v>49</v>
      </c>
      <c r="E23" s="22"/>
      <c r="F23" s="22"/>
      <c r="G23" s="22"/>
      <c r="H23" s="22"/>
      <c r="I23" s="22"/>
      <c r="J23" s="19" t="s">
        <v>51</v>
      </c>
      <c r="K23" s="18" t="s">
        <v>50</v>
      </c>
      <c r="L23" s="18" t="s">
        <v>51</v>
      </c>
      <c r="M23" s="22"/>
      <c r="N23" s="18" t="s">
        <v>52</v>
      </c>
      <c r="O23" s="18" t="s">
        <v>50</v>
      </c>
      <c r="P23" s="18" t="s">
        <v>50</v>
      </c>
      <c r="Q23" s="20" t="s">
        <v>99</v>
      </c>
      <c r="R23" s="18" t="s">
        <v>50</v>
      </c>
      <c r="S23" s="18" t="s">
        <v>50</v>
      </c>
      <c r="T23" s="18" t="s">
        <v>50</v>
      </c>
      <c r="U23" s="18" t="s">
        <v>51</v>
      </c>
      <c r="V23" s="18" t="s">
        <v>51</v>
      </c>
      <c r="W23" s="18" t="s">
        <v>50</v>
      </c>
      <c r="X23" s="18" t="s">
        <v>50</v>
      </c>
      <c r="Y23" s="18" t="s">
        <v>51</v>
      </c>
      <c r="Z23" s="18" t="s">
        <v>52</v>
      </c>
      <c r="AA23" s="18" t="s">
        <v>50</v>
      </c>
      <c r="AB23" s="18" t="s">
        <v>50</v>
      </c>
      <c r="AC23" s="18" t="s">
        <v>50</v>
      </c>
      <c r="AD23" s="18" t="s">
        <v>50</v>
      </c>
      <c r="AE23" s="18" t="s">
        <v>52</v>
      </c>
      <c r="AF23" s="18" t="s">
        <v>50</v>
      </c>
      <c r="AG23" s="18" t="s">
        <v>52</v>
      </c>
      <c r="AH23" s="18" t="s">
        <v>50</v>
      </c>
      <c r="AI23" s="18" t="s">
        <v>50</v>
      </c>
      <c r="AJ23" s="18" t="s">
        <v>50</v>
      </c>
      <c r="AK23" s="18" t="s">
        <v>50</v>
      </c>
      <c r="AL23" s="18" t="s">
        <v>52</v>
      </c>
      <c r="AM23" s="17" t="s">
        <v>51</v>
      </c>
      <c r="AN23" s="17" t="s">
        <v>51</v>
      </c>
      <c r="AO23" s="17" t="s">
        <v>50</v>
      </c>
      <c r="AP23" s="17" t="s">
        <v>50</v>
      </c>
      <c r="AQ23" s="17" t="s">
        <v>52</v>
      </c>
      <c r="AR23" s="17" t="s">
        <v>50</v>
      </c>
      <c r="AS23" s="17" t="s">
        <v>52</v>
      </c>
      <c r="AT23" s="17" t="s">
        <v>111</v>
      </c>
      <c r="AU23" s="17" t="s">
        <v>111</v>
      </c>
      <c r="AV23" s="17" t="s">
        <v>111</v>
      </c>
      <c r="AW23" s="17" t="s">
        <v>111</v>
      </c>
      <c r="AX23" s="19" t="s">
        <v>51</v>
      </c>
      <c r="AY23" s="17" t="s">
        <v>111</v>
      </c>
      <c r="AZ23" s="17" t="s">
        <v>111</v>
      </c>
      <c r="BA23" s="17" t="s">
        <v>111</v>
      </c>
      <c r="BB23" s="18" t="s">
        <v>50</v>
      </c>
      <c r="BC23" s="18" t="s">
        <v>52</v>
      </c>
      <c r="BD23" s="17" t="s">
        <v>50</v>
      </c>
      <c r="BE23" s="17" t="s">
        <v>50</v>
      </c>
      <c r="BF23" s="18" t="s">
        <v>51</v>
      </c>
      <c r="BG23" s="18" t="s">
        <v>51</v>
      </c>
      <c r="BH23" s="17" t="s">
        <v>50</v>
      </c>
      <c r="BI23" s="17" t="s">
        <v>50</v>
      </c>
      <c r="BJ23" s="17" t="s">
        <v>50</v>
      </c>
      <c r="BK23" s="18" t="s">
        <v>51</v>
      </c>
      <c r="BL23" s="18" t="s">
        <v>51</v>
      </c>
      <c r="BM23" s="24" t="s">
        <v>52</v>
      </c>
      <c r="BN23" s="17" t="s">
        <v>50</v>
      </c>
      <c r="BO23" s="24" t="s">
        <v>52</v>
      </c>
      <c r="BP23" s="17" t="s">
        <v>50</v>
      </c>
      <c r="BQ23" s="18" t="s">
        <v>52</v>
      </c>
      <c r="BR23" s="18" t="s">
        <v>52</v>
      </c>
      <c r="BS23" s="17" t="s">
        <v>50</v>
      </c>
      <c r="BT23" s="17" t="s">
        <v>50</v>
      </c>
      <c r="BU23" s="18" t="s">
        <v>52</v>
      </c>
      <c r="BV23" s="18" t="s">
        <v>51</v>
      </c>
      <c r="BW23" s="17" t="s">
        <v>50</v>
      </c>
      <c r="BX23" s="17" t="s">
        <v>50</v>
      </c>
      <c r="BY23" s="17" t="s">
        <v>52</v>
      </c>
      <c r="BZ23" s="17" t="s">
        <v>52</v>
      </c>
      <c r="CA23" s="17" t="s">
        <v>52</v>
      </c>
      <c r="CB23" s="17" t="s">
        <v>50</v>
      </c>
      <c r="CC23" s="17" t="s">
        <v>50</v>
      </c>
      <c r="CD23" s="18" t="s">
        <v>51</v>
      </c>
      <c r="CE23" s="18" t="s">
        <v>51</v>
      </c>
      <c r="CF23" s="17" t="s">
        <v>50</v>
      </c>
      <c r="CG23" s="17" t="s">
        <v>50</v>
      </c>
      <c r="CH23" s="17" t="s">
        <v>50</v>
      </c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</row>
    <row r="24" ht="16.5" customHeight="1">
      <c r="A24" s="14" t="s">
        <v>273</v>
      </c>
      <c r="B24" s="17" t="s">
        <v>275</v>
      </c>
      <c r="C24" s="16">
        <v>1.035973364E9</v>
      </c>
      <c r="D24" s="17" t="s">
        <v>124</v>
      </c>
      <c r="E24" s="22"/>
      <c r="F24" s="19" t="s">
        <v>51</v>
      </c>
      <c r="G24" s="19" t="s">
        <v>51</v>
      </c>
      <c r="H24" s="22"/>
      <c r="I24" s="22"/>
      <c r="J24" s="22"/>
      <c r="K24" s="19" t="s">
        <v>51</v>
      </c>
      <c r="L24" s="22"/>
      <c r="M24" s="22"/>
      <c r="N24" s="22"/>
      <c r="O24" s="36" t="s">
        <v>125</v>
      </c>
      <c r="P24" s="18" t="s">
        <v>50</v>
      </c>
      <c r="Q24" s="36" t="s">
        <v>125</v>
      </c>
      <c r="R24" s="19" t="s">
        <v>51</v>
      </c>
      <c r="S24" s="36" t="s">
        <v>125</v>
      </c>
      <c r="T24" s="18" t="s">
        <v>50</v>
      </c>
      <c r="U24" s="36" t="s">
        <v>125</v>
      </c>
      <c r="V24" s="18" t="s">
        <v>50</v>
      </c>
      <c r="W24" s="18" t="s">
        <v>50</v>
      </c>
      <c r="X24" s="18" t="s">
        <v>52</v>
      </c>
      <c r="Y24" s="18" t="s">
        <v>50</v>
      </c>
      <c r="Z24" s="18" t="s">
        <v>52</v>
      </c>
      <c r="AA24" s="18" t="s">
        <v>50</v>
      </c>
      <c r="AB24" s="18" t="s">
        <v>51</v>
      </c>
      <c r="AC24" s="18" t="s">
        <v>51</v>
      </c>
      <c r="AD24" s="18" t="s">
        <v>50</v>
      </c>
      <c r="AE24" s="18" t="s">
        <v>51</v>
      </c>
      <c r="AF24" s="18" t="s">
        <v>51</v>
      </c>
      <c r="AG24" s="18" t="s">
        <v>52</v>
      </c>
      <c r="AH24" s="36" t="s">
        <v>125</v>
      </c>
      <c r="AI24" s="18" t="s">
        <v>50</v>
      </c>
      <c r="AJ24" s="18" t="s">
        <v>50</v>
      </c>
      <c r="AK24" s="18" t="s">
        <v>50</v>
      </c>
      <c r="AL24" s="18" t="s">
        <v>50</v>
      </c>
      <c r="AM24" s="17" t="s">
        <v>52</v>
      </c>
      <c r="AN24" s="17" t="s">
        <v>52</v>
      </c>
      <c r="AO24" s="17" t="s">
        <v>50</v>
      </c>
      <c r="AP24" s="17" t="s">
        <v>50</v>
      </c>
      <c r="AQ24" s="17" t="s">
        <v>51</v>
      </c>
      <c r="AR24" s="17" t="s">
        <v>51</v>
      </c>
      <c r="AS24" s="17" t="s">
        <v>50</v>
      </c>
      <c r="AT24" s="18" t="s">
        <v>50</v>
      </c>
      <c r="AU24" s="17" t="s">
        <v>111</v>
      </c>
      <c r="AV24" s="19" t="s">
        <v>51</v>
      </c>
      <c r="AW24" s="17" t="s">
        <v>111</v>
      </c>
      <c r="AX24" s="18" t="s">
        <v>52</v>
      </c>
      <c r="AY24" s="17" t="s">
        <v>111</v>
      </c>
      <c r="AZ24" s="19" t="s">
        <v>51</v>
      </c>
      <c r="BA24" s="17" t="s">
        <v>111</v>
      </c>
      <c r="BB24" s="18" t="s">
        <v>52</v>
      </c>
      <c r="BC24" s="17" t="s">
        <v>111</v>
      </c>
      <c r="BD24" s="17" t="s">
        <v>51</v>
      </c>
      <c r="BE24" s="17" t="s">
        <v>50</v>
      </c>
      <c r="BF24" s="17" t="s">
        <v>50</v>
      </c>
      <c r="BG24" s="17" t="s">
        <v>50</v>
      </c>
      <c r="BH24" s="24" t="s">
        <v>52</v>
      </c>
      <c r="BI24" s="24" t="s">
        <v>52</v>
      </c>
      <c r="BJ24" s="24" t="s">
        <v>52</v>
      </c>
      <c r="BK24" s="17" t="s">
        <v>50</v>
      </c>
      <c r="BL24" s="17" t="s">
        <v>50</v>
      </c>
      <c r="BM24" s="17" t="s">
        <v>51</v>
      </c>
      <c r="BN24" s="17" t="s">
        <v>51</v>
      </c>
      <c r="BO24" s="17" t="s">
        <v>50</v>
      </c>
      <c r="BP24" s="17" t="s">
        <v>50</v>
      </c>
      <c r="BQ24" s="17" t="s">
        <v>51</v>
      </c>
      <c r="BR24" s="17" t="s">
        <v>51</v>
      </c>
      <c r="BS24" s="17" t="s">
        <v>50</v>
      </c>
      <c r="BT24" s="17" t="s">
        <v>50</v>
      </c>
      <c r="BU24" s="18" t="s">
        <v>51</v>
      </c>
      <c r="BV24" s="18" t="s">
        <v>51</v>
      </c>
      <c r="BW24" s="17" t="s">
        <v>50</v>
      </c>
      <c r="BX24" s="17" t="s">
        <v>50</v>
      </c>
      <c r="BY24" s="17" t="s">
        <v>52</v>
      </c>
      <c r="BZ24" s="17" t="s">
        <v>52</v>
      </c>
      <c r="CA24" s="17" t="s">
        <v>52</v>
      </c>
      <c r="CB24" s="17" t="s">
        <v>50</v>
      </c>
      <c r="CC24" s="17" t="s">
        <v>50</v>
      </c>
      <c r="CD24" s="18" t="s">
        <v>51</v>
      </c>
      <c r="CE24" s="18" t="s">
        <v>51</v>
      </c>
      <c r="CF24" s="17" t="s">
        <v>50</v>
      </c>
      <c r="CG24" s="17" t="s">
        <v>50</v>
      </c>
      <c r="CH24" s="17" t="s">
        <v>50</v>
      </c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</row>
    <row r="25" ht="16.5" customHeight="1">
      <c r="A25" s="14" t="s">
        <v>206</v>
      </c>
      <c r="B25" s="17" t="s">
        <v>282</v>
      </c>
      <c r="C25" s="16">
        <v>1.018228842E9</v>
      </c>
      <c r="D25" s="17" t="s">
        <v>104</v>
      </c>
      <c r="E25" s="19" t="s">
        <v>51</v>
      </c>
      <c r="F25" s="18" t="s">
        <v>50</v>
      </c>
      <c r="G25" s="19" t="s">
        <v>51</v>
      </c>
      <c r="H25" s="22"/>
      <c r="I25" s="22"/>
      <c r="J25" s="22"/>
      <c r="K25" s="22"/>
      <c r="L25" s="22"/>
      <c r="M25" s="18" t="s">
        <v>52</v>
      </c>
      <c r="N25" s="22"/>
      <c r="O25" s="19" t="s">
        <v>51</v>
      </c>
      <c r="P25" s="27" t="s">
        <v>100</v>
      </c>
      <c r="Q25" s="18" t="s">
        <v>50</v>
      </c>
      <c r="R25" s="27" t="s">
        <v>100</v>
      </c>
      <c r="S25" s="18" t="s">
        <v>50</v>
      </c>
      <c r="T25" s="27" t="s">
        <v>100</v>
      </c>
      <c r="U25" s="18" t="s">
        <v>50</v>
      </c>
      <c r="V25" s="27" t="s">
        <v>100</v>
      </c>
      <c r="W25" s="18" t="s">
        <v>50</v>
      </c>
      <c r="X25" s="27" t="s">
        <v>100</v>
      </c>
      <c r="Y25" s="27" t="s">
        <v>100</v>
      </c>
      <c r="Z25" s="18" t="s">
        <v>52</v>
      </c>
      <c r="AA25" s="27" t="s">
        <v>100</v>
      </c>
      <c r="AB25" s="18" t="s">
        <v>50</v>
      </c>
      <c r="AC25" s="27" t="s">
        <v>100</v>
      </c>
      <c r="AD25" s="18" t="s">
        <v>50</v>
      </c>
      <c r="AE25" s="27"/>
      <c r="AF25" s="18" t="s">
        <v>50</v>
      </c>
      <c r="AG25" s="18" t="s">
        <v>50</v>
      </c>
      <c r="AH25" s="18" t="s">
        <v>50</v>
      </c>
      <c r="AI25" s="18" t="s">
        <v>50</v>
      </c>
      <c r="AJ25" s="18" t="s">
        <v>52</v>
      </c>
      <c r="AK25" s="18" t="s">
        <v>52</v>
      </c>
      <c r="AL25" s="18" t="s">
        <v>50</v>
      </c>
      <c r="AM25" s="17" t="s">
        <v>50</v>
      </c>
      <c r="AN25" s="17" t="s">
        <v>50</v>
      </c>
      <c r="AO25" s="17" t="s">
        <v>52</v>
      </c>
      <c r="AP25" s="17" t="s">
        <v>52</v>
      </c>
      <c r="AQ25" s="17" t="s">
        <v>50</v>
      </c>
      <c r="AR25" s="17" t="s">
        <v>50</v>
      </c>
      <c r="AS25" s="17" t="s">
        <v>52</v>
      </c>
      <c r="AT25" s="19" t="s">
        <v>51</v>
      </c>
      <c r="AU25" s="18" t="s">
        <v>50</v>
      </c>
      <c r="AV25" s="17" t="s">
        <v>111</v>
      </c>
      <c r="AW25" s="17" t="s">
        <v>111</v>
      </c>
      <c r="AX25" s="19" t="s">
        <v>51</v>
      </c>
      <c r="AY25" s="17" t="s">
        <v>111</v>
      </c>
      <c r="AZ25" s="17" t="s">
        <v>111</v>
      </c>
      <c r="BA25" s="19" t="s">
        <v>51</v>
      </c>
      <c r="BB25" s="17" t="s">
        <v>111</v>
      </c>
      <c r="BC25" s="17" t="s">
        <v>52</v>
      </c>
      <c r="BD25" s="17" t="s">
        <v>50</v>
      </c>
      <c r="BE25" s="17" t="s">
        <v>52</v>
      </c>
      <c r="BF25" s="24" t="s">
        <v>52</v>
      </c>
      <c r="BG25" s="27" t="s">
        <v>100</v>
      </c>
      <c r="BH25" s="17" t="s">
        <v>50</v>
      </c>
      <c r="BI25" s="27" t="s">
        <v>100</v>
      </c>
      <c r="BJ25" s="17" t="s">
        <v>50</v>
      </c>
      <c r="BK25" s="24" t="s">
        <v>52</v>
      </c>
      <c r="BL25" s="27" t="s">
        <v>100</v>
      </c>
      <c r="BM25" s="17" t="s">
        <v>51</v>
      </c>
      <c r="BN25" s="27" t="s">
        <v>100</v>
      </c>
      <c r="BO25" s="19" t="s">
        <v>111</v>
      </c>
      <c r="BP25" s="27" t="s">
        <v>100</v>
      </c>
      <c r="BQ25" s="17" t="s">
        <v>111</v>
      </c>
      <c r="BR25" s="27" t="s">
        <v>100</v>
      </c>
      <c r="BS25" s="17" t="s">
        <v>111</v>
      </c>
      <c r="BT25" s="27" t="s">
        <v>100</v>
      </c>
      <c r="BU25" s="17" t="s">
        <v>111</v>
      </c>
      <c r="BV25" s="27" t="s">
        <v>100</v>
      </c>
      <c r="BW25" s="17" t="s">
        <v>111</v>
      </c>
      <c r="BX25" s="27" t="s">
        <v>100</v>
      </c>
      <c r="BY25" s="17" t="s">
        <v>111</v>
      </c>
      <c r="BZ25" s="27" t="s">
        <v>100</v>
      </c>
      <c r="CA25" s="27" t="s">
        <v>100</v>
      </c>
      <c r="CB25" s="17" t="s">
        <v>111</v>
      </c>
      <c r="CC25" s="27" t="s">
        <v>100</v>
      </c>
      <c r="CD25" s="17" t="s">
        <v>111</v>
      </c>
      <c r="CE25" s="27" t="s">
        <v>100</v>
      </c>
      <c r="CF25" s="17" t="s">
        <v>111</v>
      </c>
      <c r="CG25" s="27" t="s">
        <v>100</v>
      </c>
      <c r="CH25" s="27" t="s">
        <v>100</v>
      </c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</row>
    <row r="26" ht="16.5" customHeight="1">
      <c r="A26" s="39" t="s">
        <v>345</v>
      </c>
      <c r="B26" s="17" t="s">
        <v>287</v>
      </c>
      <c r="C26" s="16">
        <v>1.021808617E9</v>
      </c>
      <c r="D26" s="17" t="s">
        <v>124</v>
      </c>
      <c r="E26" s="18" t="s">
        <v>50</v>
      </c>
      <c r="F26" s="19" t="s">
        <v>51</v>
      </c>
      <c r="G26" s="52"/>
      <c r="H26" s="22"/>
      <c r="I26" s="20" t="s">
        <v>52</v>
      </c>
      <c r="J26" s="18" t="s">
        <v>50</v>
      </c>
      <c r="K26" s="22"/>
      <c r="L26" s="22"/>
      <c r="M26" s="18" t="s">
        <v>50</v>
      </c>
      <c r="N26" s="19" t="s">
        <v>51</v>
      </c>
      <c r="O26" s="35" t="s">
        <v>111</v>
      </c>
      <c r="P26" s="22"/>
      <c r="Q26" s="35" t="s">
        <v>111</v>
      </c>
      <c r="R26" s="22"/>
      <c r="S26" s="35" t="s">
        <v>111</v>
      </c>
      <c r="T26" s="22"/>
      <c r="U26" s="35" t="s">
        <v>111</v>
      </c>
      <c r="V26" s="22"/>
      <c r="W26" s="18" t="s">
        <v>50</v>
      </c>
      <c r="X26" s="35" t="s">
        <v>111</v>
      </c>
      <c r="Y26" s="22"/>
      <c r="Z26" s="35" t="s">
        <v>111</v>
      </c>
      <c r="AA26" s="22"/>
      <c r="AB26" s="35" t="s">
        <v>111</v>
      </c>
      <c r="AC26" s="22"/>
      <c r="AD26" s="35" t="s">
        <v>111</v>
      </c>
      <c r="AE26" s="22"/>
      <c r="AF26" s="35" t="s">
        <v>111</v>
      </c>
      <c r="AG26" s="18" t="s">
        <v>51</v>
      </c>
      <c r="AH26" s="18" t="s">
        <v>50</v>
      </c>
      <c r="AI26" s="18" t="s">
        <v>50</v>
      </c>
      <c r="AJ26" s="18" t="s">
        <v>50</v>
      </c>
      <c r="AK26" s="18" t="s">
        <v>50</v>
      </c>
      <c r="AL26" s="18" t="s">
        <v>52</v>
      </c>
      <c r="AM26" s="17" t="s">
        <v>52</v>
      </c>
      <c r="AN26" s="17" t="s">
        <v>52</v>
      </c>
      <c r="AO26" s="17" t="s">
        <v>50</v>
      </c>
      <c r="AP26" s="17" t="s">
        <v>50</v>
      </c>
      <c r="AQ26" s="18" t="s">
        <v>52</v>
      </c>
      <c r="AR26" s="18" t="s">
        <v>52</v>
      </c>
      <c r="AS26" s="17" t="s">
        <v>50</v>
      </c>
      <c r="AT26" s="17" t="s">
        <v>111</v>
      </c>
      <c r="AU26" s="18" t="s">
        <v>50</v>
      </c>
      <c r="AV26" s="17" t="s">
        <v>111</v>
      </c>
      <c r="AW26" s="17" t="s">
        <v>111</v>
      </c>
      <c r="AX26" s="17" t="s">
        <v>111</v>
      </c>
      <c r="AY26" s="17" t="s">
        <v>111</v>
      </c>
      <c r="AZ26" s="17" t="s">
        <v>111</v>
      </c>
      <c r="BA26" s="17" t="s">
        <v>111</v>
      </c>
      <c r="BB26" s="19" t="s">
        <v>51</v>
      </c>
      <c r="BC26" s="17" t="s">
        <v>111</v>
      </c>
      <c r="BD26" s="17" t="s">
        <v>50</v>
      </c>
      <c r="BE26" s="17" t="s">
        <v>51</v>
      </c>
      <c r="BF26" s="19" t="s">
        <v>51</v>
      </c>
      <c r="BG26" s="19" t="s">
        <v>51</v>
      </c>
      <c r="BH26" s="17" t="s">
        <v>50</v>
      </c>
      <c r="BI26" s="17" t="s">
        <v>50</v>
      </c>
      <c r="BJ26" s="17" t="s">
        <v>50</v>
      </c>
      <c r="BK26" s="19" t="s">
        <v>51</v>
      </c>
      <c r="BL26" s="19" t="s">
        <v>51</v>
      </c>
      <c r="BM26" s="24" t="s">
        <v>52</v>
      </c>
      <c r="BN26" s="17" t="s">
        <v>51</v>
      </c>
      <c r="BO26" s="17" t="s">
        <v>111</v>
      </c>
      <c r="BP26" s="17" t="s">
        <v>50</v>
      </c>
      <c r="BQ26" s="17" t="s">
        <v>111</v>
      </c>
      <c r="BR26" s="17" t="s">
        <v>52</v>
      </c>
      <c r="BS26" s="17" t="s">
        <v>111</v>
      </c>
      <c r="BT26" s="19" t="s">
        <v>51</v>
      </c>
      <c r="BU26" s="17" t="s">
        <v>111</v>
      </c>
      <c r="BV26" s="17" t="s">
        <v>52</v>
      </c>
      <c r="BW26" s="77" t="s">
        <v>111</v>
      </c>
      <c r="BX26" s="78" t="s">
        <v>52</v>
      </c>
      <c r="BY26" s="77" t="s">
        <v>111</v>
      </c>
      <c r="BZ26" s="17" t="s">
        <v>50</v>
      </c>
      <c r="CA26" s="17" t="s">
        <v>50</v>
      </c>
      <c r="CB26" s="17" t="s">
        <v>111</v>
      </c>
      <c r="CC26" s="19" t="s">
        <v>51</v>
      </c>
      <c r="CD26" s="17" t="s">
        <v>111</v>
      </c>
      <c r="CE26" s="17" t="s">
        <v>50</v>
      </c>
      <c r="CF26" s="17" t="s">
        <v>111</v>
      </c>
      <c r="CG26" s="18" t="s">
        <v>52</v>
      </c>
      <c r="CH26" s="18" t="s">
        <v>52</v>
      </c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</row>
    <row r="27" ht="16.5" customHeight="1">
      <c r="A27" s="31" t="s">
        <v>293</v>
      </c>
      <c r="B27" s="17" t="s">
        <v>295</v>
      </c>
      <c r="C27" s="16">
        <v>1.04057022E9</v>
      </c>
      <c r="D27" s="17" t="s">
        <v>104</v>
      </c>
      <c r="E27" s="22"/>
      <c r="F27" s="22"/>
      <c r="G27" s="20" t="s">
        <v>52</v>
      </c>
      <c r="H27" s="22"/>
      <c r="I27" s="19" t="s">
        <v>51</v>
      </c>
      <c r="J27" s="22"/>
      <c r="K27" s="19" t="s">
        <v>51</v>
      </c>
      <c r="L27" s="22"/>
      <c r="M27" s="18" t="s">
        <v>50</v>
      </c>
      <c r="N27" s="22"/>
      <c r="O27" s="19" t="s">
        <v>51</v>
      </c>
      <c r="P27" s="18" t="s">
        <v>50</v>
      </c>
      <c r="Q27" s="35" t="s">
        <v>111</v>
      </c>
      <c r="R27" s="18" t="s">
        <v>50</v>
      </c>
      <c r="S27" s="35" t="s">
        <v>111</v>
      </c>
      <c r="T27" s="19" t="s">
        <v>51</v>
      </c>
      <c r="U27" s="35" t="s">
        <v>111</v>
      </c>
      <c r="V27" s="18" t="s">
        <v>50</v>
      </c>
      <c r="W27" s="18" t="s">
        <v>50</v>
      </c>
      <c r="X27" s="18" t="s">
        <v>51</v>
      </c>
      <c r="Y27" s="18" t="s">
        <v>50</v>
      </c>
      <c r="Z27" s="18" t="s">
        <v>50</v>
      </c>
      <c r="AA27" s="18" t="s">
        <v>50</v>
      </c>
      <c r="AB27" s="18" t="s">
        <v>51</v>
      </c>
      <c r="AC27" s="18" t="s">
        <v>51</v>
      </c>
      <c r="AD27" s="18" t="s">
        <v>50</v>
      </c>
      <c r="AE27" s="18" t="s">
        <v>50</v>
      </c>
      <c r="AF27" s="18" t="s">
        <v>50</v>
      </c>
      <c r="AG27" s="18" t="s">
        <v>51</v>
      </c>
      <c r="AH27" s="18" t="s">
        <v>50</v>
      </c>
      <c r="AI27" s="18" t="s">
        <v>50</v>
      </c>
      <c r="AJ27" s="18" t="s">
        <v>50</v>
      </c>
      <c r="AK27" s="18" t="s">
        <v>50</v>
      </c>
      <c r="AL27" s="18" t="s">
        <v>51</v>
      </c>
      <c r="AM27" s="17" t="s">
        <v>51</v>
      </c>
      <c r="AN27" s="17" t="s">
        <v>51</v>
      </c>
      <c r="AO27" s="17" t="s">
        <v>50</v>
      </c>
      <c r="AP27" s="17" t="s">
        <v>50</v>
      </c>
      <c r="AQ27" s="17" t="s">
        <v>51</v>
      </c>
      <c r="AR27" s="17" t="s">
        <v>51</v>
      </c>
      <c r="AS27" s="17" t="s">
        <v>50</v>
      </c>
      <c r="AT27" s="19" t="s">
        <v>51</v>
      </c>
      <c r="AU27" s="17" t="s">
        <v>111</v>
      </c>
      <c r="AV27" s="17" t="s">
        <v>254</v>
      </c>
      <c r="AW27" s="17" t="s">
        <v>111</v>
      </c>
      <c r="AX27" s="19" t="s">
        <v>51</v>
      </c>
      <c r="AY27" s="17" t="s">
        <v>111</v>
      </c>
      <c r="AZ27" s="19" t="s">
        <v>254</v>
      </c>
      <c r="BA27" s="19" t="s">
        <v>51</v>
      </c>
      <c r="BB27" s="17" t="s">
        <v>111</v>
      </c>
      <c r="BC27" s="17" t="s">
        <v>50</v>
      </c>
      <c r="BD27" s="17" t="s">
        <v>50</v>
      </c>
      <c r="BE27" s="17" t="s">
        <v>50</v>
      </c>
      <c r="BF27" s="17" t="s">
        <v>111</v>
      </c>
      <c r="BG27" s="19" t="s">
        <v>51</v>
      </c>
      <c r="BH27" s="17" t="s">
        <v>50</v>
      </c>
      <c r="BI27" s="17" t="s">
        <v>50</v>
      </c>
      <c r="BJ27" s="17" t="s">
        <v>50</v>
      </c>
      <c r="BK27" s="17" t="s">
        <v>111</v>
      </c>
      <c r="BL27" s="19" t="s">
        <v>51</v>
      </c>
      <c r="BM27" s="17" t="s">
        <v>111</v>
      </c>
      <c r="BN27" s="17" t="s">
        <v>50</v>
      </c>
      <c r="BO27" s="17" t="s">
        <v>111</v>
      </c>
      <c r="BP27" s="19" t="s">
        <v>51</v>
      </c>
      <c r="BQ27" s="17" t="s">
        <v>50</v>
      </c>
      <c r="BR27" s="17" t="s">
        <v>50</v>
      </c>
      <c r="BS27" s="17" t="s">
        <v>111</v>
      </c>
      <c r="BT27" s="19" t="s">
        <v>51</v>
      </c>
      <c r="BU27" s="18" t="s">
        <v>51</v>
      </c>
      <c r="BV27" s="17" t="s">
        <v>50</v>
      </c>
      <c r="BW27" s="17" t="s">
        <v>111</v>
      </c>
      <c r="BX27" s="18" t="s">
        <v>51</v>
      </c>
      <c r="BY27" s="17" t="s">
        <v>111</v>
      </c>
      <c r="BZ27" s="17" t="s">
        <v>50</v>
      </c>
      <c r="CA27" s="17" t="s">
        <v>50</v>
      </c>
      <c r="CB27" s="17" t="s">
        <v>111</v>
      </c>
      <c r="CC27" s="19" t="s">
        <v>51</v>
      </c>
      <c r="CD27" s="17" t="s">
        <v>111</v>
      </c>
      <c r="CE27" s="17" t="s">
        <v>50</v>
      </c>
      <c r="CF27" s="17" t="s">
        <v>111</v>
      </c>
      <c r="CG27" s="18" t="s">
        <v>51</v>
      </c>
      <c r="CH27" s="18" t="s">
        <v>51</v>
      </c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</row>
    <row r="28" ht="16.5" customHeight="1">
      <c r="A28" s="67" t="s">
        <v>368</v>
      </c>
      <c r="B28" s="17" t="s">
        <v>303</v>
      </c>
      <c r="C28" s="16">
        <v>1.027662663E9</v>
      </c>
      <c r="D28" s="17" t="s">
        <v>90</v>
      </c>
      <c r="E28" s="17"/>
      <c r="F28" s="17"/>
      <c r="G28" s="17"/>
      <c r="H28" s="18"/>
      <c r="I28" s="17"/>
      <c r="J28" s="17"/>
      <c r="K28" s="19"/>
      <c r="L28" s="17"/>
      <c r="M28" s="57"/>
      <c r="N28" s="17"/>
      <c r="O28" s="22"/>
      <c r="P28" s="22"/>
      <c r="Q28" s="20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7"/>
      <c r="AN28" s="17"/>
      <c r="AO28" s="17"/>
      <c r="AP28" s="17"/>
      <c r="AQ28" s="17"/>
      <c r="AR28" s="17"/>
      <c r="AS28" s="17"/>
      <c r="AT28" s="18" t="s">
        <v>50</v>
      </c>
      <c r="AU28" s="17" t="s">
        <v>111</v>
      </c>
      <c r="AV28" s="17" t="s">
        <v>111</v>
      </c>
      <c r="AW28" s="17" t="s">
        <v>111</v>
      </c>
      <c r="AX28" s="27" t="s">
        <v>100</v>
      </c>
      <c r="AY28" s="17" t="s">
        <v>111</v>
      </c>
      <c r="AZ28" s="17" t="s">
        <v>111</v>
      </c>
      <c r="BA28" s="17" t="s">
        <v>111</v>
      </c>
      <c r="BB28" s="27" t="s">
        <v>100</v>
      </c>
      <c r="BC28" s="27" t="s">
        <v>100</v>
      </c>
      <c r="BD28" s="17" t="s">
        <v>50</v>
      </c>
      <c r="BE28" s="17" t="s">
        <v>50</v>
      </c>
      <c r="BF28" s="24" t="s">
        <v>52</v>
      </c>
      <c r="BG28" s="27" t="s">
        <v>100</v>
      </c>
      <c r="BH28" s="17" t="s">
        <v>50</v>
      </c>
      <c r="BI28" s="27" t="s">
        <v>100</v>
      </c>
      <c r="BJ28" s="24" t="s">
        <v>52</v>
      </c>
      <c r="BK28" s="17" t="s">
        <v>50</v>
      </c>
      <c r="BL28" s="27" t="s">
        <v>100</v>
      </c>
      <c r="BM28" s="24" t="s">
        <v>52</v>
      </c>
      <c r="BN28" s="27" t="s">
        <v>100</v>
      </c>
      <c r="BO28" s="27" t="s">
        <v>100</v>
      </c>
      <c r="BP28" s="17" t="s">
        <v>50</v>
      </c>
      <c r="BQ28" s="27" t="s">
        <v>100</v>
      </c>
      <c r="BR28" s="17" t="s">
        <v>52</v>
      </c>
      <c r="BS28" s="27" t="s">
        <v>100</v>
      </c>
      <c r="BT28" s="17" t="s">
        <v>50</v>
      </c>
      <c r="BU28" s="27" t="s">
        <v>100</v>
      </c>
      <c r="BV28" s="27" t="s">
        <v>100</v>
      </c>
      <c r="BW28" s="27" t="s">
        <v>100</v>
      </c>
      <c r="BX28" s="27" t="s">
        <v>100</v>
      </c>
      <c r="BY28" s="27" t="s">
        <v>100</v>
      </c>
      <c r="BZ28" s="27" t="s">
        <v>100</v>
      </c>
      <c r="CA28" s="27" t="s">
        <v>100</v>
      </c>
      <c r="CB28" s="27" t="s">
        <v>100</v>
      </c>
      <c r="CC28" s="27" t="s">
        <v>100</v>
      </c>
      <c r="CD28" s="27" t="s">
        <v>100</v>
      </c>
      <c r="CE28" s="27" t="s">
        <v>100</v>
      </c>
      <c r="CF28" s="17" t="s">
        <v>50</v>
      </c>
      <c r="CG28" s="17" t="s">
        <v>50</v>
      </c>
      <c r="CH28" s="17" t="s">
        <v>50</v>
      </c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</row>
    <row r="29" ht="16.5" customHeight="1">
      <c r="A29" s="67" t="s">
        <v>306</v>
      </c>
      <c r="B29" s="17" t="s">
        <v>308</v>
      </c>
      <c r="C29" s="16">
        <v>1.025887911E9</v>
      </c>
      <c r="D29" s="17" t="s">
        <v>118</v>
      </c>
      <c r="E29" s="17" t="s">
        <v>111</v>
      </c>
      <c r="F29" s="17" t="s">
        <v>111</v>
      </c>
      <c r="G29" s="17" t="s">
        <v>254</v>
      </c>
      <c r="H29" s="18" t="s">
        <v>50</v>
      </c>
      <c r="I29" s="17" t="s">
        <v>51</v>
      </c>
      <c r="J29" s="17" t="s">
        <v>111</v>
      </c>
      <c r="K29" s="19" t="s">
        <v>51</v>
      </c>
      <c r="L29" s="17" t="s">
        <v>50</v>
      </c>
      <c r="M29" s="57" t="s">
        <v>111</v>
      </c>
      <c r="N29" s="17" t="s">
        <v>50</v>
      </c>
      <c r="O29" s="22"/>
      <c r="P29" s="22"/>
      <c r="Q29" s="20" t="s">
        <v>99</v>
      </c>
      <c r="R29" s="20" t="s">
        <v>99</v>
      </c>
      <c r="S29" s="18" t="s">
        <v>50</v>
      </c>
      <c r="T29" s="18" t="s">
        <v>50</v>
      </c>
      <c r="U29" s="18" t="s">
        <v>51</v>
      </c>
      <c r="V29" s="18" t="s">
        <v>51</v>
      </c>
      <c r="W29" s="18" t="s">
        <v>50</v>
      </c>
      <c r="X29" s="18" t="s">
        <v>50</v>
      </c>
      <c r="Y29" s="18" t="s">
        <v>51</v>
      </c>
      <c r="Z29" s="18" t="s">
        <v>50</v>
      </c>
      <c r="AA29" s="18" t="s">
        <v>50</v>
      </c>
      <c r="AB29" s="18" t="s">
        <v>50</v>
      </c>
      <c r="AC29" s="18" t="s">
        <v>50</v>
      </c>
      <c r="AD29" s="18" t="s">
        <v>51</v>
      </c>
      <c r="AE29" s="18" t="s">
        <v>50</v>
      </c>
      <c r="AF29" s="18" t="s">
        <v>50</v>
      </c>
      <c r="AG29" s="18" t="s">
        <v>50</v>
      </c>
      <c r="AH29" s="18" t="s">
        <v>51</v>
      </c>
      <c r="AI29" s="18" t="s">
        <v>51</v>
      </c>
      <c r="AJ29" s="18" t="s">
        <v>50</v>
      </c>
      <c r="AK29" s="18" t="s">
        <v>50</v>
      </c>
      <c r="AL29" s="18" t="s">
        <v>51</v>
      </c>
      <c r="AM29" s="17" t="s">
        <v>52</v>
      </c>
      <c r="AN29" s="17" t="s">
        <v>52</v>
      </c>
      <c r="AO29" s="17" t="s">
        <v>50</v>
      </c>
      <c r="AP29" s="17" t="s">
        <v>50</v>
      </c>
      <c r="AQ29" s="17" t="s">
        <v>52</v>
      </c>
      <c r="AR29" s="17" t="s">
        <v>52</v>
      </c>
      <c r="AS29" s="17" t="s">
        <v>50</v>
      </c>
      <c r="AT29" s="17" t="s">
        <v>111</v>
      </c>
      <c r="AU29" s="18" t="s">
        <v>50</v>
      </c>
      <c r="AV29" s="17" t="s">
        <v>111</v>
      </c>
      <c r="AW29" s="19" t="s">
        <v>51</v>
      </c>
      <c r="AX29" s="19" t="s">
        <v>51</v>
      </c>
      <c r="AY29" s="17" t="s">
        <v>111</v>
      </c>
      <c r="AZ29" s="19" t="s">
        <v>51</v>
      </c>
      <c r="BA29" s="19" t="s">
        <v>51</v>
      </c>
      <c r="BB29" s="17" t="s">
        <v>50</v>
      </c>
      <c r="BC29" s="17" t="s">
        <v>50</v>
      </c>
      <c r="BD29" s="17" t="s">
        <v>50</v>
      </c>
      <c r="BE29" s="17" t="s">
        <v>50</v>
      </c>
      <c r="BF29" s="18" t="s">
        <v>51</v>
      </c>
      <c r="BG29" s="18" t="s">
        <v>51</v>
      </c>
      <c r="BH29" s="17" t="s">
        <v>50</v>
      </c>
      <c r="BI29" s="17" t="s">
        <v>50</v>
      </c>
      <c r="BJ29" s="17" t="s">
        <v>50</v>
      </c>
      <c r="BK29" s="19" t="s">
        <v>51</v>
      </c>
      <c r="BL29" s="19" t="s">
        <v>51</v>
      </c>
      <c r="BM29" s="17" t="s">
        <v>50</v>
      </c>
      <c r="BN29" s="17" t="s">
        <v>50</v>
      </c>
      <c r="BO29" s="19" t="s">
        <v>51</v>
      </c>
      <c r="BP29" s="19" t="s">
        <v>51</v>
      </c>
      <c r="BQ29" s="17" t="s">
        <v>52</v>
      </c>
      <c r="BR29" s="17" t="s">
        <v>52</v>
      </c>
      <c r="BS29" s="19" t="s">
        <v>51</v>
      </c>
      <c r="BT29" s="19" t="s">
        <v>51</v>
      </c>
      <c r="BU29" s="17" t="s">
        <v>50</v>
      </c>
      <c r="BV29" s="17" t="s">
        <v>50</v>
      </c>
      <c r="BW29" s="18" t="s">
        <v>51</v>
      </c>
      <c r="BX29" s="18" t="s">
        <v>51</v>
      </c>
      <c r="BY29" s="17" t="s">
        <v>50</v>
      </c>
      <c r="BZ29" s="17" t="s">
        <v>50</v>
      </c>
      <c r="CA29" s="17" t="s">
        <v>50</v>
      </c>
      <c r="CB29" s="18" t="s">
        <v>51</v>
      </c>
      <c r="CC29" s="18" t="s">
        <v>51</v>
      </c>
      <c r="CD29" s="17" t="s">
        <v>50</v>
      </c>
      <c r="CE29" s="17" t="s">
        <v>50</v>
      </c>
      <c r="CF29" s="18" t="s">
        <v>51</v>
      </c>
      <c r="CG29" s="18" t="s">
        <v>51</v>
      </c>
      <c r="CH29" s="18" t="s">
        <v>51</v>
      </c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</row>
    <row r="30" ht="16.5" customHeight="1">
      <c r="A30" s="31" t="s">
        <v>314</v>
      </c>
      <c r="B30" s="17" t="s">
        <v>316</v>
      </c>
      <c r="C30" s="16">
        <v>1.040574294E9</v>
      </c>
      <c r="D30" s="17" t="s">
        <v>124</v>
      </c>
      <c r="E30" s="19" t="s">
        <v>51</v>
      </c>
      <c r="F30" s="22"/>
      <c r="G30" s="63"/>
      <c r="H30" s="22"/>
      <c r="I30" s="19" t="s">
        <v>51</v>
      </c>
      <c r="J30" s="22"/>
      <c r="K30" s="18" t="s">
        <v>50</v>
      </c>
      <c r="L30" s="22"/>
      <c r="M30" s="22"/>
      <c r="N30" s="22"/>
      <c r="O30" s="36" t="s">
        <v>125</v>
      </c>
      <c r="P30" s="18" t="s">
        <v>50</v>
      </c>
      <c r="Q30" s="36" t="s">
        <v>125</v>
      </c>
      <c r="R30" s="20" t="s">
        <v>99</v>
      </c>
      <c r="S30" s="36" t="s">
        <v>125</v>
      </c>
      <c r="T30" s="18" t="s">
        <v>50</v>
      </c>
      <c r="U30" s="36" t="s">
        <v>125</v>
      </c>
      <c r="V30" s="18" t="s">
        <v>50</v>
      </c>
      <c r="W30" s="18" t="s">
        <v>50</v>
      </c>
      <c r="X30" s="36" t="s">
        <v>125</v>
      </c>
      <c r="Y30" s="18" t="s">
        <v>50</v>
      </c>
      <c r="Z30" s="36" t="s">
        <v>125</v>
      </c>
      <c r="AA30" s="18" t="s">
        <v>50</v>
      </c>
      <c r="AB30" s="36" t="s">
        <v>125</v>
      </c>
      <c r="AC30" s="18" t="s">
        <v>50</v>
      </c>
      <c r="AD30" s="36" t="s">
        <v>125</v>
      </c>
      <c r="AE30" s="18" t="s">
        <v>50</v>
      </c>
      <c r="AF30" s="36" t="s">
        <v>125</v>
      </c>
      <c r="AG30" s="18" t="s">
        <v>50</v>
      </c>
      <c r="AH30" s="36" t="s">
        <v>125</v>
      </c>
      <c r="AI30" s="36" t="s">
        <v>125</v>
      </c>
      <c r="AJ30" s="36" t="s">
        <v>125</v>
      </c>
      <c r="AK30" s="18" t="s">
        <v>50</v>
      </c>
      <c r="AL30" s="18" t="s">
        <v>51</v>
      </c>
      <c r="AM30" s="17" t="s">
        <v>50</v>
      </c>
      <c r="AN30" s="17" t="s">
        <v>52</v>
      </c>
      <c r="AO30" s="17" t="s">
        <v>50</v>
      </c>
      <c r="AP30" s="17" t="s">
        <v>50</v>
      </c>
      <c r="AQ30" s="17" t="s">
        <v>50</v>
      </c>
      <c r="AR30" s="17" t="s">
        <v>50</v>
      </c>
      <c r="AS30" s="17" t="s">
        <v>52</v>
      </c>
      <c r="AT30" s="17" t="s">
        <v>50</v>
      </c>
      <c r="AU30" s="17" t="s">
        <v>111</v>
      </c>
      <c r="AV30" s="19" t="s">
        <v>51</v>
      </c>
      <c r="AW30" s="17" t="s">
        <v>111</v>
      </c>
      <c r="AX30" s="18" t="s">
        <v>52</v>
      </c>
      <c r="AY30" s="17" t="s">
        <v>111</v>
      </c>
      <c r="AZ30" s="18" t="s">
        <v>111</v>
      </c>
      <c r="BA30" s="17" t="s">
        <v>111</v>
      </c>
      <c r="BB30" s="18" t="s">
        <v>52</v>
      </c>
      <c r="BC30" s="17" t="s">
        <v>111</v>
      </c>
      <c r="BD30" s="17" t="s">
        <v>50</v>
      </c>
      <c r="BE30" s="17" t="s">
        <v>52</v>
      </c>
      <c r="BF30" s="17" t="s">
        <v>52</v>
      </c>
      <c r="BG30" s="17" t="s">
        <v>52</v>
      </c>
      <c r="BH30" s="17" t="s">
        <v>50</v>
      </c>
      <c r="BI30" s="17" t="s">
        <v>50</v>
      </c>
      <c r="BJ30" s="17" t="s">
        <v>50</v>
      </c>
      <c r="BK30" s="17" t="s">
        <v>52</v>
      </c>
      <c r="BL30" s="17" t="s">
        <v>52</v>
      </c>
      <c r="BM30" s="27" t="s">
        <v>100</v>
      </c>
      <c r="BN30" s="27" t="s">
        <v>100</v>
      </c>
      <c r="BO30" s="27" t="s">
        <v>100</v>
      </c>
      <c r="BP30" s="27" t="s">
        <v>100</v>
      </c>
      <c r="BQ30" s="27" t="s">
        <v>100</v>
      </c>
      <c r="BR30" s="27" t="s">
        <v>100</v>
      </c>
      <c r="BS30" s="27" t="s">
        <v>100</v>
      </c>
      <c r="BT30" s="27" t="s">
        <v>100</v>
      </c>
      <c r="BU30" s="27" t="s">
        <v>100</v>
      </c>
      <c r="BV30" s="27" t="s">
        <v>100</v>
      </c>
      <c r="BW30" s="27" t="s">
        <v>100</v>
      </c>
      <c r="BX30" s="27" t="s">
        <v>100</v>
      </c>
      <c r="BY30" s="17" t="s">
        <v>50</v>
      </c>
      <c r="BZ30" s="17" t="s">
        <v>50</v>
      </c>
      <c r="CA30" s="27" t="s">
        <v>100</v>
      </c>
      <c r="CB30" s="27" t="s">
        <v>100</v>
      </c>
      <c r="CC30" s="27" t="s">
        <v>100</v>
      </c>
      <c r="CD30" s="27" t="s">
        <v>100</v>
      </c>
      <c r="CE30" s="27" t="s">
        <v>100</v>
      </c>
      <c r="CF30" s="27" t="s">
        <v>100</v>
      </c>
      <c r="CG30" s="27" t="s">
        <v>100</v>
      </c>
      <c r="CH30" s="27" t="s">
        <v>100</v>
      </c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</row>
    <row r="31" ht="16.5" customHeight="1">
      <c r="A31" s="44" t="s">
        <v>321</v>
      </c>
      <c r="B31" s="17" t="s">
        <v>326</v>
      </c>
      <c r="C31" s="16">
        <v>1.038868428E9</v>
      </c>
      <c r="D31" s="17" t="s">
        <v>124</v>
      </c>
      <c r="E31" s="18"/>
      <c r="F31" s="22"/>
      <c r="G31" s="34"/>
      <c r="H31" s="19"/>
      <c r="I31" s="19"/>
      <c r="J31" s="18"/>
      <c r="K31" s="18"/>
      <c r="L31" s="22"/>
      <c r="M31" s="18"/>
      <c r="N31" s="19"/>
      <c r="O31" s="19"/>
      <c r="P31" s="18"/>
      <c r="Q31" s="18"/>
      <c r="R31" s="18"/>
      <c r="S31" s="20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7"/>
      <c r="AN31" s="17"/>
      <c r="AO31" s="17"/>
      <c r="AP31" s="17"/>
      <c r="AQ31" s="17"/>
      <c r="AR31" s="17"/>
      <c r="AS31" s="17"/>
      <c r="AT31" s="17" t="s">
        <v>50</v>
      </c>
      <c r="AU31" s="19" t="s">
        <v>51</v>
      </c>
      <c r="AV31" s="18" t="s">
        <v>52</v>
      </c>
      <c r="AW31" s="17" t="s">
        <v>111</v>
      </c>
      <c r="AX31" s="18" t="s">
        <v>52</v>
      </c>
      <c r="AY31" s="17" t="s">
        <v>111</v>
      </c>
      <c r="AZ31" s="18" t="s">
        <v>50</v>
      </c>
      <c r="BA31" s="18" t="s">
        <v>52</v>
      </c>
      <c r="BB31" s="19" t="s">
        <v>51</v>
      </c>
      <c r="BC31" s="17" t="s">
        <v>50</v>
      </c>
      <c r="BD31" s="17" t="s">
        <v>50</v>
      </c>
      <c r="BE31" s="17" t="s">
        <v>50</v>
      </c>
      <c r="BF31" s="17" t="s">
        <v>52</v>
      </c>
      <c r="BG31" s="17" t="s">
        <v>52</v>
      </c>
      <c r="BH31" s="17" t="s">
        <v>50</v>
      </c>
      <c r="BI31" s="17" t="s">
        <v>50</v>
      </c>
      <c r="BJ31" s="17" t="s">
        <v>50</v>
      </c>
      <c r="BK31" s="17" t="s">
        <v>52</v>
      </c>
      <c r="BL31" s="17" t="s">
        <v>52</v>
      </c>
      <c r="BM31" s="24" t="s">
        <v>52</v>
      </c>
      <c r="BN31" s="17" t="s">
        <v>50</v>
      </c>
      <c r="BO31" s="19" t="s">
        <v>51</v>
      </c>
      <c r="BP31" s="19" t="s">
        <v>51</v>
      </c>
      <c r="BQ31" s="17" t="s">
        <v>52</v>
      </c>
      <c r="BR31" s="17" t="s">
        <v>52</v>
      </c>
      <c r="BS31" s="17" t="s">
        <v>50</v>
      </c>
      <c r="BT31" s="17" t="s">
        <v>50</v>
      </c>
      <c r="BU31" s="17" t="s">
        <v>52</v>
      </c>
      <c r="BV31" s="17" t="s">
        <v>52</v>
      </c>
      <c r="BW31" s="27" t="s">
        <v>100</v>
      </c>
      <c r="BX31" s="17" t="s">
        <v>50</v>
      </c>
      <c r="BY31" s="27" t="s">
        <v>100</v>
      </c>
      <c r="BZ31" s="78" t="s">
        <v>52</v>
      </c>
      <c r="CA31" s="78" t="s">
        <v>52</v>
      </c>
      <c r="CB31" s="27" t="s">
        <v>100</v>
      </c>
      <c r="CC31" s="17" t="s">
        <v>50</v>
      </c>
      <c r="CD31" s="27" t="s">
        <v>100</v>
      </c>
      <c r="CE31" s="18" t="s">
        <v>51</v>
      </c>
      <c r="CF31" s="27" t="s">
        <v>100</v>
      </c>
      <c r="CG31" s="17" t="s">
        <v>50</v>
      </c>
      <c r="CH31" s="17" t="s">
        <v>50</v>
      </c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</row>
    <row r="32" ht="16.5" customHeight="1">
      <c r="A32" s="73" t="s">
        <v>332</v>
      </c>
      <c r="B32" s="17" t="s">
        <v>336</v>
      </c>
      <c r="C32" s="16">
        <v>1.040572295E9</v>
      </c>
      <c r="D32" s="17" t="s">
        <v>124</v>
      </c>
      <c r="E32" s="19" t="s">
        <v>51</v>
      </c>
      <c r="F32" s="22"/>
      <c r="G32" s="19" t="s">
        <v>163</v>
      </c>
      <c r="H32" s="22"/>
      <c r="I32" s="22"/>
      <c r="J32" s="22"/>
      <c r="K32" s="19" t="s">
        <v>144</v>
      </c>
      <c r="L32" s="22"/>
      <c r="M32" s="22"/>
      <c r="N32" s="22"/>
      <c r="O32" s="19" t="s">
        <v>51</v>
      </c>
      <c r="P32" s="18" t="s">
        <v>50</v>
      </c>
      <c r="Q32" s="18" t="s">
        <v>50</v>
      </c>
      <c r="R32" s="18" t="s">
        <v>50</v>
      </c>
      <c r="S32" s="20" t="s">
        <v>52</v>
      </c>
      <c r="T32" s="18" t="s">
        <v>50</v>
      </c>
      <c r="U32" s="18" t="s">
        <v>50</v>
      </c>
      <c r="V32" s="18" t="s">
        <v>50</v>
      </c>
      <c r="W32" s="18" t="s">
        <v>51</v>
      </c>
      <c r="X32" s="18" t="s">
        <v>50</v>
      </c>
      <c r="Y32" s="18" t="s">
        <v>50</v>
      </c>
      <c r="Z32" s="18" t="s">
        <v>52</v>
      </c>
      <c r="AA32" s="18" t="s">
        <v>51</v>
      </c>
      <c r="AB32" s="18" t="s">
        <v>50</v>
      </c>
      <c r="AC32" s="18" t="s">
        <v>50</v>
      </c>
      <c r="AD32" s="18" t="s">
        <v>50</v>
      </c>
      <c r="AE32" s="18" t="s">
        <v>52</v>
      </c>
      <c r="AF32" s="18" t="s">
        <v>51</v>
      </c>
      <c r="AG32" s="18" t="s">
        <v>50</v>
      </c>
      <c r="AH32" s="18" t="s">
        <v>50</v>
      </c>
      <c r="AI32" s="18" t="s">
        <v>50</v>
      </c>
      <c r="AJ32" s="18" t="s">
        <v>51</v>
      </c>
      <c r="AK32" s="18" t="s">
        <v>50</v>
      </c>
      <c r="AL32" s="18" t="s">
        <v>50</v>
      </c>
      <c r="AM32" s="17" t="s">
        <v>51</v>
      </c>
      <c r="AN32" s="17" t="s">
        <v>50</v>
      </c>
      <c r="AO32" s="17" t="s">
        <v>52</v>
      </c>
      <c r="AP32" s="17" t="s">
        <v>52</v>
      </c>
      <c r="AQ32" s="17" t="s">
        <v>50</v>
      </c>
      <c r="AR32" s="17" t="s">
        <v>50</v>
      </c>
      <c r="AS32" s="17" t="s">
        <v>51</v>
      </c>
      <c r="AT32" s="19" t="s">
        <v>51</v>
      </c>
      <c r="AU32" s="17" t="s">
        <v>50</v>
      </c>
      <c r="AV32" s="17" t="s">
        <v>111</v>
      </c>
      <c r="AW32" s="17" t="s">
        <v>111</v>
      </c>
      <c r="AX32" s="17" t="s">
        <v>51</v>
      </c>
      <c r="AY32" s="18" t="s">
        <v>50</v>
      </c>
      <c r="AZ32" s="17" t="s">
        <v>111</v>
      </c>
      <c r="BA32" s="17" t="s">
        <v>111</v>
      </c>
      <c r="BB32" s="17" t="s">
        <v>52</v>
      </c>
      <c r="BC32" s="17" t="s">
        <v>111</v>
      </c>
      <c r="BD32" s="17" t="s">
        <v>50</v>
      </c>
      <c r="BE32" s="17" t="s">
        <v>50</v>
      </c>
      <c r="BF32" s="27" t="s">
        <v>100</v>
      </c>
      <c r="BG32" s="17" t="s">
        <v>52</v>
      </c>
      <c r="BH32" s="27" t="s">
        <v>100</v>
      </c>
      <c r="BI32" s="17" t="s">
        <v>50</v>
      </c>
      <c r="BJ32" s="17" t="s">
        <v>50</v>
      </c>
      <c r="BK32" s="27" t="s">
        <v>100</v>
      </c>
      <c r="BL32" s="17" t="s">
        <v>52</v>
      </c>
      <c r="BM32" s="27" t="s">
        <v>100</v>
      </c>
      <c r="BN32" s="17" t="s">
        <v>50</v>
      </c>
      <c r="BO32" s="27" t="s">
        <v>100</v>
      </c>
      <c r="BP32" s="24" t="s">
        <v>52</v>
      </c>
      <c r="BQ32" s="27" t="s">
        <v>100</v>
      </c>
      <c r="BR32" s="17" t="s">
        <v>50</v>
      </c>
      <c r="BS32" s="27" t="s">
        <v>100</v>
      </c>
      <c r="BT32" s="17" t="s">
        <v>52</v>
      </c>
      <c r="BU32" s="19" t="s">
        <v>51</v>
      </c>
      <c r="BV32" s="17" t="s">
        <v>50</v>
      </c>
      <c r="BW32" s="27" t="s">
        <v>100</v>
      </c>
      <c r="BX32" s="78" t="s">
        <v>52</v>
      </c>
      <c r="BY32" s="27" t="s">
        <v>100</v>
      </c>
      <c r="BZ32" s="17" t="s">
        <v>50</v>
      </c>
      <c r="CA32" s="17" t="s">
        <v>50</v>
      </c>
      <c r="CB32" s="27" t="s">
        <v>100</v>
      </c>
      <c r="CC32" s="18" t="s">
        <v>51</v>
      </c>
      <c r="CD32" s="27" t="s">
        <v>100</v>
      </c>
      <c r="CE32" s="17" t="s">
        <v>50</v>
      </c>
      <c r="CF32" s="27" t="s">
        <v>100</v>
      </c>
      <c r="CG32" s="18" t="s">
        <v>52</v>
      </c>
      <c r="CH32" s="18" t="s">
        <v>52</v>
      </c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</row>
    <row r="33" ht="16.5" customHeight="1">
      <c r="A33" s="39" t="s">
        <v>342</v>
      </c>
      <c r="B33" s="17" t="s">
        <v>346</v>
      </c>
      <c r="C33" s="16">
        <v>1.025652667E9</v>
      </c>
      <c r="D33" s="17" t="s">
        <v>49</v>
      </c>
      <c r="E33" s="18" t="s">
        <v>114</v>
      </c>
      <c r="F33" s="22"/>
      <c r="G33" s="22"/>
      <c r="H33" s="34" t="s">
        <v>51</v>
      </c>
      <c r="I33" s="22"/>
      <c r="J33" s="19" t="s">
        <v>51</v>
      </c>
      <c r="K33" s="22"/>
      <c r="L33" s="17" t="s">
        <v>51</v>
      </c>
      <c r="M33" s="17" t="s">
        <v>51</v>
      </c>
      <c r="N33" s="18" t="s">
        <v>52</v>
      </c>
      <c r="O33" s="35" t="s">
        <v>111</v>
      </c>
      <c r="P33" s="18" t="s">
        <v>50</v>
      </c>
      <c r="Q33" s="35" t="s">
        <v>111</v>
      </c>
      <c r="R33" s="18" t="s">
        <v>50</v>
      </c>
      <c r="S33" s="35" t="s">
        <v>111</v>
      </c>
      <c r="T33" s="18" t="s">
        <v>50</v>
      </c>
      <c r="U33" s="35" t="s">
        <v>111</v>
      </c>
      <c r="V33" s="18" t="s">
        <v>50</v>
      </c>
      <c r="W33" s="18" t="s">
        <v>50</v>
      </c>
      <c r="X33" s="35" t="s">
        <v>111</v>
      </c>
      <c r="Y33" s="18" t="s">
        <v>50</v>
      </c>
      <c r="Z33" s="35" t="s">
        <v>111</v>
      </c>
      <c r="AA33" s="18" t="s">
        <v>50</v>
      </c>
      <c r="AB33" s="35" t="s">
        <v>111</v>
      </c>
      <c r="AC33" s="18" t="s">
        <v>50</v>
      </c>
      <c r="AD33" s="18" t="s">
        <v>50</v>
      </c>
      <c r="AE33" s="35" t="s">
        <v>111</v>
      </c>
      <c r="AF33" s="18" t="s">
        <v>50</v>
      </c>
      <c r="AG33" s="18" t="s">
        <v>50</v>
      </c>
      <c r="AH33" s="18" t="s">
        <v>51</v>
      </c>
      <c r="AI33" s="18" t="s">
        <v>51</v>
      </c>
      <c r="AJ33" s="18" t="s">
        <v>50</v>
      </c>
      <c r="AK33" s="18" t="s">
        <v>50</v>
      </c>
      <c r="AL33" s="18" t="s">
        <v>52</v>
      </c>
      <c r="AM33" s="17" t="s">
        <v>50</v>
      </c>
      <c r="AN33" s="17" t="s">
        <v>50</v>
      </c>
      <c r="AO33" s="17" t="s">
        <v>52</v>
      </c>
      <c r="AP33" s="17" t="s">
        <v>52</v>
      </c>
      <c r="AQ33" s="17" t="s">
        <v>50</v>
      </c>
      <c r="AR33" s="17" t="s">
        <v>50</v>
      </c>
      <c r="AS33" s="17" t="s">
        <v>52</v>
      </c>
      <c r="AT33" s="17" t="s">
        <v>111</v>
      </c>
      <c r="AU33" s="19" t="s">
        <v>51</v>
      </c>
      <c r="AV33" s="17" t="s">
        <v>111</v>
      </c>
      <c r="AW33" s="17" t="s">
        <v>111</v>
      </c>
      <c r="AX33" s="17" t="s">
        <v>111</v>
      </c>
      <c r="AY33" s="19" t="s">
        <v>51</v>
      </c>
      <c r="AZ33" s="18" t="s">
        <v>52</v>
      </c>
      <c r="BA33" s="17" t="s">
        <v>111</v>
      </c>
      <c r="BB33" s="17" t="s">
        <v>50</v>
      </c>
      <c r="BC33" s="17" t="s">
        <v>384</v>
      </c>
      <c r="BD33" s="17" t="s">
        <v>111</v>
      </c>
      <c r="BE33" s="17" t="s">
        <v>111</v>
      </c>
      <c r="BF33" s="17" t="s">
        <v>111</v>
      </c>
      <c r="BG33" s="17" t="s">
        <v>111</v>
      </c>
      <c r="BH33" s="17" t="s">
        <v>111</v>
      </c>
      <c r="BI33" s="17" t="s">
        <v>111</v>
      </c>
      <c r="BJ33" s="17" t="s">
        <v>111</v>
      </c>
      <c r="BK33" s="17" t="s">
        <v>111</v>
      </c>
      <c r="BL33" s="17" t="s">
        <v>111</v>
      </c>
      <c r="BM33" s="17" t="s">
        <v>111</v>
      </c>
      <c r="BN33" s="17" t="s">
        <v>111</v>
      </c>
      <c r="BO33" s="17" t="s">
        <v>111</v>
      </c>
      <c r="BP33" s="17" t="s">
        <v>111</v>
      </c>
      <c r="BQ33" s="17" t="s">
        <v>111</v>
      </c>
      <c r="BR33" s="17" t="s">
        <v>52</v>
      </c>
      <c r="BS33" s="17" t="s">
        <v>111</v>
      </c>
      <c r="BT33" s="17" t="s">
        <v>50</v>
      </c>
      <c r="BU33" s="17" t="s">
        <v>111</v>
      </c>
      <c r="BV33" s="17" t="s">
        <v>170</v>
      </c>
      <c r="BW33" s="17" t="s">
        <v>111</v>
      </c>
      <c r="BX33" s="78" t="s">
        <v>52</v>
      </c>
      <c r="BY33" s="17" t="s">
        <v>111</v>
      </c>
      <c r="BZ33" s="17" t="s">
        <v>50</v>
      </c>
      <c r="CA33" s="17" t="s">
        <v>50</v>
      </c>
      <c r="CB33" s="17" t="s">
        <v>111</v>
      </c>
      <c r="CC33" s="18" t="s">
        <v>51</v>
      </c>
      <c r="CD33" s="17" t="s">
        <v>111</v>
      </c>
      <c r="CE33" s="17" t="s">
        <v>50</v>
      </c>
      <c r="CF33" s="17" t="s">
        <v>111</v>
      </c>
      <c r="CG33" s="18" t="s">
        <v>52</v>
      </c>
      <c r="CH33" s="18" t="s">
        <v>52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</row>
    <row r="34" ht="16.5" customHeight="1">
      <c r="A34" s="14" t="s">
        <v>352</v>
      </c>
      <c r="B34" s="17" t="s">
        <v>355</v>
      </c>
      <c r="C34" s="16">
        <v>1.027880579E9</v>
      </c>
      <c r="D34" s="17" t="s">
        <v>49</v>
      </c>
      <c r="E34" s="22"/>
      <c r="F34" s="18" t="s">
        <v>50</v>
      </c>
      <c r="G34" s="22"/>
      <c r="H34" s="20"/>
      <c r="I34" s="22"/>
      <c r="J34" s="19" t="s">
        <v>51</v>
      </c>
      <c r="K34" s="22"/>
      <c r="L34" s="22"/>
      <c r="M34" s="19" t="s">
        <v>51</v>
      </c>
      <c r="N34" s="43"/>
      <c r="O34" s="18" t="s">
        <v>50</v>
      </c>
      <c r="P34" s="18" t="s">
        <v>50</v>
      </c>
      <c r="Q34" s="19" t="s">
        <v>51</v>
      </c>
      <c r="R34" s="19" t="s">
        <v>51</v>
      </c>
      <c r="S34" s="18" t="s">
        <v>50</v>
      </c>
      <c r="T34" s="18" t="s">
        <v>50</v>
      </c>
      <c r="U34" s="18" t="s">
        <v>99</v>
      </c>
      <c r="V34" s="18" t="s">
        <v>99</v>
      </c>
      <c r="W34" s="18" t="s">
        <v>51</v>
      </c>
      <c r="X34" s="18" t="s">
        <v>52</v>
      </c>
      <c r="Y34" s="18" t="s">
        <v>50</v>
      </c>
      <c r="Z34" s="18" t="s">
        <v>52</v>
      </c>
      <c r="AA34" s="18" t="s">
        <v>52</v>
      </c>
      <c r="AB34" s="18" t="s">
        <v>51</v>
      </c>
      <c r="AC34" s="18" t="s">
        <v>51</v>
      </c>
      <c r="AD34" s="18" t="s">
        <v>50</v>
      </c>
      <c r="AE34" s="18" t="s">
        <v>52</v>
      </c>
      <c r="AF34" s="18" t="s">
        <v>50</v>
      </c>
      <c r="AG34" s="18" t="s">
        <v>50</v>
      </c>
      <c r="AH34" s="18" t="s">
        <v>50</v>
      </c>
      <c r="AI34" s="18" t="s">
        <v>50</v>
      </c>
      <c r="AJ34" s="18" t="s">
        <v>51</v>
      </c>
      <c r="AK34" s="18" t="s">
        <v>51</v>
      </c>
      <c r="AL34" s="18" t="s">
        <v>50</v>
      </c>
      <c r="AM34" s="17" t="s">
        <v>51</v>
      </c>
      <c r="AN34" s="17" t="s">
        <v>51</v>
      </c>
      <c r="AO34" s="17" t="s">
        <v>51</v>
      </c>
      <c r="AP34" s="17" t="s">
        <v>51</v>
      </c>
      <c r="AQ34" s="17" t="s">
        <v>50</v>
      </c>
      <c r="AR34" s="17" t="s">
        <v>50</v>
      </c>
      <c r="AS34" s="17" t="s">
        <v>51</v>
      </c>
      <c r="AT34" s="19" t="s">
        <v>51</v>
      </c>
      <c r="AU34" s="17" t="s">
        <v>111</v>
      </c>
      <c r="AV34" s="17" t="s">
        <v>111</v>
      </c>
      <c r="AW34" s="17" t="s">
        <v>111</v>
      </c>
      <c r="AX34" s="17" t="s">
        <v>111</v>
      </c>
      <c r="AY34" s="19" t="s">
        <v>51</v>
      </c>
      <c r="AZ34" s="17" t="s">
        <v>111</v>
      </c>
      <c r="BA34" s="19" t="s">
        <v>422</v>
      </c>
      <c r="BB34" s="17" t="s">
        <v>111</v>
      </c>
      <c r="BC34" s="17" t="s">
        <v>111</v>
      </c>
      <c r="BD34" s="17" t="s">
        <v>50</v>
      </c>
      <c r="BE34" s="17" t="s">
        <v>50</v>
      </c>
      <c r="BF34" s="19" t="s">
        <v>51</v>
      </c>
      <c r="BG34" s="19" t="s">
        <v>51</v>
      </c>
      <c r="BH34" s="17" t="s">
        <v>50</v>
      </c>
      <c r="BI34" s="17" t="s">
        <v>50</v>
      </c>
      <c r="BJ34" s="17" t="s">
        <v>50</v>
      </c>
      <c r="BK34" s="19" t="s">
        <v>51</v>
      </c>
      <c r="BL34" s="19" t="s">
        <v>51</v>
      </c>
      <c r="BM34" s="17" t="s">
        <v>50</v>
      </c>
      <c r="BN34" s="17" t="s">
        <v>50</v>
      </c>
      <c r="BO34" s="19" t="s">
        <v>51</v>
      </c>
      <c r="BP34" s="19" t="s">
        <v>51</v>
      </c>
      <c r="BQ34" s="17" t="s">
        <v>52</v>
      </c>
      <c r="BR34" s="17" t="s">
        <v>52</v>
      </c>
      <c r="BS34" s="19" t="s">
        <v>51</v>
      </c>
      <c r="BT34" s="19" t="s">
        <v>51</v>
      </c>
      <c r="BU34" s="17" t="s">
        <v>52</v>
      </c>
      <c r="BV34" s="17" t="s">
        <v>52</v>
      </c>
      <c r="BW34" s="27" t="s">
        <v>100</v>
      </c>
      <c r="BX34" s="27" t="s">
        <v>100</v>
      </c>
      <c r="BY34" s="27" t="s">
        <v>100</v>
      </c>
      <c r="BZ34" s="27" t="s">
        <v>100</v>
      </c>
      <c r="CA34" s="27" t="s">
        <v>100</v>
      </c>
      <c r="CB34" s="27" t="s">
        <v>100</v>
      </c>
      <c r="CC34" s="27" t="s">
        <v>100</v>
      </c>
      <c r="CD34" s="27" t="s">
        <v>100</v>
      </c>
      <c r="CE34" s="27" t="s">
        <v>100</v>
      </c>
      <c r="CF34" s="27" t="s">
        <v>100</v>
      </c>
      <c r="CG34" s="27" t="s">
        <v>100</v>
      </c>
      <c r="CH34" s="27" t="s">
        <v>100</v>
      </c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</row>
    <row r="35" ht="16.5" customHeight="1">
      <c r="A35" s="14" t="s">
        <v>338</v>
      </c>
      <c r="B35" s="17" t="s">
        <v>363</v>
      </c>
      <c r="C35" s="16">
        <v>1.017929273E9</v>
      </c>
      <c r="D35" s="17" t="s">
        <v>49</v>
      </c>
      <c r="E35" s="18" t="s">
        <v>50</v>
      </c>
      <c r="F35" s="22"/>
      <c r="G35" s="18" t="s">
        <v>50</v>
      </c>
      <c r="H35" s="19" t="s">
        <v>52</v>
      </c>
      <c r="I35" s="18" t="s">
        <v>50</v>
      </c>
      <c r="J35" s="22"/>
      <c r="K35" s="62" t="s">
        <v>51</v>
      </c>
      <c r="L35" s="22"/>
      <c r="M35" s="19" t="s">
        <v>51</v>
      </c>
      <c r="N35" s="22"/>
      <c r="O35" s="19" t="s">
        <v>51</v>
      </c>
      <c r="P35" s="18" t="s">
        <v>50</v>
      </c>
      <c r="Q35" s="18" t="s">
        <v>50</v>
      </c>
      <c r="R35" s="18" t="s">
        <v>50</v>
      </c>
      <c r="S35" s="20" t="s">
        <v>52</v>
      </c>
      <c r="T35" s="20" t="s">
        <v>52</v>
      </c>
      <c r="U35" s="18" t="s">
        <v>50</v>
      </c>
      <c r="V35" s="18" t="s">
        <v>50</v>
      </c>
      <c r="W35" s="18" t="s">
        <v>50</v>
      </c>
      <c r="X35" s="18" t="s">
        <v>52</v>
      </c>
      <c r="Y35" s="18" t="s">
        <v>50</v>
      </c>
      <c r="Z35" s="18" t="s">
        <v>52</v>
      </c>
      <c r="AA35" s="18" t="s">
        <v>50</v>
      </c>
      <c r="AB35" s="18" t="s">
        <v>51</v>
      </c>
      <c r="AC35" s="18" t="s">
        <v>51</v>
      </c>
      <c r="AD35" s="18" t="s">
        <v>50</v>
      </c>
      <c r="AE35" s="18" t="s">
        <v>52</v>
      </c>
      <c r="AF35" s="18" t="s">
        <v>50</v>
      </c>
      <c r="AG35" s="18" t="s">
        <v>50</v>
      </c>
      <c r="AH35" s="18" t="s">
        <v>50</v>
      </c>
      <c r="AI35" s="18" t="s">
        <v>50</v>
      </c>
      <c r="AJ35" s="18" t="s">
        <v>51</v>
      </c>
      <c r="AK35" s="18" t="s">
        <v>51</v>
      </c>
      <c r="AL35" s="18" t="s">
        <v>50</v>
      </c>
      <c r="AM35" s="17" t="s">
        <v>50</v>
      </c>
      <c r="AN35" s="17" t="s">
        <v>50</v>
      </c>
      <c r="AO35" s="17" t="s">
        <v>51</v>
      </c>
      <c r="AP35" s="17" t="s">
        <v>51</v>
      </c>
      <c r="AQ35" s="17" t="s">
        <v>50</v>
      </c>
      <c r="AR35" s="17" t="s">
        <v>50</v>
      </c>
      <c r="AS35" s="17" t="s">
        <v>51</v>
      </c>
      <c r="AT35" s="18" t="s">
        <v>50</v>
      </c>
      <c r="AU35" s="17" t="s">
        <v>111</v>
      </c>
      <c r="AV35" s="18" t="s">
        <v>51</v>
      </c>
      <c r="AW35" s="17" t="s">
        <v>111</v>
      </c>
      <c r="AX35" s="62" t="s">
        <v>51</v>
      </c>
      <c r="AY35" s="17" t="s">
        <v>111</v>
      </c>
      <c r="AZ35" s="62" t="s">
        <v>51</v>
      </c>
      <c r="BA35" s="17" t="s">
        <v>111</v>
      </c>
      <c r="BB35" s="19" t="s">
        <v>343</v>
      </c>
      <c r="BC35" s="17" t="s">
        <v>111</v>
      </c>
      <c r="BD35" s="17" t="s">
        <v>50</v>
      </c>
      <c r="BE35" s="17" t="s">
        <v>50</v>
      </c>
      <c r="BF35" s="19" t="s">
        <v>51</v>
      </c>
      <c r="BG35" s="19" t="s">
        <v>51</v>
      </c>
      <c r="BH35" s="17" t="s">
        <v>50</v>
      </c>
      <c r="BI35" s="17" t="s">
        <v>50</v>
      </c>
      <c r="BJ35" s="17" t="s">
        <v>50</v>
      </c>
      <c r="BK35" s="19" t="s">
        <v>51</v>
      </c>
      <c r="BL35" s="19" t="s">
        <v>51</v>
      </c>
      <c r="BM35" s="17" t="s">
        <v>50</v>
      </c>
      <c r="BN35" s="17" t="s">
        <v>50</v>
      </c>
      <c r="BO35" s="24" t="s">
        <v>52</v>
      </c>
      <c r="BP35" s="24" t="s">
        <v>52</v>
      </c>
      <c r="BQ35" s="17" t="s">
        <v>52</v>
      </c>
      <c r="BR35" s="17" t="s">
        <v>50</v>
      </c>
      <c r="BS35" s="18" t="s">
        <v>52</v>
      </c>
      <c r="BT35" s="18" t="s">
        <v>52</v>
      </c>
      <c r="BU35" s="17" t="s">
        <v>52</v>
      </c>
      <c r="BV35" s="17" t="s">
        <v>52</v>
      </c>
      <c r="BW35" s="27" t="s">
        <v>100</v>
      </c>
      <c r="BX35" s="17" t="s">
        <v>50</v>
      </c>
      <c r="BY35" s="27" t="s">
        <v>100</v>
      </c>
      <c r="BZ35" s="17" t="s">
        <v>52</v>
      </c>
      <c r="CA35" s="17" t="s">
        <v>52</v>
      </c>
      <c r="CB35" s="27" t="s">
        <v>100</v>
      </c>
      <c r="CC35" s="17" t="s">
        <v>50</v>
      </c>
      <c r="CD35" s="27" t="s">
        <v>100</v>
      </c>
      <c r="CE35" s="17" t="s">
        <v>52</v>
      </c>
      <c r="CF35" s="27" t="s">
        <v>100</v>
      </c>
      <c r="CG35" s="17" t="s">
        <v>50</v>
      </c>
      <c r="CH35" s="17" t="s">
        <v>50</v>
      </c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</row>
    <row r="36" ht="16.5" customHeight="1">
      <c r="A36" s="31" t="s">
        <v>367</v>
      </c>
      <c r="B36" s="17" t="s">
        <v>371</v>
      </c>
      <c r="C36" s="16">
        <v>1.036254137E9</v>
      </c>
      <c r="D36" s="17" t="s">
        <v>49</v>
      </c>
      <c r="E36" s="18" t="s">
        <v>132</v>
      </c>
      <c r="F36" s="22"/>
      <c r="G36" s="19" t="s">
        <v>51</v>
      </c>
      <c r="H36" s="22"/>
      <c r="I36" s="18" t="s">
        <v>50</v>
      </c>
      <c r="J36" s="22"/>
      <c r="K36" s="20" t="s">
        <v>52</v>
      </c>
      <c r="L36" s="22"/>
      <c r="M36" s="19" t="s">
        <v>51</v>
      </c>
      <c r="N36" s="22"/>
      <c r="O36" s="27" t="s">
        <v>100</v>
      </c>
      <c r="P36" s="20" t="s">
        <v>52</v>
      </c>
      <c r="Q36" s="27" t="s">
        <v>100</v>
      </c>
      <c r="R36" s="18" t="s">
        <v>50</v>
      </c>
      <c r="S36" s="27" t="s">
        <v>100</v>
      </c>
      <c r="T36" s="18" t="s">
        <v>50</v>
      </c>
      <c r="U36" s="27" t="s">
        <v>100</v>
      </c>
      <c r="V36" s="18" t="s">
        <v>50</v>
      </c>
      <c r="W36" s="18" t="s">
        <v>50</v>
      </c>
      <c r="X36" s="18" t="s">
        <v>51</v>
      </c>
      <c r="Y36" s="18" t="s">
        <v>50</v>
      </c>
      <c r="Z36" s="27" t="s">
        <v>100</v>
      </c>
      <c r="AA36" s="18" t="s">
        <v>50</v>
      </c>
      <c r="AB36" s="27" t="s">
        <v>100</v>
      </c>
      <c r="AC36" s="18" t="s">
        <v>50</v>
      </c>
      <c r="AD36" s="27" t="s">
        <v>100</v>
      </c>
      <c r="AE36" s="18" t="s">
        <v>52</v>
      </c>
      <c r="AF36" s="18" t="s">
        <v>50</v>
      </c>
      <c r="AG36" s="18" t="s">
        <v>52</v>
      </c>
      <c r="AH36" s="27" t="s">
        <v>100</v>
      </c>
      <c r="AI36" s="18" t="s">
        <v>50</v>
      </c>
      <c r="AJ36" s="27" t="s">
        <v>100</v>
      </c>
      <c r="AK36" s="18" t="s">
        <v>50</v>
      </c>
      <c r="AL36" s="18" t="s">
        <v>50</v>
      </c>
      <c r="AM36" s="17" t="s">
        <v>52</v>
      </c>
      <c r="AN36" s="17" t="s">
        <v>52</v>
      </c>
      <c r="AO36" s="17" t="s">
        <v>50</v>
      </c>
      <c r="AP36" s="17" t="s">
        <v>50</v>
      </c>
      <c r="AQ36" s="17" t="s">
        <v>52</v>
      </c>
      <c r="AR36" s="17" t="s">
        <v>52</v>
      </c>
      <c r="AS36" s="17" t="s">
        <v>50</v>
      </c>
      <c r="AT36" s="18" t="s">
        <v>51</v>
      </c>
      <c r="AU36" s="18" t="s">
        <v>50</v>
      </c>
      <c r="AV36" s="18" t="s">
        <v>52</v>
      </c>
      <c r="AW36" s="17" t="s">
        <v>111</v>
      </c>
      <c r="AX36" s="18" t="s">
        <v>52</v>
      </c>
      <c r="AY36" s="17" t="s">
        <v>111</v>
      </c>
      <c r="AZ36" s="17" t="s">
        <v>50</v>
      </c>
      <c r="BA36" s="18" t="s">
        <v>52</v>
      </c>
      <c r="BB36" s="17" t="s">
        <v>50</v>
      </c>
      <c r="BC36" s="17" t="s">
        <v>111</v>
      </c>
      <c r="BD36" s="24" t="s">
        <v>52</v>
      </c>
      <c r="BE36" s="18" t="s">
        <v>52</v>
      </c>
      <c r="BF36" s="17" t="s">
        <v>50</v>
      </c>
      <c r="BG36" s="17" t="s">
        <v>50</v>
      </c>
      <c r="BH36" s="17" t="s">
        <v>52</v>
      </c>
      <c r="BI36" s="24" t="s">
        <v>52</v>
      </c>
      <c r="BJ36" s="17" t="s">
        <v>52</v>
      </c>
      <c r="BK36" s="17" t="s">
        <v>50</v>
      </c>
      <c r="BL36" s="17" t="s">
        <v>50</v>
      </c>
      <c r="BM36" s="24" t="s">
        <v>52</v>
      </c>
      <c r="BN36" s="17" t="s">
        <v>50</v>
      </c>
      <c r="BO36" s="17" t="s">
        <v>50</v>
      </c>
      <c r="BP36" s="17" t="s">
        <v>50</v>
      </c>
      <c r="BQ36" s="19" t="s">
        <v>51</v>
      </c>
      <c r="BR36" s="19" t="s">
        <v>51</v>
      </c>
      <c r="BS36" s="17" t="s">
        <v>50</v>
      </c>
      <c r="BT36" s="17" t="s">
        <v>50</v>
      </c>
      <c r="BU36" s="17" t="s">
        <v>52</v>
      </c>
      <c r="BV36" s="19" t="s">
        <v>51</v>
      </c>
      <c r="BW36" s="17" t="s">
        <v>50</v>
      </c>
      <c r="BX36" s="17" t="s">
        <v>50</v>
      </c>
      <c r="BY36" s="17" t="s">
        <v>52</v>
      </c>
      <c r="BZ36" s="17" t="s">
        <v>52</v>
      </c>
      <c r="CA36" s="17" t="s">
        <v>52</v>
      </c>
      <c r="CB36" s="17" t="s">
        <v>50</v>
      </c>
      <c r="CC36" s="17" t="s">
        <v>50</v>
      </c>
      <c r="CD36" s="17" t="s">
        <v>52</v>
      </c>
      <c r="CE36" s="17" t="s">
        <v>52</v>
      </c>
      <c r="CF36" s="17" t="s">
        <v>50</v>
      </c>
      <c r="CG36" s="17" t="s">
        <v>50</v>
      </c>
      <c r="CH36" s="17" t="s">
        <v>50</v>
      </c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</row>
    <row r="37" ht="16.5" customHeight="1">
      <c r="A37" s="31" t="s">
        <v>375</v>
      </c>
      <c r="B37" s="17" t="s">
        <v>378</v>
      </c>
      <c r="C37" s="16">
        <v>1.036519137E9</v>
      </c>
      <c r="D37" s="17" t="s">
        <v>124</v>
      </c>
      <c r="E37" s="22"/>
      <c r="F37" s="38" t="s">
        <v>50</v>
      </c>
      <c r="G37" s="38" t="s">
        <v>51</v>
      </c>
      <c r="H37" s="38" t="s">
        <v>50</v>
      </c>
      <c r="I37" s="22"/>
      <c r="J37" s="22"/>
      <c r="K37" s="22"/>
      <c r="L37" s="19" t="s">
        <v>50</v>
      </c>
      <c r="M37" s="22"/>
      <c r="N37" s="18" t="s">
        <v>52</v>
      </c>
      <c r="O37" s="36" t="s">
        <v>125</v>
      </c>
      <c r="P37" s="36" t="s">
        <v>125</v>
      </c>
      <c r="Q37" s="36" t="s">
        <v>125</v>
      </c>
      <c r="R37" s="36" t="s">
        <v>125</v>
      </c>
      <c r="S37" s="36" t="s">
        <v>125</v>
      </c>
      <c r="T37" s="36" t="s">
        <v>125</v>
      </c>
      <c r="U37" s="36" t="s">
        <v>125</v>
      </c>
      <c r="V37" s="36" t="s">
        <v>125</v>
      </c>
      <c r="W37" s="18" t="s">
        <v>50</v>
      </c>
      <c r="X37" s="36" t="s">
        <v>125</v>
      </c>
      <c r="Y37" s="36" t="s">
        <v>125</v>
      </c>
      <c r="Z37" s="36" t="s">
        <v>125</v>
      </c>
      <c r="AA37" s="36" t="s">
        <v>125</v>
      </c>
      <c r="AB37" s="36" t="s">
        <v>125</v>
      </c>
      <c r="AC37" s="36" t="s">
        <v>125</v>
      </c>
      <c r="AD37" s="36" t="s">
        <v>125</v>
      </c>
      <c r="AE37" s="36" t="s">
        <v>125</v>
      </c>
      <c r="AF37" s="36" t="s">
        <v>125</v>
      </c>
      <c r="AG37" s="18" t="s">
        <v>50</v>
      </c>
      <c r="AH37" s="36" t="s">
        <v>125</v>
      </c>
      <c r="AI37" s="36" t="s">
        <v>125</v>
      </c>
      <c r="AJ37" s="36" t="s">
        <v>125</v>
      </c>
      <c r="AK37" s="36" t="s">
        <v>125</v>
      </c>
      <c r="AL37" s="18" t="s">
        <v>50</v>
      </c>
      <c r="AM37" s="36" t="s">
        <v>125</v>
      </c>
      <c r="AN37" s="36" t="s">
        <v>125</v>
      </c>
      <c r="AO37" s="36" t="s">
        <v>125</v>
      </c>
      <c r="AP37" s="36" t="s">
        <v>125</v>
      </c>
      <c r="AQ37" s="17" t="s">
        <v>50</v>
      </c>
      <c r="AR37" s="17" t="s">
        <v>50</v>
      </c>
      <c r="AS37" s="17" t="s">
        <v>50</v>
      </c>
      <c r="AT37" s="19" t="s">
        <v>51</v>
      </c>
      <c r="AU37" s="18" t="s">
        <v>50</v>
      </c>
      <c r="AV37" s="18" t="s">
        <v>51</v>
      </c>
      <c r="AW37" s="17" t="s">
        <v>111</v>
      </c>
      <c r="AX37" s="17" t="s">
        <v>111</v>
      </c>
      <c r="AY37" s="17" t="s">
        <v>50</v>
      </c>
      <c r="AZ37" s="17" t="s">
        <v>50</v>
      </c>
      <c r="BA37" s="17" t="s">
        <v>111</v>
      </c>
      <c r="BB37" s="17" t="s">
        <v>111</v>
      </c>
      <c r="BC37" s="19" t="s">
        <v>51</v>
      </c>
      <c r="BD37" s="17" t="s">
        <v>51</v>
      </c>
      <c r="BE37" s="17" t="s">
        <v>50</v>
      </c>
      <c r="BF37" s="36" t="s">
        <v>125</v>
      </c>
      <c r="BG37" s="17" t="s">
        <v>50</v>
      </c>
      <c r="BH37" s="36" t="s">
        <v>125</v>
      </c>
      <c r="BI37" s="17" t="s">
        <v>50</v>
      </c>
      <c r="BJ37" s="17" t="s">
        <v>50</v>
      </c>
      <c r="BK37" s="36" t="s">
        <v>125</v>
      </c>
      <c r="BL37" s="17" t="s">
        <v>50</v>
      </c>
      <c r="BM37" s="17" t="s">
        <v>50</v>
      </c>
      <c r="BN37" s="17" t="s">
        <v>50</v>
      </c>
      <c r="BO37" s="24" t="s">
        <v>52</v>
      </c>
      <c r="BP37" s="24" t="s">
        <v>52</v>
      </c>
      <c r="BQ37" s="17" t="s">
        <v>50</v>
      </c>
      <c r="BR37" s="17" t="s">
        <v>50</v>
      </c>
      <c r="BS37" s="17" t="s">
        <v>52</v>
      </c>
      <c r="BT37" s="17" t="s">
        <v>52</v>
      </c>
      <c r="BU37" s="19" t="s">
        <v>51</v>
      </c>
      <c r="BV37" s="17" t="s">
        <v>50</v>
      </c>
      <c r="BW37" s="19" t="s">
        <v>51</v>
      </c>
      <c r="BX37" s="19" t="s">
        <v>51</v>
      </c>
      <c r="BY37" s="17" t="s">
        <v>50</v>
      </c>
      <c r="BZ37" s="17" t="s">
        <v>50</v>
      </c>
      <c r="CA37" s="17" t="s">
        <v>50</v>
      </c>
      <c r="CB37" s="19" t="s">
        <v>51</v>
      </c>
      <c r="CC37" s="19" t="s">
        <v>51</v>
      </c>
      <c r="CD37" s="17" t="s">
        <v>50</v>
      </c>
      <c r="CE37" s="17" t="s">
        <v>50</v>
      </c>
      <c r="CF37" s="17" t="s">
        <v>50</v>
      </c>
      <c r="CG37" s="17" t="s">
        <v>50</v>
      </c>
      <c r="CH37" s="17" t="s">
        <v>50</v>
      </c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</row>
    <row r="38" ht="16.5" customHeight="1">
      <c r="A38" s="31" t="s">
        <v>383</v>
      </c>
      <c r="B38" s="17" t="s">
        <v>386</v>
      </c>
      <c r="C38" s="16">
        <v>1.020115294E9</v>
      </c>
      <c r="D38" s="17" t="s">
        <v>49</v>
      </c>
      <c r="E38" s="17"/>
      <c r="F38" s="17"/>
      <c r="G38" s="17"/>
      <c r="H38" s="17"/>
      <c r="I38" s="17"/>
      <c r="J38" s="19"/>
      <c r="K38" s="19"/>
      <c r="L38" s="17"/>
      <c r="M38" s="17"/>
      <c r="N38" s="18"/>
      <c r="O38" s="18"/>
      <c r="P38" s="18"/>
      <c r="Q38" s="19"/>
      <c r="R38" s="19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7"/>
      <c r="AN38" s="17"/>
      <c r="AO38" s="17"/>
      <c r="AP38" s="17"/>
      <c r="AQ38" s="17"/>
      <c r="AR38" s="17"/>
      <c r="AS38" s="17"/>
      <c r="AT38" s="19" t="s">
        <v>51</v>
      </c>
      <c r="AU38" s="18" t="s">
        <v>50</v>
      </c>
      <c r="AV38" s="17" t="s">
        <v>111</v>
      </c>
      <c r="AW38" s="18" t="s">
        <v>51</v>
      </c>
      <c r="AX38" s="17" t="s">
        <v>111</v>
      </c>
      <c r="AY38" s="18" t="s">
        <v>51</v>
      </c>
      <c r="AZ38" s="17" t="s">
        <v>111</v>
      </c>
      <c r="BA38" s="18" t="s">
        <v>51</v>
      </c>
      <c r="BB38" s="17" t="s">
        <v>111</v>
      </c>
      <c r="BC38" s="18" t="s">
        <v>51</v>
      </c>
      <c r="BD38" s="17"/>
      <c r="BE38" s="17"/>
      <c r="BF38" s="19"/>
      <c r="BG38" s="19"/>
      <c r="BH38" s="17"/>
      <c r="BI38" s="17"/>
      <c r="BJ38" s="17"/>
      <c r="BK38" s="19"/>
      <c r="BL38" s="19"/>
      <c r="BM38" s="19"/>
      <c r="BN38" s="17"/>
      <c r="BO38" s="81"/>
      <c r="BP38" s="81"/>
      <c r="BQ38" s="17"/>
      <c r="BR38" s="17"/>
      <c r="BS38" s="19"/>
      <c r="BT38" s="19"/>
      <c r="BU38" s="19" t="s">
        <v>51</v>
      </c>
      <c r="BV38" s="17" t="s">
        <v>50</v>
      </c>
      <c r="BW38" s="17" t="s">
        <v>50</v>
      </c>
      <c r="BX38" s="17" t="s">
        <v>50</v>
      </c>
      <c r="BY38" s="19" t="s">
        <v>51</v>
      </c>
      <c r="BZ38" s="19" t="s">
        <v>51</v>
      </c>
      <c r="CA38" s="19" t="s">
        <v>51</v>
      </c>
      <c r="CB38" s="17" t="s">
        <v>50</v>
      </c>
      <c r="CC38" s="17" t="s">
        <v>50</v>
      </c>
      <c r="CD38" s="17" t="s">
        <v>52</v>
      </c>
      <c r="CE38" s="17" t="s">
        <v>52</v>
      </c>
      <c r="CF38" s="17" t="s">
        <v>50</v>
      </c>
      <c r="CG38" s="17" t="s">
        <v>50</v>
      </c>
      <c r="CH38" s="17" t="s">
        <v>50</v>
      </c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</row>
    <row r="39" ht="16.5" customHeight="1">
      <c r="A39" s="31" t="s">
        <v>390</v>
      </c>
      <c r="B39" s="17" t="s">
        <v>393</v>
      </c>
      <c r="C39" s="17">
        <v>1.011400138E9</v>
      </c>
      <c r="D39" s="17" t="s">
        <v>124</v>
      </c>
      <c r="E39" s="17" t="s">
        <v>111</v>
      </c>
      <c r="F39" s="17" t="s">
        <v>111</v>
      </c>
      <c r="G39" s="17" t="s">
        <v>111</v>
      </c>
      <c r="H39" s="17" t="s">
        <v>111</v>
      </c>
      <c r="I39" s="17" t="s">
        <v>111</v>
      </c>
      <c r="J39" s="19" t="s">
        <v>51</v>
      </c>
      <c r="K39" s="19" t="s">
        <v>51</v>
      </c>
      <c r="L39" s="17" t="s">
        <v>111</v>
      </c>
      <c r="M39" s="17" t="s">
        <v>111</v>
      </c>
      <c r="N39" s="18" t="s">
        <v>50</v>
      </c>
      <c r="O39" s="18" t="s">
        <v>50</v>
      </c>
      <c r="P39" s="18" t="s">
        <v>50</v>
      </c>
      <c r="Q39" s="19" t="s">
        <v>51</v>
      </c>
      <c r="R39" s="19" t="s">
        <v>51</v>
      </c>
      <c r="S39" s="18" t="s">
        <v>50</v>
      </c>
      <c r="T39" s="18" t="s">
        <v>50</v>
      </c>
      <c r="U39" s="18" t="s">
        <v>50</v>
      </c>
      <c r="V39" s="18" t="s">
        <v>50</v>
      </c>
      <c r="W39" s="18" t="s">
        <v>51</v>
      </c>
      <c r="X39" s="18" t="s">
        <v>50</v>
      </c>
      <c r="Y39" s="18" t="s">
        <v>50</v>
      </c>
      <c r="Z39" s="18" t="s">
        <v>52</v>
      </c>
      <c r="AA39" s="18" t="s">
        <v>50</v>
      </c>
      <c r="AB39" s="18" t="s">
        <v>52</v>
      </c>
      <c r="AC39" s="18" t="s">
        <v>52</v>
      </c>
      <c r="AD39" s="18" t="s">
        <v>50</v>
      </c>
      <c r="AE39" s="18" t="s">
        <v>50</v>
      </c>
      <c r="AF39" s="18" t="s">
        <v>50</v>
      </c>
      <c r="AG39" s="18" t="s">
        <v>51</v>
      </c>
      <c r="AH39" s="18" t="s">
        <v>50</v>
      </c>
      <c r="AI39" s="18" t="s">
        <v>50</v>
      </c>
      <c r="AJ39" s="18" t="s">
        <v>50</v>
      </c>
      <c r="AK39" s="18" t="s">
        <v>50</v>
      </c>
      <c r="AL39" s="18" t="s">
        <v>50</v>
      </c>
      <c r="AM39" s="17" t="s">
        <v>50</v>
      </c>
      <c r="AN39" s="17" t="s">
        <v>50</v>
      </c>
      <c r="AO39" s="17" t="s">
        <v>51</v>
      </c>
      <c r="AP39" s="17" t="s">
        <v>52</v>
      </c>
      <c r="AQ39" s="17" t="s">
        <v>50</v>
      </c>
      <c r="AR39" s="17" t="s">
        <v>50</v>
      </c>
      <c r="AS39" s="17" t="s">
        <v>50</v>
      </c>
      <c r="AT39" s="17" t="s">
        <v>111</v>
      </c>
      <c r="AU39" s="17" t="s">
        <v>111</v>
      </c>
      <c r="AV39" s="17" t="s">
        <v>111</v>
      </c>
      <c r="AW39" s="17" t="s">
        <v>111</v>
      </c>
      <c r="AX39" s="17" t="s">
        <v>111</v>
      </c>
      <c r="AY39" s="19" t="s">
        <v>51</v>
      </c>
      <c r="AZ39" s="19" t="s">
        <v>51</v>
      </c>
      <c r="BA39" s="17" t="s">
        <v>111</v>
      </c>
      <c r="BB39" s="17" t="s">
        <v>111</v>
      </c>
      <c r="BC39" s="18" t="s">
        <v>51</v>
      </c>
      <c r="BD39" s="17" t="s">
        <v>50</v>
      </c>
      <c r="BE39" s="17" t="s">
        <v>50</v>
      </c>
      <c r="BF39" s="19" t="s">
        <v>51</v>
      </c>
      <c r="BG39" s="19" t="s">
        <v>51</v>
      </c>
      <c r="BH39" s="17" t="s">
        <v>50</v>
      </c>
      <c r="BI39" s="17" t="s">
        <v>50</v>
      </c>
      <c r="BJ39" s="17" t="s">
        <v>50</v>
      </c>
      <c r="BK39" s="19" t="s">
        <v>51</v>
      </c>
      <c r="BL39" s="19" t="s">
        <v>51</v>
      </c>
      <c r="BM39" s="19" t="s">
        <v>51</v>
      </c>
      <c r="BN39" s="17" t="s">
        <v>50</v>
      </c>
      <c r="BO39" s="19" t="s">
        <v>51</v>
      </c>
      <c r="BP39" s="19" t="s">
        <v>51</v>
      </c>
      <c r="BQ39" s="17" t="s">
        <v>50</v>
      </c>
      <c r="BR39" s="17" t="s">
        <v>50</v>
      </c>
      <c r="BS39" s="19" t="s">
        <v>51</v>
      </c>
      <c r="BT39" s="19" t="s">
        <v>51</v>
      </c>
      <c r="BU39" s="19" t="s">
        <v>51</v>
      </c>
      <c r="BV39" s="17" t="s">
        <v>50</v>
      </c>
      <c r="BW39" s="19" t="s">
        <v>51</v>
      </c>
      <c r="BX39" s="19" t="s">
        <v>51</v>
      </c>
      <c r="BY39" s="17" t="s">
        <v>50</v>
      </c>
      <c r="BZ39" s="17" t="s">
        <v>50</v>
      </c>
      <c r="CA39" s="17" t="s">
        <v>50</v>
      </c>
      <c r="CB39" s="19" t="s">
        <v>51</v>
      </c>
      <c r="CC39" s="19" t="s">
        <v>51</v>
      </c>
      <c r="CD39" s="17" t="s">
        <v>50</v>
      </c>
      <c r="CE39" s="17" t="s">
        <v>50</v>
      </c>
      <c r="CF39" s="19" t="s">
        <v>51</v>
      </c>
      <c r="CG39" s="19" t="s">
        <v>51</v>
      </c>
      <c r="CH39" s="19" t="s">
        <v>51</v>
      </c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</row>
    <row r="40" ht="16.5" customHeight="1">
      <c r="A40" s="31" t="s">
        <v>218</v>
      </c>
      <c r="B40" s="17" t="s">
        <v>399</v>
      </c>
      <c r="C40" s="16">
        <v>1.036256602E9</v>
      </c>
      <c r="D40" s="17" t="s">
        <v>49</v>
      </c>
      <c r="E40" s="18" t="s">
        <v>50</v>
      </c>
      <c r="F40" s="19" t="s">
        <v>51</v>
      </c>
      <c r="G40" s="19" t="s">
        <v>51</v>
      </c>
      <c r="H40" s="22"/>
      <c r="I40" s="22"/>
      <c r="J40" s="20" t="s">
        <v>51</v>
      </c>
      <c r="K40" s="22"/>
      <c r="L40" s="22"/>
      <c r="M40" s="17" t="s">
        <v>51</v>
      </c>
      <c r="N40" s="22"/>
      <c r="O40" s="19" t="s">
        <v>51</v>
      </c>
      <c r="P40" s="19" t="s">
        <v>51</v>
      </c>
      <c r="Q40" s="18" t="s">
        <v>50</v>
      </c>
      <c r="R40" s="18" t="s">
        <v>50</v>
      </c>
      <c r="S40" s="18" t="s">
        <v>50</v>
      </c>
      <c r="T40" s="18" t="s">
        <v>50</v>
      </c>
      <c r="U40" s="18" t="s">
        <v>51</v>
      </c>
      <c r="V40" s="18" t="s">
        <v>51</v>
      </c>
      <c r="W40" s="18" t="s">
        <v>50</v>
      </c>
      <c r="X40" s="18" t="s">
        <v>50</v>
      </c>
      <c r="Y40" s="18" t="s">
        <v>51</v>
      </c>
      <c r="Z40" s="18" t="s">
        <v>51</v>
      </c>
      <c r="AA40" s="18" t="s">
        <v>50</v>
      </c>
      <c r="AB40" s="18" t="s">
        <v>50</v>
      </c>
      <c r="AC40" s="18" t="s">
        <v>50</v>
      </c>
      <c r="AD40" s="18" t="s">
        <v>52</v>
      </c>
      <c r="AE40" s="18" t="s">
        <v>50</v>
      </c>
      <c r="AF40" s="18" t="s">
        <v>50</v>
      </c>
      <c r="AG40" s="18" t="s">
        <v>52</v>
      </c>
      <c r="AH40" s="18" t="s">
        <v>50</v>
      </c>
      <c r="AI40" s="18" t="s">
        <v>50</v>
      </c>
      <c r="AJ40" s="18" t="s">
        <v>50</v>
      </c>
      <c r="AK40" s="18" t="s">
        <v>51</v>
      </c>
      <c r="AL40" s="18" t="s">
        <v>51</v>
      </c>
      <c r="AM40" s="17" t="s">
        <v>50</v>
      </c>
      <c r="AN40" s="17" t="s">
        <v>50</v>
      </c>
      <c r="AO40" s="17" t="s">
        <v>50</v>
      </c>
      <c r="AP40" s="17" t="s">
        <v>50</v>
      </c>
      <c r="AQ40" s="18" t="s">
        <v>51</v>
      </c>
      <c r="AR40" s="18" t="s">
        <v>51</v>
      </c>
      <c r="AS40" s="17" t="s">
        <v>50</v>
      </c>
      <c r="AT40" s="18" t="s">
        <v>50</v>
      </c>
      <c r="AU40" s="18" t="s">
        <v>111</v>
      </c>
      <c r="AV40" s="19" t="s">
        <v>51</v>
      </c>
      <c r="AW40" s="17" t="s">
        <v>111</v>
      </c>
      <c r="AX40" s="17" t="s">
        <v>111</v>
      </c>
      <c r="AY40" s="20" t="s">
        <v>51</v>
      </c>
      <c r="AZ40" s="17" t="s">
        <v>111</v>
      </c>
      <c r="BA40" s="17" t="s">
        <v>111</v>
      </c>
      <c r="BB40" s="17" t="s">
        <v>111</v>
      </c>
      <c r="BC40" s="19" t="s">
        <v>51</v>
      </c>
      <c r="BD40" s="17" t="s">
        <v>50</v>
      </c>
      <c r="BE40" s="17" t="s">
        <v>50</v>
      </c>
      <c r="BF40" s="17" t="s">
        <v>50</v>
      </c>
      <c r="BG40" s="19" t="s">
        <v>51</v>
      </c>
      <c r="BH40" s="17" t="s">
        <v>50</v>
      </c>
      <c r="BI40" s="17" t="s">
        <v>50</v>
      </c>
      <c r="BJ40" s="17" t="s">
        <v>50</v>
      </c>
      <c r="BK40" s="19" t="s">
        <v>51</v>
      </c>
      <c r="BL40" s="19" t="s">
        <v>51</v>
      </c>
      <c r="BM40" s="17" t="s">
        <v>50</v>
      </c>
      <c r="BN40" s="17" t="s">
        <v>50</v>
      </c>
      <c r="BO40" s="19" t="s">
        <v>51</v>
      </c>
      <c r="BP40" s="19" t="s">
        <v>51</v>
      </c>
      <c r="BQ40" s="17" t="s">
        <v>50</v>
      </c>
      <c r="BR40" s="17" t="s">
        <v>50</v>
      </c>
      <c r="BS40" s="19" t="s">
        <v>51</v>
      </c>
      <c r="BT40" s="19" t="s">
        <v>51</v>
      </c>
      <c r="BU40" s="17" t="s">
        <v>50</v>
      </c>
      <c r="BV40" s="17" t="s">
        <v>50</v>
      </c>
      <c r="BW40" s="19" t="s">
        <v>51</v>
      </c>
      <c r="BX40" s="19" t="s">
        <v>51</v>
      </c>
      <c r="BY40" s="17" t="s">
        <v>50</v>
      </c>
      <c r="BZ40" s="17" t="s">
        <v>50</v>
      </c>
      <c r="CA40" s="17" t="s">
        <v>50</v>
      </c>
      <c r="CB40" s="19" t="s">
        <v>51</v>
      </c>
      <c r="CC40" s="19" t="s">
        <v>51</v>
      </c>
      <c r="CD40" s="17" t="s">
        <v>50</v>
      </c>
      <c r="CE40" s="17" t="s">
        <v>50</v>
      </c>
      <c r="CF40" s="19" t="s">
        <v>51</v>
      </c>
      <c r="CG40" s="19" t="s">
        <v>51</v>
      </c>
      <c r="CH40" s="19" t="s">
        <v>51</v>
      </c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</row>
    <row r="41" ht="16.5" customHeight="1">
      <c r="A41" s="31" t="s">
        <v>403</v>
      </c>
      <c r="B41" s="17" t="s">
        <v>405</v>
      </c>
      <c r="C41" s="16">
        <v>1.04057022E9</v>
      </c>
      <c r="D41" s="26" t="s">
        <v>90</v>
      </c>
      <c r="E41" s="22"/>
      <c r="F41" s="18" t="s">
        <v>50</v>
      </c>
      <c r="G41" s="22"/>
      <c r="H41" s="22"/>
      <c r="I41" s="22"/>
      <c r="J41" s="22"/>
      <c r="K41" s="22"/>
      <c r="L41" s="22"/>
      <c r="M41" s="18" t="s">
        <v>52</v>
      </c>
      <c r="N41" s="18" t="s">
        <v>50</v>
      </c>
      <c r="O41" s="27" t="s">
        <v>100</v>
      </c>
      <c r="P41" s="27" t="s">
        <v>100</v>
      </c>
      <c r="Q41" s="27" t="s">
        <v>100</v>
      </c>
      <c r="R41" s="27" t="s">
        <v>100</v>
      </c>
      <c r="S41" s="27" t="s">
        <v>100</v>
      </c>
      <c r="T41" s="27" t="s">
        <v>100</v>
      </c>
      <c r="U41" s="27" t="s">
        <v>100</v>
      </c>
      <c r="V41" s="27" t="s">
        <v>100</v>
      </c>
      <c r="W41" s="18" t="s">
        <v>50</v>
      </c>
      <c r="X41" s="27" t="s">
        <v>100</v>
      </c>
      <c r="Y41" s="27" t="s">
        <v>100</v>
      </c>
      <c r="Z41" s="27" t="s">
        <v>100</v>
      </c>
      <c r="AA41" s="27" t="s">
        <v>100</v>
      </c>
      <c r="AB41" s="27" t="s">
        <v>100</v>
      </c>
      <c r="AC41" s="27" t="s">
        <v>100</v>
      </c>
      <c r="AD41" s="27" t="s">
        <v>100</v>
      </c>
      <c r="AE41" s="27" t="s">
        <v>100</v>
      </c>
      <c r="AF41" s="27" t="s">
        <v>100</v>
      </c>
      <c r="AG41" s="18" t="s">
        <v>52</v>
      </c>
      <c r="AH41" s="27" t="s">
        <v>100</v>
      </c>
      <c r="AI41" s="27" t="s">
        <v>100</v>
      </c>
      <c r="AJ41" s="27" t="s">
        <v>100</v>
      </c>
      <c r="AK41" s="27" t="s">
        <v>100</v>
      </c>
      <c r="AL41" s="18" t="s">
        <v>52</v>
      </c>
      <c r="AM41" s="18" t="s">
        <v>50</v>
      </c>
      <c r="AN41" s="17" t="s">
        <v>50</v>
      </c>
      <c r="AO41" s="17" t="s">
        <v>52</v>
      </c>
      <c r="AP41" s="17" t="s">
        <v>52</v>
      </c>
      <c r="AQ41" s="17" t="s">
        <v>50</v>
      </c>
      <c r="AR41" s="17" t="s">
        <v>50</v>
      </c>
      <c r="AS41" s="17" t="s">
        <v>52</v>
      </c>
      <c r="AT41" s="18" t="s">
        <v>50</v>
      </c>
      <c r="AU41" s="18" t="s">
        <v>111</v>
      </c>
      <c r="AV41" s="17" t="s">
        <v>111</v>
      </c>
      <c r="AW41" s="17" t="s">
        <v>111</v>
      </c>
      <c r="AX41" s="17" t="s">
        <v>111</v>
      </c>
      <c r="AY41" s="18" t="s">
        <v>52</v>
      </c>
      <c r="AZ41" s="17" t="s">
        <v>111</v>
      </c>
      <c r="BA41" s="17" t="s">
        <v>111</v>
      </c>
      <c r="BB41" s="18" t="s">
        <v>52</v>
      </c>
      <c r="BC41" s="17" t="s">
        <v>50</v>
      </c>
      <c r="BD41" s="56" t="s">
        <v>100</v>
      </c>
      <c r="BE41" s="17" t="s">
        <v>52</v>
      </c>
      <c r="BF41" s="27" t="s">
        <v>100</v>
      </c>
      <c r="BG41" s="56" t="s">
        <v>100</v>
      </c>
      <c r="BH41" s="27" t="s">
        <v>100</v>
      </c>
      <c r="BI41" s="27" t="s">
        <v>100</v>
      </c>
      <c r="BJ41" s="17" t="s">
        <v>50</v>
      </c>
      <c r="BK41" s="27" t="s">
        <v>100</v>
      </c>
      <c r="BL41" s="27" t="s">
        <v>100</v>
      </c>
      <c r="BM41" s="27" t="s">
        <v>100</v>
      </c>
      <c r="BN41" s="27" t="s">
        <v>100</v>
      </c>
      <c r="BO41" s="27" t="s">
        <v>100</v>
      </c>
      <c r="BP41" s="27" t="s">
        <v>100</v>
      </c>
      <c r="BQ41" s="27" t="s">
        <v>100</v>
      </c>
      <c r="BR41" s="27" t="s">
        <v>100</v>
      </c>
      <c r="BS41" s="27" t="s">
        <v>100</v>
      </c>
      <c r="BT41" s="27" t="s">
        <v>100</v>
      </c>
      <c r="BU41" s="27" t="s">
        <v>100</v>
      </c>
      <c r="BV41" s="27" t="s">
        <v>100</v>
      </c>
      <c r="BW41" s="27" t="s">
        <v>100</v>
      </c>
      <c r="BX41" s="27" t="s">
        <v>100</v>
      </c>
      <c r="BY41" s="27" t="s">
        <v>100</v>
      </c>
      <c r="BZ41" s="27" t="s">
        <v>100</v>
      </c>
      <c r="CA41" s="27" t="s">
        <v>100</v>
      </c>
      <c r="CB41" s="27" t="s">
        <v>100</v>
      </c>
      <c r="CC41" s="27" t="s">
        <v>100</v>
      </c>
      <c r="CD41" s="27" t="s">
        <v>100</v>
      </c>
      <c r="CE41" s="27" t="s">
        <v>100</v>
      </c>
      <c r="CF41" s="27" t="s">
        <v>100</v>
      </c>
      <c r="CG41" s="27" t="s">
        <v>100</v>
      </c>
      <c r="CH41" s="27" t="s">
        <v>100</v>
      </c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</row>
    <row r="42" ht="16.5" customHeight="1">
      <c r="A42" s="31" t="s">
        <v>410</v>
      </c>
      <c r="B42" s="17" t="s">
        <v>411</v>
      </c>
      <c r="C42" s="16">
        <v>1.022145673E9</v>
      </c>
      <c r="D42" s="17" t="s">
        <v>124</v>
      </c>
      <c r="E42" s="18" t="s">
        <v>50</v>
      </c>
      <c r="F42" s="22"/>
      <c r="G42" s="22"/>
      <c r="H42" s="22"/>
      <c r="I42" s="19" t="s">
        <v>51</v>
      </c>
      <c r="J42" s="22"/>
      <c r="K42" s="19" t="s">
        <v>51</v>
      </c>
      <c r="L42" s="22"/>
      <c r="M42" s="18" t="s">
        <v>52</v>
      </c>
      <c r="N42" s="22"/>
      <c r="O42" s="19" t="s">
        <v>51</v>
      </c>
      <c r="P42" s="19" t="s">
        <v>51</v>
      </c>
      <c r="Q42" s="18" t="s">
        <v>50</v>
      </c>
      <c r="R42" s="18" t="s">
        <v>50</v>
      </c>
      <c r="S42" s="18" t="s">
        <v>50</v>
      </c>
      <c r="T42" s="18" t="s">
        <v>50</v>
      </c>
      <c r="U42" s="18" t="s">
        <v>50</v>
      </c>
      <c r="V42" s="18" t="s">
        <v>50</v>
      </c>
      <c r="W42" s="18" t="s">
        <v>51</v>
      </c>
      <c r="X42" s="18" t="s">
        <v>50</v>
      </c>
      <c r="Y42" s="18" t="s">
        <v>50</v>
      </c>
      <c r="Z42" s="18" t="s">
        <v>51</v>
      </c>
      <c r="AA42" s="18" t="s">
        <v>51</v>
      </c>
      <c r="AB42" s="18" t="s">
        <v>50</v>
      </c>
      <c r="AC42" s="18" t="s">
        <v>50</v>
      </c>
      <c r="AD42" s="18" t="s">
        <v>50</v>
      </c>
      <c r="AE42" s="18" t="s">
        <v>51</v>
      </c>
      <c r="AF42" s="18" t="s">
        <v>50</v>
      </c>
      <c r="AG42" s="18" t="s">
        <v>50</v>
      </c>
      <c r="AH42" s="18" t="s">
        <v>51</v>
      </c>
      <c r="AI42" s="18" t="s">
        <v>51</v>
      </c>
      <c r="AJ42" s="18" t="s">
        <v>50</v>
      </c>
      <c r="AK42" s="18" t="s">
        <v>50</v>
      </c>
      <c r="AL42" s="18" t="s">
        <v>50</v>
      </c>
      <c r="AM42" s="17" t="s">
        <v>50</v>
      </c>
      <c r="AN42" s="17" t="s">
        <v>50</v>
      </c>
      <c r="AO42" s="17" t="s">
        <v>52</v>
      </c>
      <c r="AP42" s="17" t="s">
        <v>51</v>
      </c>
      <c r="AQ42" s="17" t="s">
        <v>50</v>
      </c>
      <c r="AR42" s="17" t="s">
        <v>50</v>
      </c>
      <c r="AS42" s="17" t="s">
        <v>51</v>
      </c>
      <c r="AT42" s="18" t="s">
        <v>111</v>
      </c>
      <c r="AU42" s="20" t="s">
        <v>51</v>
      </c>
      <c r="AV42" s="18" t="s">
        <v>50</v>
      </c>
      <c r="AW42" s="18" t="s">
        <v>111</v>
      </c>
      <c r="AX42" s="18" t="s">
        <v>111</v>
      </c>
      <c r="AY42" s="18" t="s">
        <v>50</v>
      </c>
      <c r="AZ42" s="19" t="s">
        <v>51</v>
      </c>
      <c r="BA42" s="18" t="s">
        <v>111</v>
      </c>
      <c r="BB42" s="18" t="s">
        <v>50</v>
      </c>
      <c r="BC42" s="18" t="s">
        <v>111</v>
      </c>
      <c r="BD42" s="36" t="s">
        <v>125</v>
      </c>
      <c r="BE42" s="17" t="s">
        <v>50</v>
      </c>
      <c r="BF42" s="36" t="s">
        <v>125</v>
      </c>
      <c r="BG42" s="17" t="s">
        <v>50</v>
      </c>
      <c r="BH42" s="36" t="s">
        <v>125</v>
      </c>
      <c r="BI42" s="17" t="s">
        <v>51</v>
      </c>
      <c r="BJ42" s="17" t="s">
        <v>51</v>
      </c>
      <c r="BK42" s="36" t="s">
        <v>125</v>
      </c>
      <c r="BL42" s="17" t="s">
        <v>50</v>
      </c>
      <c r="BM42" s="36" t="s">
        <v>125</v>
      </c>
      <c r="BN42" s="17" t="s">
        <v>50</v>
      </c>
      <c r="BO42" s="36" t="s">
        <v>125</v>
      </c>
      <c r="BP42" s="17" t="s">
        <v>50</v>
      </c>
      <c r="BQ42" s="36" t="s">
        <v>125</v>
      </c>
      <c r="BR42" s="17" t="s">
        <v>50</v>
      </c>
      <c r="BS42" s="24" t="s">
        <v>52</v>
      </c>
      <c r="BT42" s="24" t="s">
        <v>52</v>
      </c>
      <c r="BU42" s="36" t="s">
        <v>125</v>
      </c>
      <c r="BV42" s="17" t="s">
        <v>50</v>
      </c>
      <c r="BW42" s="36" t="s">
        <v>125</v>
      </c>
      <c r="BX42" s="19" t="s">
        <v>51</v>
      </c>
      <c r="BY42" s="36" t="s">
        <v>125</v>
      </c>
      <c r="BZ42" s="17" t="s">
        <v>50</v>
      </c>
      <c r="CA42" s="17" t="s">
        <v>50</v>
      </c>
      <c r="CB42" s="36" t="s">
        <v>125</v>
      </c>
      <c r="CC42" s="19" t="s">
        <v>51</v>
      </c>
      <c r="CD42" s="36" t="s">
        <v>125</v>
      </c>
      <c r="CE42" s="17" t="s">
        <v>50</v>
      </c>
      <c r="CF42" s="36" t="s">
        <v>125</v>
      </c>
      <c r="CG42" s="19" t="s">
        <v>51</v>
      </c>
      <c r="CH42" s="19" t="s">
        <v>51</v>
      </c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</row>
    <row r="43" ht="16.5" customHeight="1">
      <c r="A43" s="31" t="s">
        <v>415</v>
      </c>
      <c r="B43" s="17" t="s">
        <v>416</v>
      </c>
      <c r="C43" s="16">
        <v>1.038869807E9</v>
      </c>
      <c r="D43" s="17" t="s">
        <v>124</v>
      </c>
      <c r="E43" s="22"/>
      <c r="F43" s="22"/>
      <c r="G43" s="22"/>
      <c r="H43" s="22"/>
      <c r="I43" s="22"/>
      <c r="J43" s="22"/>
      <c r="K43" s="17"/>
      <c r="L43" s="22"/>
      <c r="M43" s="22"/>
      <c r="N43" s="22"/>
      <c r="O43" s="36" t="s">
        <v>125</v>
      </c>
      <c r="P43" s="36" t="s">
        <v>125</v>
      </c>
      <c r="Q43" s="36" t="s">
        <v>125</v>
      </c>
      <c r="R43" s="36" t="s">
        <v>125</v>
      </c>
      <c r="S43" s="36" t="s">
        <v>125</v>
      </c>
      <c r="T43" s="36" t="s">
        <v>125</v>
      </c>
      <c r="U43" s="36" t="s">
        <v>125</v>
      </c>
      <c r="V43" s="36" t="s">
        <v>125</v>
      </c>
      <c r="W43" s="18" t="s">
        <v>50</v>
      </c>
      <c r="X43" s="36" t="s">
        <v>125</v>
      </c>
      <c r="Y43" s="36" t="s">
        <v>125</v>
      </c>
      <c r="Z43" s="36" t="s">
        <v>125</v>
      </c>
      <c r="AA43" s="36" t="s">
        <v>125</v>
      </c>
      <c r="AB43" s="36" t="s">
        <v>125</v>
      </c>
      <c r="AC43" s="36" t="s">
        <v>125</v>
      </c>
      <c r="AD43" s="36" t="s">
        <v>125</v>
      </c>
      <c r="AE43" s="36" t="s">
        <v>125</v>
      </c>
      <c r="AF43" s="36" t="s">
        <v>125</v>
      </c>
      <c r="AG43" s="18" t="s">
        <v>50</v>
      </c>
      <c r="AH43" s="36" t="s">
        <v>125</v>
      </c>
      <c r="AI43" s="36" t="s">
        <v>125</v>
      </c>
      <c r="AJ43" s="36" t="s">
        <v>125</v>
      </c>
      <c r="AK43" s="36" t="s">
        <v>125</v>
      </c>
      <c r="AL43" s="18" t="s">
        <v>50</v>
      </c>
      <c r="AM43" s="36" t="s">
        <v>125</v>
      </c>
      <c r="AN43" s="36" t="s">
        <v>125</v>
      </c>
      <c r="AO43" s="17" t="s">
        <v>50</v>
      </c>
      <c r="AP43" s="17" t="s">
        <v>50</v>
      </c>
      <c r="AQ43" s="36" t="s">
        <v>125</v>
      </c>
      <c r="AR43" s="36" t="s">
        <v>125</v>
      </c>
      <c r="AS43" s="17" t="s">
        <v>50</v>
      </c>
      <c r="AT43" s="18" t="s">
        <v>111</v>
      </c>
      <c r="AU43" s="18" t="s">
        <v>50</v>
      </c>
      <c r="AV43" s="18" t="s">
        <v>111</v>
      </c>
      <c r="AW43" s="18" t="s">
        <v>111</v>
      </c>
      <c r="AX43" s="18" t="s">
        <v>111</v>
      </c>
      <c r="AY43" s="18" t="s">
        <v>111</v>
      </c>
      <c r="AZ43" s="18" t="s">
        <v>111</v>
      </c>
      <c r="BA43" s="18" t="s">
        <v>111</v>
      </c>
      <c r="BB43" s="18" t="s">
        <v>111</v>
      </c>
      <c r="BC43" s="17" t="s">
        <v>50</v>
      </c>
      <c r="BD43" s="36" t="s">
        <v>125</v>
      </c>
      <c r="BE43" s="17" t="s">
        <v>50</v>
      </c>
      <c r="BF43" s="36" t="s">
        <v>125</v>
      </c>
      <c r="BG43" s="17" t="s">
        <v>50</v>
      </c>
      <c r="BH43" s="36" t="s">
        <v>125</v>
      </c>
      <c r="BI43" s="17" t="s">
        <v>51</v>
      </c>
      <c r="BJ43" s="17" t="s">
        <v>51</v>
      </c>
      <c r="BK43" s="36" t="s">
        <v>125</v>
      </c>
      <c r="BL43" s="17" t="s">
        <v>50</v>
      </c>
      <c r="BM43" s="36" t="s">
        <v>125</v>
      </c>
      <c r="BN43" s="17" t="s">
        <v>50</v>
      </c>
      <c r="BO43" s="36" t="s">
        <v>125</v>
      </c>
      <c r="BP43" s="17" t="s">
        <v>50</v>
      </c>
      <c r="BQ43" s="36" t="s">
        <v>125</v>
      </c>
      <c r="BR43" s="17" t="s">
        <v>50</v>
      </c>
      <c r="BS43" s="36" t="s">
        <v>125</v>
      </c>
      <c r="BT43" s="17" t="s">
        <v>50</v>
      </c>
      <c r="BU43" s="36" t="s">
        <v>125</v>
      </c>
      <c r="BV43" s="17" t="s">
        <v>50</v>
      </c>
      <c r="BW43" s="36" t="s">
        <v>125</v>
      </c>
      <c r="BX43" s="17" t="s">
        <v>50</v>
      </c>
      <c r="BY43" s="36" t="s">
        <v>125</v>
      </c>
      <c r="BZ43" s="19" t="s">
        <v>51</v>
      </c>
      <c r="CA43" s="17" t="s">
        <v>50</v>
      </c>
      <c r="CB43" s="36" t="s">
        <v>125</v>
      </c>
      <c r="CC43" s="19" t="s">
        <v>51</v>
      </c>
      <c r="CD43" s="36" t="s">
        <v>125</v>
      </c>
      <c r="CE43" s="17" t="s">
        <v>50</v>
      </c>
      <c r="CF43" s="36" t="s">
        <v>125</v>
      </c>
      <c r="CG43" s="19" t="s">
        <v>51</v>
      </c>
      <c r="CH43" s="19" t="s">
        <v>51</v>
      </c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</row>
    <row r="44" ht="16.5" customHeight="1">
      <c r="A44" s="31" t="s">
        <v>419</v>
      </c>
      <c r="B44" s="17" t="s">
        <v>421</v>
      </c>
      <c r="C44" s="16">
        <v>1.038262652E9</v>
      </c>
      <c r="D44" s="17" t="s">
        <v>127</v>
      </c>
      <c r="E44" s="19"/>
      <c r="F44" s="22"/>
      <c r="G44" s="22"/>
      <c r="H44" s="22"/>
      <c r="I44" s="19"/>
      <c r="J44" s="22"/>
      <c r="K44" s="22"/>
      <c r="L44" s="22"/>
      <c r="M44" s="22"/>
      <c r="N44" s="22"/>
      <c r="O44" s="18"/>
      <c r="P44" s="18"/>
      <c r="Q44" s="19"/>
      <c r="R44" s="19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7"/>
      <c r="AN44" s="17"/>
      <c r="AO44" s="17"/>
      <c r="AP44" s="17"/>
      <c r="AQ44" s="17"/>
      <c r="AR44" s="17"/>
      <c r="AS44" s="17"/>
      <c r="AT44" s="18" t="s">
        <v>111</v>
      </c>
      <c r="AU44" s="19" t="s">
        <v>51</v>
      </c>
      <c r="AV44" s="18" t="s">
        <v>111</v>
      </c>
      <c r="AW44" s="27" t="s">
        <v>100</v>
      </c>
      <c r="AX44" s="18" t="s">
        <v>111</v>
      </c>
      <c r="AY44" s="18" t="s">
        <v>50</v>
      </c>
      <c r="AZ44" s="17" t="s">
        <v>111</v>
      </c>
      <c r="BA44" s="17" t="s">
        <v>111</v>
      </c>
      <c r="BB44" s="18" t="s">
        <v>111</v>
      </c>
      <c r="BC44" s="27" t="s">
        <v>100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 t="s">
        <v>52</v>
      </c>
      <c r="BN44" s="17" t="s">
        <v>52</v>
      </c>
      <c r="BO44" s="19" t="s">
        <v>51</v>
      </c>
      <c r="BP44" s="19" t="s">
        <v>51</v>
      </c>
      <c r="BQ44" s="19" t="s">
        <v>51</v>
      </c>
      <c r="BR44" s="19" t="s">
        <v>51</v>
      </c>
      <c r="BS44" s="19" t="s">
        <v>51</v>
      </c>
      <c r="BT44" s="19" t="s">
        <v>51</v>
      </c>
      <c r="BU44" s="17" t="s">
        <v>111</v>
      </c>
      <c r="BV44" s="19" t="s">
        <v>425</v>
      </c>
      <c r="BW44" s="17" t="s">
        <v>111</v>
      </c>
      <c r="BX44" s="19" t="s">
        <v>51</v>
      </c>
      <c r="BY44" s="17" t="s">
        <v>111</v>
      </c>
      <c r="BZ44" s="17" t="s">
        <v>50</v>
      </c>
      <c r="CA44" s="17" t="s">
        <v>50</v>
      </c>
      <c r="CB44" s="17" t="s">
        <v>111</v>
      </c>
      <c r="CC44" s="19" t="s">
        <v>51</v>
      </c>
      <c r="CD44" s="17" t="s">
        <v>111</v>
      </c>
      <c r="CE44" s="17" t="s">
        <v>50</v>
      </c>
      <c r="CF44" s="17" t="s">
        <v>111</v>
      </c>
      <c r="CG44" s="19" t="s">
        <v>51</v>
      </c>
      <c r="CH44" s="19" t="s">
        <v>51</v>
      </c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</row>
    <row r="45" ht="16.5" customHeight="1">
      <c r="A45" s="31" t="s">
        <v>107</v>
      </c>
      <c r="B45" s="17" t="s">
        <v>427</v>
      </c>
      <c r="C45" s="16">
        <v>1.01139621E9</v>
      </c>
      <c r="D45" s="66" t="s">
        <v>49</v>
      </c>
      <c r="E45" s="19" t="s">
        <v>51</v>
      </c>
      <c r="F45" s="22"/>
      <c r="G45" s="22"/>
      <c r="H45" s="22"/>
      <c r="I45" s="19" t="s">
        <v>51</v>
      </c>
      <c r="J45" s="22"/>
      <c r="K45" s="22"/>
      <c r="L45" s="22"/>
      <c r="M45" s="22"/>
      <c r="N45" s="22"/>
      <c r="O45" s="18" t="s">
        <v>50</v>
      </c>
      <c r="P45" s="18" t="s">
        <v>50</v>
      </c>
      <c r="Q45" s="19" t="s">
        <v>51</v>
      </c>
      <c r="R45" s="19" t="s">
        <v>51</v>
      </c>
      <c r="S45" s="18" t="s">
        <v>50</v>
      </c>
      <c r="T45" s="18" t="s">
        <v>50</v>
      </c>
      <c r="U45" s="18" t="s">
        <v>50</v>
      </c>
      <c r="V45" s="18" t="s">
        <v>50</v>
      </c>
      <c r="W45" s="18" t="s">
        <v>50</v>
      </c>
      <c r="X45" s="18" t="s">
        <v>51</v>
      </c>
      <c r="Y45" s="18" t="s">
        <v>51</v>
      </c>
      <c r="Z45" s="18" t="s">
        <v>50</v>
      </c>
      <c r="AA45" s="18" t="s">
        <v>50</v>
      </c>
      <c r="AB45" s="18" t="s">
        <v>50</v>
      </c>
      <c r="AC45" s="18" t="s">
        <v>50</v>
      </c>
      <c r="AD45" s="18" t="s">
        <v>51</v>
      </c>
      <c r="AE45" s="18" t="s">
        <v>51</v>
      </c>
      <c r="AF45" s="18" t="s">
        <v>50</v>
      </c>
      <c r="AG45" s="18" t="s">
        <v>50</v>
      </c>
      <c r="AH45" s="18" t="s">
        <v>50</v>
      </c>
      <c r="AI45" s="18" t="s">
        <v>50</v>
      </c>
      <c r="AJ45" s="18" t="s">
        <v>50</v>
      </c>
      <c r="AK45" s="18" t="s">
        <v>50</v>
      </c>
      <c r="AL45" s="18" t="s">
        <v>50</v>
      </c>
      <c r="AM45" s="17" t="s">
        <v>51</v>
      </c>
      <c r="AN45" s="17" t="s">
        <v>51</v>
      </c>
      <c r="AO45" s="17" t="s">
        <v>50</v>
      </c>
      <c r="AP45" s="17" t="s">
        <v>50</v>
      </c>
      <c r="AQ45" s="17" t="s">
        <v>51</v>
      </c>
      <c r="AR45" s="17" t="s">
        <v>51</v>
      </c>
      <c r="AS45" s="17" t="s">
        <v>50</v>
      </c>
      <c r="AT45" s="18" t="s">
        <v>50</v>
      </c>
      <c r="AU45" s="17" t="s">
        <v>111</v>
      </c>
      <c r="AV45" s="17" t="s">
        <v>111</v>
      </c>
      <c r="AW45" s="17" t="s">
        <v>111</v>
      </c>
      <c r="AX45" s="17" t="s">
        <v>50</v>
      </c>
      <c r="AY45" s="17" t="s">
        <v>111</v>
      </c>
      <c r="AZ45" s="17" t="s">
        <v>51</v>
      </c>
      <c r="BA45" s="17" t="s">
        <v>111</v>
      </c>
      <c r="BB45" s="17" t="s">
        <v>111</v>
      </c>
      <c r="BC45" s="17" t="s">
        <v>111</v>
      </c>
      <c r="BD45" s="17" t="s">
        <v>51</v>
      </c>
      <c r="BE45" s="17" t="s">
        <v>50</v>
      </c>
      <c r="BF45" s="17" t="s">
        <v>50</v>
      </c>
      <c r="BG45" s="17" t="s">
        <v>50</v>
      </c>
      <c r="BH45" s="17" t="s">
        <v>50</v>
      </c>
      <c r="BI45" s="17" t="s">
        <v>50</v>
      </c>
      <c r="BJ45" s="17" t="s">
        <v>50</v>
      </c>
      <c r="BK45" s="17" t="s">
        <v>51</v>
      </c>
      <c r="BL45" s="17" t="s">
        <v>51</v>
      </c>
      <c r="BM45" s="17" t="s">
        <v>50</v>
      </c>
      <c r="BN45" s="17" t="s">
        <v>50</v>
      </c>
      <c r="BO45" s="19" t="s">
        <v>51</v>
      </c>
      <c r="BP45" s="24" t="s">
        <v>52</v>
      </c>
      <c r="BQ45" s="17" t="s">
        <v>50</v>
      </c>
      <c r="BR45" s="17" t="s">
        <v>50</v>
      </c>
      <c r="BS45" s="24" t="s">
        <v>52</v>
      </c>
      <c r="BT45" s="24" t="s">
        <v>52</v>
      </c>
      <c r="BU45" s="17" t="s">
        <v>50</v>
      </c>
      <c r="BV45" s="17" t="s">
        <v>50</v>
      </c>
      <c r="BW45" s="19" t="s">
        <v>51</v>
      </c>
      <c r="BX45" s="19" t="s">
        <v>51</v>
      </c>
      <c r="BY45" s="17" t="s">
        <v>50</v>
      </c>
      <c r="BZ45" s="17" t="s">
        <v>50</v>
      </c>
      <c r="CA45" s="17" t="s">
        <v>50</v>
      </c>
      <c r="CB45" s="19" t="s">
        <v>51</v>
      </c>
      <c r="CC45" s="17" t="s">
        <v>50</v>
      </c>
      <c r="CD45" s="17" t="s">
        <v>50</v>
      </c>
      <c r="CE45" s="17" t="s">
        <v>50</v>
      </c>
      <c r="CF45" s="19" t="s">
        <v>51</v>
      </c>
      <c r="CG45" s="19" t="s">
        <v>51</v>
      </c>
      <c r="CH45" s="19" t="s">
        <v>51</v>
      </c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</row>
    <row r="46" ht="16.5" customHeight="1">
      <c r="A46" s="31" t="s">
        <v>431</v>
      </c>
      <c r="B46" s="17" t="s">
        <v>433</v>
      </c>
      <c r="C46" s="16">
        <v>1.025885589E9</v>
      </c>
      <c r="D46" s="17" t="s">
        <v>127</v>
      </c>
      <c r="E46" s="19"/>
      <c r="F46" s="18"/>
      <c r="G46" s="17"/>
      <c r="H46" s="17"/>
      <c r="I46" s="17"/>
      <c r="J46" s="17"/>
      <c r="K46" s="19"/>
      <c r="L46" s="17"/>
      <c r="M46" s="17"/>
      <c r="N46" s="18"/>
      <c r="O46" s="36"/>
      <c r="P46" s="19"/>
      <c r="Q46" s="36"/>
      <c r="R46" s="18"/>
      <c r="S46" s="36"/>
      <c r="T46" s="18"/>
      <c r="U46" s="36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7"/>
      <c r="AP46" s="17"/>
      <c r="AQ46" s="17"/>
      <c r="AR46" s="17"/>
      <c r="AS46" s="17"/>
      <c r="AT46" s="19" t="s">
        <v>51</v>
      </c>
      <c r="AU46" s="18" t="s">
        <v>111</v>
      </c>
      <c r="AV46" s="19" t="s">
        <v>51</v>
      </c>
      <c r="AW46" s="18" t="s">
        <v>111</v>
      </c>
      <c r="AX46" s="19" t="s">
        <v>51</v>
      </c>
      <c r="AY46" s="18" t="s">
        <v>111</v>
      </c>
      <c r="AZ46" s="19" t="s">
        <v>51</v>
      </c>
      <c r="BA46" s="18" t="s">
        <v>111</v>
      </c>
      <c r="BB46" s="19" t="s">
        <v>51</v>
      </c>
      <c r="BC46" s="17" t="s">
        <v>111</v>
      </c>
      <c r="BD46" s="17" t="s">
        <v>50</v>
      </c>
      <c r="BE46" s="17" t="s">
        <v>50</v>
      </c>
      <c r="BF46" s="17" t="s">
        <v>50</v>
      </c>
      <c r="BG46" s="17" t="s">
        <v>50</v>
      </c>
      <c r="BH46" s="17" t="s">
        <v>111</v>
      </c>
      <c r="BI46" s="17" t="s">
        <v>111</v>
      </c>
      <c r="BJ46" s="17" t="s">
        <v>111</v>
      </c>
      <c r="BK46" s="17" t="s">
        <v>111</v>
      </c>
      <c r="BL46" s="17" t="s">
        <v>111</v>
      </c>
      <c r="BM46" s="17" t="s">
        <v>111</v>
      </c>
      <c r="BN46" s="17" t="s">
        <v>111</v>
      </c>
      <c r="BO46" s="17" t="s">
        <v>111</v>
      </c>
      <c r="BP46" s="17" t="s">
        <v>111</v>
      </c>
      <c r="BQ46" s="17" t="s">
        <v>111</v>
      </c>
      <c r="BR46" s="17" t="s">
        <v>111</v>
      </c>
      <c r="BS46" s="17" t="s">
        <v>111</v>
      </c>
      <c r="BT46" s="17" t="s">
        <v>111</v>
      </c>
      <c r="BU46" s="17" t="s">
        <v>111</v>
      </c>
      <c r="BV46" s="17" t="s">
        <v>111</v>
      </c>
      <c r="BW46" s="17" t="s">
        <v>111</v>
      </c>
      <c r="BX46" s="17" t="s">
        <v>111</v>
      </c>
      <c r="BY46" s="17" t="s">
        <v>111</v>
      </c>
      <c r="BZ46" s="17" t="s">
        <v>111</v>
      </c>
      <c r="CA46" s="17" t="s">
        <v>111</v>
      </c>
      <c r="CB46" s="17" t="s">
        <v>111</v>
      </c>
      <c r="CC46" s="17" t="s">
        <v>111</v>
      </c>
      <c r="CD46" s="17" t="s">
        <v>111</v>
      </c>
      <c r="CE46" s="17" t="s">
        <v>111</v>
      </c>
      <c r="CF46" s="17" t="s">
        <v>111</v>
      </c>
      <c r="CG46" s="17" t="s">
        <v>111</v>
      </c>
      <c r="CH46" s="17" t="s">
        <v>111</v>
      </c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</row>
    <row r="47" ht="16.5" customHeight="1">
      <c r="A47" s="31" t="s">
        <v>436</v>
      </c>
      <c r="B47" s="17" t="s">
        <v>437</v>
      </c>
      <c r="C47" s="16">
        <v>1.036451813E9</v>
      </c>
      <c r="D47" s="17" t="s">
        <v>118</v>
      </c>
      <c r="E47" s="19" t="s">
        <v>51</v>
      </c>
      <c r="F47" s="17" t="s">
        <v>119</v>
      </c>
      <c r="G47" s="18" t="s">
        <v>50</v>
      </c>
      <c r="H47" s="17" t="s">
        <v>119</v>
      </c>
      <c r="I47" s="19" t="s">
        <v>51</v>
      </c>
      <c r="J47" s="18" t="s">
        <v>50</v>
      </c>
      <c r="K47" s="19" t="s">
        <v>51</v>
      </c>
      <c r="L47" s="18" t="s">
        <v>50</v>
      </c>
      <c r="M47" s="19" t="s">
        <v>144</v>
      </c>
      <c r="N47" s="22"/>
      <c r="O47" s="35" t="s">
        <v>111</v>
      </c>
      <c r="P47" s="19" t="s">
        <v>51</v>
      </c>
      <c r="Q47" s="35" t="s">
        <v>111</v>
      </c>
      <c r="R47" s="18" t="s">
        <v>50</v>
      </c>
      <c r="S47" s="35" t="s">
        <v>111</v>
      </c>
      <c r="T47" s="18" t="s">
        <v>50</v>
      </c>
      <c r="U47" s="35" t="s">
        <v>111</v>
      </c>
      <c r="V47" s="18" t="s">
        <v>50</v>
      </c>
      <c r="W47" s="18" t="s">
        <v>50</v>
      </c>
      <c r="X47" s="35" t="s">
        <v>111</v>
      </c>
      <c r="Y47" s="18" t="s">
        <v>50</v>
      </c>
      <c r="Z47" s="35" t="s">
        <v>111</v>
      </c>
      <c r="AA47" s="18" t="s">
        <v>50</v>
      </c>
      <c r="AB47" s="35" t="s">
        <v>111</v>
      </c>
      <c r="AC47" s="18" t="s">
        <v>50</v>
      </c>
      <c r="AD47" s="18" t="s">
        <v>50</v>
      </c>
      <c r="AE47" s="35" t="s">
        <v>111</v>
      </c>
      <c r="AF47" s="18" t="s">
        <v>50</v>
      </c>
      <c r="AG47" s="18" t="s">
        <v>50</v>
      </c>
      <c r="AH47" s="18" t="s">
        <v>51</v>
      </c>
      <c r="AI47" s="18" t="s">
        <v>51</v>
      </c>
      <c r="AJ47" s="18" t="s">
        <v>50</v>
      </c>
      <c r="AK47" s="18" t="s">
        <v>50</v>
      </c>
      <c r="AL47" s="18" t="s">
        <v>51</v>
      </c>
      <c r="AM47" s="17" t="s">
        <v>50</v>
      </c>
      <c r="AN47" s="17" t="s">
        <v>50</v>
      </c>
      <c r="AO47" s="17" t="s">
        <v>50</v>
      </c>
      <c r="AP47" s="17" t="s">
        <v>50</v>
      </c>
      <c r="AQ47" s="17" t="s">
        <v>51</v>
      </c>
      <c r="AR47" s="17" t="s">
        <v>51</v>
      </c>
      <c r="AS47" s="17" t="s">
        <v>50</v>
      </c>
      <c r="AT47" s="19" t="s">
        <v>51</v>
      </c>
      <c r="AU47" s="19" t="s">
        <v>51</v>
      </c>
      <c r="AV47" s="18" t="s">
        <v>50</v>
      </c>
      <c r="AW47" s="19" t="s">
        <v>51</v>
      </c>
      <c r="AX47" s="18" t="s">
        <v>50</v>
      </c>
      <c r="AY47" s="18" t="s">
        <v>111</v>
      </c>
      <c r="AZ47" s="19" t="s">
        <v>51</v>
      </c>
      <c r="BA47" s="18" t="s">
        <v>111</v>
      </c>
      <c r="BB47" s="19" t="s">
        <v>51</v>
      </c>
      <c r="BC47" s="19" t="s">
        <v>51</v>
      </c>
      <c r="BD47" s="24" t="s">
        <v>51</v>
      </c>
      <c r="BE47" s="17" t="s">
        <v>51</v>
      </c>
      <c r="BF47" s="17" t="s">
        <v>111</v>
      </c>
      <c r="BG47" s="17" t="s">
        <v>50</v>
      </c>
      <c r="BH47" s="17" t="s">
        <v>111</v>
      </c>
      <c r="BI47" s="17" t="s">
        <v>50</v>
      </c>
      <c r="BJ47" s="17" t="s">
        <v>50</v>
      </c>
      <c r="BK47" s="17" t="s">
        <v>111</v>
      </c>
      <c r="BL47" s="17" t="s">
        <v>51</v>
      </c>
      <c r="BM47" s="17" t="s">
        <v>111</v>
      </c>
      <c r="BN47" s="17" t="s">
        <v>50</v>
      </c>
      <c r="BO47" s="17" t="s">
        <v>111</v>
      </c>
      <c r="BP47" s="19" t="s">
        <v>51</v>
      </c>
      <c r="BQ47" s="17" t="s">
        <v>50</v>
      </c>
      <c r="BR47" s="17" t="s">
        <v>50</v>
      </c>
      <c r="BS47" s="17" t="s">
        <v>111</v>
      </c>
      <c r="BT47" s="19" t="s">
        <v>51</v>
      </c>
      <c r="BU47" s="17" t="s">
        <v>50</v>
      </c>
      <c r="BV47" s="17" t="s">
        <v>50</v>
      </c>
      <c r="BW47" s="17" t="s">
        <v>111</v>
      </c>
      <c r="BX47" s="19" t="s">
        <v>51</v>
      </c>
      <c r="BY47" s="17" t="s">
        <v>111</v>
      </c>
      <c r="BZ47" s="17" t="s">
        <v>50</v>
      </c>
      <c r="CA47" s="17" t="s">
        <v>50</v>
      </c>
      <c r="CB47" s="17" t="s">
        <v>111</v>
      </c>
      <c r="CC47" s="19" t="s">
        <v>184</v>
      </c>
      <c r="CD47" s="17" t="s">
        <v>111</v>
      </c>
      <c r="CE47" s="17" t="s">
        <v>50</v>
      </c>
      <c r="CF47" s="17" t="s">
        <v>111</v>
      </c>
      <c r="CG47" s="19" t="s">
        <v>51</v>
      </c>
      <c r="CH47" s="19" t="s">
        <v>51</v>
      </c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</row>
    <row r="48" ht="16.5" customHeight="1">
      <c r="A48" s="67" t="s">
        <v>440</v>
      </c>
      <c r="B48" s="17" t="s">
        <v>441</v>
      </c>
      <c r="C48" s="16">
        <v>1.036452892E9</v>
      </c>
      <c r="D48" s="17" t="s">
        <v>118</v>
      </c>
      <c r="E48" s="18"/>
      <c r="F48" s="22"/>
      <c r="G48" s="22"/>
      <c r="H48" s="19"/>
      <c r="I48" s="22"/>
      <c r="J48" s="22"/>
      <c r="K48" s="22"/>
      <c r="L48" s="20"/>
      <c r="M48" s="22"/>
      <c r="N48" s="18"/>
      <c r="O48" s="19"/>
      <c r="P48" s="19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7"/>
      <c r="AN48" s="17"/>
      <c r="AO48" s="18"/>
      <c r="AP48" s="18"/>
      <c r="AQ48" s="17"/>
      <c r="AR48" s="17"/>
      <c r="AS48" s="18"/>
      <c r="AT48" s="18" t="s">
        <v>111</v>
      </c>
      <c r="AU48" s="17" t="s">
        <v>111</v>
      </c>
      <c r="AV48" s="17" t="s">
        <v>111</v>
      </c>
      <c r="AW48" s="19" t="s">
        <v>51</v>
      </c>
      <c r="AX48" s="17" t="s">
        <v>111</v>
      </c>
      <c r="AY48" s="19" t="s">
        <v>51</v>
      </c>
      <c r="AZ48" s="17" t="s">
        <v>111</v>
      </c>
      <c r="BA48" s="17" t="s">
        <v>111</v>
      </c>
      <c r="BB48" s="17" t="s">
        <v>111</v>
      </c>
      <c r="BC48" s="19" t="s">
        <v>51</v>
      </c>
      <c r="BD48" s="24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9" t="s">
        <v>51</v>
      </c>
      <c r="BV48" s="19" t="s">
        <v>51</v>
      </c>
      <c r="BW48" s="18" t="s">
        <v>52</v>
      </c>
      <c r="BX48" s="17" t="s">
        <v>50</v>
      </c>
      <c r="BY48" s="19" t="s">
        <v>51</v>
      </c>
      <c r="BZ48" s="19" t="s">
        <v>51</v>
      </c>
      <c r="CA48" s="19" t="s">
        <v>51</v>
      </c>
      <c r="CB48" s="17" t="s">
        <v>50</v>
      </c>
      <c r="CC48" s="17" t="s">
        <v>50</v>
      </c>
      <c r="CD48" s="19" t="s">
        <v>51</v>
      </c>
      <c r="CE48" s="19" t="s">
        <v>51</v>
      </c>
      <c r="CF48" s="17" t="s">
        <v>50</v>
      </c>
      <c r="CG48" s="17" t="s">
        <v>50</v>
      </c>
      <c r="CH48" s="17" t="s">
        <v>50</v>
      </c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</row>
    <row r="49" ht="16.5" customHeight="1">
      <c r="A49" s="67" t="s">
        <v>443</v>
      </c>
      <c r="B49" s="17" t="s">
        <v>445</v>
      </c>
      <c r="C49" s="16">
        <v>1.043414149E9</v>
      </c>
      <c r="D49" s="17" t="s">
        <v>104</v>
      </c>
      <c r="E49" s="18" t="s">
        <v>50</v>
      </c>
      <c r="F49" s="22"/>
      <c r="G49" s="22"/>
      <c r="H49" s="19" t="s">
        <v>51</v>
      </c>
      <c r="I49" s="22"/>
      <c r="J49" s="22"/>
      <c r="K49" s="22"/>
      <c r="L49" s="20" t="s">
        <v>52</v>
      </c>
      <c r="M49" s="22"/>
      <c r="N49" s="18" t="s">
        <v>52</v>
      </c>
      <c r="O49" s="19" t="s">
        <v>51</v>
      </c>
      <c r="P49" s="19" t="s">
        <v>51</v>
      </c>
      <c r="Q49" s="18" t="s">
        <v>50</v>
      </c>
      <c r="R49" s="18" t="s">
        <v>50</v>
      </c>
      <c r="S49" s="18" t="s">
        <v>50</v>
      </c>
      <c r="T49" s="18" t="s">
        <v>50</v>
      </c>
      <c r="U49" s="18" t="s">
        <v>52</v>
      </c>
      <c r="V49" s="18" t="s">
        <v>51</v>
      </c>
      <c r="W49" s="18" t="s">
        <v>50</v>
      </c>
      <c r="X49" s="18" t="s">
        <v>50</v>
      </c>
      <c r="Y49" s="18" t="s">
        <v>51</v>
      </c>
      <c r="Z49" s="18" t="s">
        <v>52</v>
      </c>
      <c r="AA49" s="18" t="s">
        <v>50</v>
      </c>
      <c r="AB49" s="18" t="s">
        <v>50</v>
      </c>
      <c r="AC49" s="18" t="s">
        <v>50</v>
      </c>
      <c r="AD49" s="18" t="s">
        <v>52</v>
      </c>
      <c r="AE49" s="18" t="s">
        <v>50</v>
      </c>
      <c r="AF49" s="18" t="s">
        <v>52</v>
      </c>
      <c r="AG49" s="18" t="s">
        <v>50</v>
      </c>
      <c r="AH49" s="18" t="s">
        <v>50</v>
      </c>
      <c r="AI49" s="18" t="s">
        <v>50</v>
      </c>
      <c r="AJ49" s="18" t="s">
        <v>50</v>
      </c>
      <c r="AK49" s="18" t="s">
        <v>52</v>
      </c>
      <c r="AL49" s="18" t="s">
        <v>52</v>
      </c>
      <c r="AM49" s="17" t="s">
        <v>50</v>
      </c>
      <c r="AN49" s="17" t="s">
        <v>50</v>
      </c>
      <c r="AO49" s="18" t="s">
        <v>52</v>
      </c>
      <c r="AP49" s="18" t="s">
        <v>52</v>
      </c>
      <c r="AQ49" s="17" t="s">
        <v>50</v>
      </c>
      <c r="AR49" s="17" t="s">
        <v>50</v>
      </c>
      <c r="AS49" s="18" t="s">
        <v>51</v>
      </c>
      <c r="AT49" s="18" t="s">
        <v>50</v>
      </c>
      <c r="AU49" s="17" t="s">
        <v>111</v>
      </c>
      <c r="AV49" s="17" t="s">
        <v>111</v>
      </c>
      <c r="AW49" s="27" t="s">
        <v>100</v>
      </c>
      <c r="AX49" s="18" t="s">
        <v>111</v>
      </c>
      <c r="AY49" s="18" t="s">
        <v>111</v>
      </c>
      <c r="AZ49" s="18" t="s">
        <v>111</v>
      </c>
      <c r="BA49" s="18" t="s">
        <v>52</v>
      </c>
      <c r="BB49" s="18" t="s">
        <v>111</v>
      </c>
      <c r="BC49" s="18" t="s">
        <v>52</v>
      </c>
      <c r="BD49" s="17" t="s">
        <v>50</v>
      </c>
      <c r="BE49" s="17" t="s">
        <v>52</v>
      </c>
      <c r="BF49" s="17" t="s">
        <v>111</v>
      </c>
      <c r="BG49" s="17" t="s">
        <v>52</v>
      </c>
      <c r="BH49" s="17" t="s">
        <v>111</v>
      </c>
      <c r="BI49" s="17" t="s">
        <v>50</v>
      </c>
      <c r="BJ49" s="17" t="s">
        <v>50</v>
      </c>
      <c r="BK49" s="17" t="s">
        <v>111</v>
      </c>
      <c r="BL49" s="17" t="s">
        <v>52</v>
      </c>
      <c r="BM49" s="17" t="s">
        <v>111</v>
      </c>
      <c r="BN49" s="17" t="s">
        <v>50</v>
      </c>
      <c r="BO49" s="17" t="s">
        <v>111</v>
      </c>
      <c r="BP49" s="17" t="s">
        <v>52</v>
      </c>
      <c r="BQ49" s="17" t="s">
        <v>111</v>
      </c>
      <c r="BR49" s="17" t="s">
        <v>52</v>
      </c>
      <c r="BS49" s="17" t="s">
        <v>111</v>
      </c>
      <c r="BT49" s="17" t="s">
        <v>52</v>
      </c>
      <c r="BU49" s="17" t="s">
        <v>111</v>
      </c>
      <c r="BV49" s="27" t="s">
        <v>100</v>
      </c>
      <c r="BW49" s="17" t="s">
        <v>111</v>
      </c>
      <c r="BX49" s="17" t="s">
        <v>50</v>
      </c>
      <c r="BY49" s="17" t="s">
        <v>111</v>
      </c>
      <c r="BZ49" s="17" t="s">
        <v>50</v>
      </c>
      <c r="CA49" s="27" t="s">
        <v>100</v>
      </c>
      <c r="CB49" s="17" t="s">
        <v>111</v>
      </c>
      <c r="CC49" s="27" t="s">
        <v>100</v>
      </c>
      <c r="CD49" s="17" t="s">
        <v>111</v>
      </c>
      <c r="CE49" s="27" t="s">
        <v>100</v>
      </c>
      <c r="CF49" s="17" t="s">
        <v>111</v>
      </c>
      <c r="CG49" s="17" t="s">
        <v>50</v>
      </c>
      <c r="CH49" s="17" t="s">
        <v>50</v>
      </c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</row>
    <row r="50" ht="16.5" customHeight="1">
      <c r="A50" s="39" t="s">
        <v>447</v>
      </c>
      <c r="B50" s="17" t="s">
        <v>449</v>
      </c>
      <c r="C50" s="16">
        <v>1.038868687E9</v>
      </c>
      <c r="D50" s="66" t="s">
        <v>49</v>
      </c>
      <c r="E50" s="22"/>
      <c r="F50" s="18"/>
      <c r="G50" s="22"/>
      <c r="H50" s="22"/>
      <c r="I50" s="22"/>
      <c r="J50" s="20"/>
      <c r="K50" s="22"/>
      <c r="L50" s="22"/>
      <c r="M50" s="22"/>
      <c r="N50" s="18"/>
      <c r="O50" s="27"/>
      <c r="P50" s="27"/>
      <c r="Q50" s="27"/>
      <c r="R50" s="27"/>
      <c r="S50" s="27"/>
      <c r="T50" s="27"/>
      <c r="U50" s="27"/>
      <c r="V50" s="27"/>
      <c r="W50" s="18"/>
      <c r="X50" s="27"/>
      <c r="Y50" s="27"/>
      <c r="Z50" s="27"/>
      <c r="AA50" s="27"/>
      <c r="AB50" s="27"/>
      <c r="AC50" s="27"/>
      <c r="AD50" s="18"/>
      <c r="AE50" s="27"/>
      <c r="AF50" s="27"/>
      <c r="AG50" s="18"/>
      <c r="AH50" s="27"/>
      <c r="AI50" s="27"/>
      <c r="AJ50" s="27"/>
      <c r="AK50" s="27"/>
      <c r="AL50" s="18"/>
      <c r="AM50" s="17"/>
      <c r="AN50" s="17"/>
      <c r="AO50" s="27"/>
      <c r="AP50" s="27"/>
      <c r="AQ50" s="17"/>
      <c r="AR50" s="17"/>
      <c r="AS50" s="18"/>
      <c r="AT50" s="17" t="s">
        <v>111</v>
      </c>
      <c r="AU50" s="19" t="s">
        <v>51</v>
      </c>
      <c r="AV50" s="17" t="s">
        <v>111</v>
      </c>
      <c r="AW50" s="19" t="s">
        <v>51</v>
      </c>
      <c r="AX50" s="18" t="s">
        <v>52</v>
      </c>
      <c r="AY50" s="18" t="s">
        <v>50</v>
      </c>
      <c r="AZ50" s="17" t="s">
        <v>111</v>
      </c>
      <c r="BA50" s="19" t="s">
        <v>51</v>
      </c>
      <c r="BB50" s="17" t="s">
        <v>111</v>
      </c>
      <c r="BC50" s="19" t="s">
        <v>51</v>
      </c>
      <c r="BD50" s="17"/>
      <c r="BE50" s="17"/>
      <c r="BF50" s="17"/>
      <c r="BG50" s="17"/>
      <c r="BH50" s="17"/>
      <c r="BI50" s="17"/>
      <c r="BJ50" s="17"/>
      <c r="BK50" s="24"/>
      <c r="BL50" s="24"/>
      <c r="BM50" s="17"/>
      <c r="BN50" s="17"/>
      <c r="BO50" s="17"/>
      <c r="BP50" s="17"/>
      <c r="BQ50" s="17"/>
      <c r="BR50" s="17"/>
      <c r="BS50" s="17"/>
      <c r="BT50" s="17"/>
      <c r="BU50" s="17" t="s">
        <v>52</v>
      </c>
      <c r="BV50" s="17" t="s">
        <v>50</v>
      </c>
      <c r="BW50" s="17" t="s">
        <v>50</v>
      </c>
      <c r="BX50" s="17" t="s">
        <v>50</v>
      </c>
      <c r="BY50" s="17" t="s">
        <v>50</v>
      </c>
      <c r="BZ50" s="17" t="s">
        <v>50</v>
      </c>
      <c r="CA50" s="17" t="s">
        <v>50</v>
      </c>
      <c r="CB50" s="19" t="s">
        <v>51</v>
      </c>
      <c r="CC50" s="19" t="s">
        <v>51</v>
      </c>
      <c r="CD50" s="17" t="s">
        <v>50</v>
      </c>
      <c r="CE50" s="17" t="s">
        <v>50</v>
      </c>
      <c r="CF50" s="17" t="s">
        <v>52</v>
      </c>
      <c r="CG50" s="17" t="s">
        <v>52</v>
      </c>
      <c r="CH50" s="17" t="s">
        <v>52</v>
      </c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</row>
    <row r="51" ht="16.5" customHeight="1">
      <c r="A51" s="31" t="s">
        <v>451</v>
      </c>
      <c r="B51" s="17" t="s">
        <v>453</v>
      </c>
      <c r="C51" s="16">
        <v>1.032178131E9</v>
      </c>
      <c r="D51" s="17" t="s">
        <v>49</v>
      </c>
      <c r="E51" s="22"/>
      <c r="F51" s="22"/>
      <c r="G51" s="19" t="s">
        <v>144</v>
      </c>
      <c r="H51" s="22"/>
      <c r="I51" s="19" t="s">
        <v>162</v>
      </c>
      <c r="J51" s="22"/>
      <c r="K51" s="18" t="s">
        <v>50</v>
      </c>
      <c r="L51" s="22"/>
      <c r="M51" s="19" t="s">
        <v>163</v>
      </c>
      <c r="N51" s="22"/>
      <c r="O51" s="27" t="s">
        <v>100</v>
      </c>
      <c r="P51" s="20" t="s">
        <v>52</v>
      </c>
      <c r="Q51" s="27" t="s">
        <v>100</v>
      </c>
      <c r="R51" s="18" t="s">
        <v>50</v>
      </c>
      <c r="S51" s="27" t="s">
        <v>100</v>
      </c>
      <c r="T51" s="18" t="s">
        <v>50</v>
      </c>
      <c r="U51" s="27" t="s">
        <v>100</v>
      </c>
      <c r="V51" s="18" t="s">
        <v>50</v>
      </c>
      <c r="W51" s="18" t="s">
        <v>50</v>
      </c>
      <c r="X51" s="18" t="s">
        <v>51</v>
      </c>
      <c r="Y51" s="18" t="s">
        <v>50</v>
      </c>
      <c r="Z51" s="27" t="s">
        <v>100</v>
      </c>
      <c r="AA51" s="18" t="s">
        <v>50</v>
      </c>
      <c r="AB51" s="27" t="s">
        <v>100</v>
      </c>
      <c r="AC51" s="18" t="s">
        <v>50</v>
      </c>
      <c r="AD51" s="27" t="s">
        <v>100</v>
      </c>
      <c r="AE51" s="18" t="s">
        <v>50</v>
      </c>
      <c r="AF51" s="27" t="s">
        <v>100</v>
      </c>
      <c r="AG51" s="27" t="s">
        <v>100</v>
      </c>
      <c r="AH51" s="27" t="s">
        <v>100</v>
      </c>
      <c r="AI51" s="27" t="s">
        <v>100</v>
      </c>
      <c r="AJ51" s="27" t="s">
        <v>100</v>
      </c>
      <c r="AK51" s="27" t="s">
        <v>100</v>
      </c>
      <c r="AL51" s="18" t="s">
        <v>50</v>
      </c>
      <c r="AM51" s="17" t="s">
        <v>165</v>
      </c>
      <c r="AN51" s="17" t="s">
        <v>165</v>
      </c>
      <c r="AO51" s="17" t="s">
        <v>165</v>
      </c>
      <c r="AP51" s="17" t="s">
        <v>165</v>
      </c>
      <c r="AQ51" s="17" t="s">
        <v>165</v>
      </c>
      <c r="AR51" s="17" t="s">
        <v>165</v>
      </c>
      <c r="AS51" s="17" t="s">
        <v>165</v>
      </c>
      <c r="AT51" s="17" t="s">
        <v>111</v>
      </c>
      <c r="AU51" s="17" t="s">
        <v>111</v>
      </c>
      <c r="AV51" s="17" t="s">
        <v>111</v>
      </c>
      <c r="AW51" s="17" t="s">
        <v>111</v>
      </c>
      <c r="AX51" s="17" t="s">
        <v>111</v>
      </c>
      <c r="AY51" s="17" t="s">
        <v>111</v>
      </c>
      <c r="AZ51" s="19" t="s">
        <v>51</v>
      </c>
      <c r="BA51" s="17" t="s">
        <v>111</v>
      </c>
      <c r="BB51" s="19" t="s">
        <v>51</v>
      </c>
      <c r="BC51" s="17" t="s">
        <v>111</v>
      </c>
      <c r="BD51" s="17" t="s">
        <v>165</v>
      </c>
      <c r="BE51" s="17"/>
      <c r="BF51" s="17" t="s">
        <v>165</v>
      </c>
      <c r="BG51" s="17" t="s">
        <v>165</v>
      </c>
      <c r="BH51" s="17" t="s">
        <v>50</v>
      </c>
      <c r="BI51" s="19" t="s">
        <v>51</v>
      </c>
      <c r="BJ51" s="17" t="s">
        <v>50</v>
      </c>
      <c r="BK51" s="19" t="s">
        <v>51</v>
      </c>
      <c r="BL51" s="19" t="s">
        <v>51</v>
      </c>
      <c r="BM51" s="17" t="s">
        <v>50</v>
      </c>
      <c r="BN51" s="17" t="s">
        <v>50</v>
      </c>
      <c r="BO51" s="17" t="s">
        <v>52</v>
      </c>
      <c r="BP51" s="17" t="s">
        <v>52</v>
      </c>
      <c r="BQ51" s="17" t="s">
        <v>50</v>
      </c>
      <c r="BR51" s="17" t="s">
        <v>50</v>
      </c>
      <c r="BS51" s="17" t="s">
        <v>52</v>
      </c>
      <c r="BT51" s="17" t="s">
        <v>52</v>
      </c>
      <c r="BU51" s="17" t="s">
        <v>51</v>
      </c>
      <c r="BV51" s="17" t="s">
        <v>51</v>
      </c>
      <c r="BW51" s="17" t="s">
        <v>50</v>
      </c>
      <c r="BX51" s="17" t="s">
        <v>50</v>
      </c>
      <c r="BY51" s="19" t="s">
        <v>51</v>
      </c>
      <c r="BZ51" s="19" t="s">
        <v>51</v>
      </c>
      <c r="CA51" s="19" t="s">
        <v>51</v>
      </c>
      <c r="CB51" s="17" t="s">
        <v>50</v>
      </c>
      <c r="CC51" s="17" t="s">
        <v>50</v>
      </c>
      <c r="CD51" s="19" t="s">
        <v>51</v>
      </c>
      <c r="CE51" s="19" t="s">
        <v>51</v>
      </c>
      <c r="CF51" s="17" t="s">
        <v>50</v>
      </c>
      <c r="CG51" s="17" t="s">
        <v>50</v>
      </c>
      <c r="CH51" s="17" t="s">
        <v>50</v>
      </c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</row>
    <row r="52" ht="16.5" customHeight="1">
      <c r="A52" s="31" t="s">
        <v>455</v>
      </c>
      <c r="B52" s="17" t="s">
        <v>457</v>
      </c>
      <c r="C52" s="16">
        <v>1.017925946E9</v>
      </c>
      <c r="D52" s="17" t="s">
        <v>124</v>
      </c>
      <c r="E52" s="18" t="s">
        <v>50</v>
      </c>
      <c r="F52" s="22"/>
      <c r="G52" s="19" t="s">
        <v>51</v>
      </c>
      <c r="H52" s="22"/>
      <c r="I52" s="19" t="s">
        <v>51</v>
      </c>
      <c r="J52" s="22"/>
      <c r="K52" s="18" t="s">
        <v>50</v>
      </c>
      <c r="L52" s="22"/>
      <c r="M52" s="18" t="s">
        <v>50</v>
      </c>
      <c r="N52" s="19" t="s">
        <v>51</v>
      </c>
      <c r="O52" s="19" t="s">
        <v>51</v>
      </c>
      <c r="P52" s="18" t="s">
        <v>50</v>
      </c>
      <c r="Q52" s="20" t="s">
        <v>99</v>
      </c>
      <c r="R52" s="18" t="s">
        <v>50</v>
      </c>
      <c r="S52" s="18" t="s">
        <v>50</v>
      </c>
      <c r="T52" s="18" t="s">
        <v>50</v>
      </c>
      <c r="U52" s="18" t="s">
        <v>50</v>
      </c>
      <c r="V52" s="18" t="s">
        <v>50</v>
      </c>
      <c r="W52" s="18" t="s">
        <v>51</v>
      </c>
      <c r="X52" s="18" t="s">
        <v>51</v>
      </c>
      <c r="Y52" s="18" t="s">
        <v>50</v>
      </c>
      <c r="Z52" s="18" t="s">
        <v>51</v>
      </c>
      <c r="AA52" s="18" t="s">
        <v>51</v>
      </c>
      <c r="AB52" s="18" t="s">
        <v>50</v>
      </c>
      <c r="AC52" s="18" t="s">
        <v>50</v>
      </c>
      <c r="AD52" s="18" t="s">
        <v>50</v>
      </c>
      <c r="AE52" s="18" t="s">
        <v>50</v>
      </c>
      <c r="AF52" s="18" t="s">
        <v>51</v>
      </c>
      <c r="AG52" s="18" t="s">
        <v>50</v>
      </c>
      <c r="AH52" s="18" t="s">
        <v>50</v>
      </c>
      <c r="AI52" s="18" t="s">
        <v>50</v>
      </c>
      <c r="AJ52" s="18" t="s">
        <v>51</v>
      </c>
      <c r="AK52" s="18" t="s">
        <v>51</v>
      </c>
      <c r="AL52" s="18" t="s">
        <v>50</v>
      </c>
      <c r="AM52" s="17" t="s">
        <v>51</v>
      </c>
      <c r="AN52" s="17" t="s">
        <v>51</v>
      </c>
      <c r="AO52" s="17" t="s">
        <v>50</v>
      </c>
      <c r="AP52" s="17" t="s">
        <v>50</v>
      </c>
      <c r="AQ52" s="17" t="s">
        <v>51</v>
      </c>
      <c r="AR52" s="17" t="s">
        <v>51</v>
      </c>
      <c r="AS52" s="17" t="s">
        <v>50</v>
      </c>
      <c r="AT52" s="19" t="s">
        <v>51</v>
      </c>
      <c r="AU52" s="17" t="s">
        <v>111</v>
      </c>
      <c r="AV52" s="19" t="s">
        <v>51</v>
      </c>
      <c r="AW52" s="17" t="s">
        <v>111</v>
      </c>
      <c r="AX52" s="19" t="s">
        <v>51</v>
      </c>
      <c r="AY52" s="17" t="s">
        <v>111</v>
      </c>
      <c r="AZ52" s="19" t="s">
        <v>51</v>
      </c>
      <c r="BA52" s="17" t="s">
        <v>111</v>
      </c>
      <c r="BB52" s="19" t="s">
        <v>51</v>
      </c>
      <c r="BC52" s="17" t="s">
        <v>50</v>
      </c>
      <c r="BD52" s="17" t="s">
        <v>50</v>
      </c>
      <c r="BE52" s="17" t="s">
        <v>51</v>
      </c>
      <c r="BF52" s="17" t="s">
        <v>50</v>
      </c>
      <c r="BG52" s="17" t="s">
        <v>50</v>
      </c>
      <c r="BH52" s="18" t="s">
        <v>52</v>
      </c>
      <c r="BI52" s="18" t="s">
        <v>52</v>
      </c>
      <c r="BJ52" s="18" t="s">
        <v>52</v>
      </c>
      <c r="BK52" s="17" t="s">
        <v>50</v>
      </c>
      <c r="BL52" s="17" t="s">
        <v>50</v>
      </c>
      <c r="BM52" s="17" t="s">
        <v>51</v>
      </c>
      <c r="BN52" s="17" t="s">
        <v>51</v>
      </c>
      <c r="BO52" s="17" t="s">
        <v>50</v>
      </c>
      <c r="BP52" s="17" t="s">
        <v>50</v>
      </c>
      <c r="BQ52" s="17" t="s">
        <v>51</v>
      </c>
      <c r="BR52" s="17" t="s">
        <v>51</v>
      </c>
      <c r="BS52" s="17" t="s">
        <v>50</v>
      </c>
      <c r="BT52" s="17" t="s">
        <v>50</v>
      </c>
      <c r="BU52" s="17" t="s">
        <v>51</v>
      </c>
      <c r="BV52" s="17" t="s">
        <v>51</v>
      </c>
      <c r="BW52" s="17" t="s">
        <v>50</v>
      </c>
      <c r="BX52" s="17" t="s">
        <v>50</v>
      </c>
      <c r="BY52" s="19" t="s">
        <v>51</v>
      </c>
      <c r="BZ52" s="19" t="s">
        <v>51</v>
      </c>
      <c r="CA52" s="19" t="s">
        <v>51</v>
      </c>
      <c r="CB52" s="17" t="s">
        <v>50</v>
      </c>
      <c r="CC52" s="17" t="s">
        <v>50</v>
      </c>
      <c r="CD52" s="19" t="s">
        <v>51</v>
      </c>
      <c r="CE52" s="19" t="s">
        <v>51</v>
      </c>
      <c r="CF52" s="17" t="s">
        <v>50</v>
      </c>
      <c r="CG52" s="17" t="s">
        <v>50</v>
      </c>
      <c r="CH52" s="17" t="s">
        <v>50</v>
      </c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</row>
    <row r="53" ht="16.5" customHeight="1">
      <c r="A53" s="31" t="s">
        <v>460</v>
      </c>
      <c r="B53" s="17" t="s">
        <v>461</v>
      </c>
      <c r="C53" s="16">
        <v>1.036449031E9</v>
      </c>
      <c r="D53" s="17" t="s">
        <v>221</v>
      </c>
      <c r="E53" s="19" t="s">
        <v>51</v>
      </c>
      <c r="F53" s="22"/>
      <c r="G53" s="22"/>
      <c r="H53" s="22"/>
      <c r="I53" s="20" t="s">
        <v>52</v>
      </c>
      <c r="J53" s="22"/>
      <c r="K53" s="22"/>
      <c r="L53" s="20" t="s">
        <v>52</v>
      </c>
      <c r="M53" s="22"/>
      <c r="N53" s="22"/>
      <c r="O53" s="27" t="s">
        <v>100</v>
      </c>
      <c r="P53" s="27" t="s">
        <v>100</v>
      </c>
      <c r="Q53" s="27" t="s">
        <v>100</v>
      </c>
      <c r="R53" s="27" t="s">
        <v>100</v>
      </c>
      <c r="S53" s="27" t="s">
        <v>100</v>
      </c>
      <c r="T53" s="27" t="s">
        <v>100</v>
      </c>
      <c r="U53" s="27" t="s">
        <v>100</v>
      </c>
      <c r="V53" s="27" t="s">
        <v>100</v>
      </c>
      <c r="W53" s="18" t="s">
        <v>50</v>
      </c>
      <c r="X53" s="27" t="s">
        <v>100</v>
      </c>
      <c r="Y53" s="27" t="s">
        <v>100</v>
      </c>
      <c r="Z53" s="27" t="s">
        <v>100</v>
      </c>
      <c r="AA53" s="27" t="s">
        <v>100</v>
      </c>
      <c r="AB53" s="27" t="s">
        <v>100</v>
      </c>
      <c r="AC53" s="27" t="s">
        <v>100</v>
      </c>
      <c r="AD53" s="18" t="s">
        <v>50</v>
      </c>
      <c r="AE53" s="27" t="s">
        <v>100</v>
      </c>
      <c r="AF53" s="27" t="s">
        <v>50</v>
      </c>
      <c r="AG53" s="18" t="s">
        <v>50</v>
      </c>
      <c r="AH53" s="27" t="s">
        <v>100</v>
      </c>
      <c r="AI53" s="27" t="s">
        <v>100</v>
      </c>
      <c r="AJ53" s="27" t="s">
        <v>100</v>
      </c>
      <c r="AK53" s="27" t="s">
        <v>100</v>
      </c>
      <c r="AL53" s="18" t="s">
        <v>50</v>
      </c>
      <c r="AM53" s="18" t="s">
        <v>50</v>
      </c>
      <c r="AN53" s="18" t="s">
        <v>50</v>
      </c>
      <c r="AO53" s="17" t="s">
        <v>52</v>
      </c>
      <c r="AP53" s="17" t="s">
        <v>52</v>
      </c>
      <c r="AQ53" s="17" t="s">
        <v>50</v>
      </c>
      <c r="AR53" s="17" t="s">
        <v>50</v>
      </c>
      <c r="AS53" s="18" t="s">
        <v>52</v>
      </c>
      <c r="AT53" s="18" t="s">
        <v>50</v>
      </c>
      <c r="AU53" s="17" t="s">
        <v>111</v>
      </c>
      <c r="AV53" s="19" t="s">
        <v>373</v>
      </c>
      <c r="AW53" s="17" t="s">
        <v>111</v>
      </c>
      <c r="AX53" s="27" t="s">
        <v>100</v>
      </c>
      <c r="AY53" s="17" t="s">
        <v>111</v>
      </c>
      <c r="AZ53" s="19" t="s">
        <v>373</v>
      </c>
      <c r="BA53" s="17" t="s">
        <v>111</v>
      </c>
      <c r="BB53" s="36" t="s">
        <v>125</v>
      </c>
      <c r="BC53" s="27" t="s">
        <v>100</v>
      </c>
      <c r="BD53" s="27" t="s">
        <v>100</v>
      </c>
      <c r="BE53" s="17" t="s">
        <v>52</v>
      </c>
      <c r="BF53" s="27" t="s">
        <v>100</v>
      </c>
      <c r="BG53" s="27" t="s">
        <v>100</v>
      </c>
      <c r="BH53" s="27" t="s">
        <v>100</v>
      </c>
      <c r="BI53" s="27" t="s">
        <v>100</v>
      </c>
      <c r="BJ53" s="27" t="s">
        <v>100</v>
      </c>
      <c r="BK53" s="27" t="s">
        <v>100</v>
      </c>
      <c r="BL53" s="27" t="s">
        <v>100</v>
      </c>
      <c r="BM53" s="27" t="s">
        <v>100</v>
      </c>
      <c r="BN53" s="27" t="s">
        <v>100</v>
      </c>
      <c r="BO53" s="27" t="s">
        <v>100</v>
      </c>
      <c r="BP53" s="27" t="s">
        <v>100</v>
      </c>
      <c r="BQ53" s="27" t="s">
        <v>100</v>
      </c>
      <c r="BR53" s="27" t="s">
        <v>100</v>
      </c>
      <c r="BS53" s="27" t="s">
        <v>100</v>
      </c>
      <c r="BT53" s="27" t="s">
        <v>100</v>
      </c>
      <c r="BU53" s="27" t="s">
        <v>100</v>
      </c>
      <c r="BV53" s="27" t="s">
        <v>100</v>
      </c>
      <c r="BW53" s="27" t="s">
        <v>100</v>
      </c>
      <c r="BX53" s="27" t="s">
        <v>100</v>
      </c>
      <c r="BY53" s="27" t="s">
        <v>100</v>
      </c>
      <c r="BZ53" s="27" t="s">
        <v>100</v>
      </c>
      <c r="CA53" s="27" t="s">
        <v>100</v>
      </c>
      <c r="CB53" s="27" t="s">
        <v>100</v>
      </c>
      <c r="CC53" s="27" t="s">
        <v>100</v>
      </c>
      <c r="CD53" s="27" t="s">
        <v>100</v>
      </c>
      <c r="CE53" s="27" t="s">
        <v>100</v>
      </c>
      <c r="CF53" s="27" t="s">
        <v>100</v>
      </c>
      <c r="CG53" s="27" t="s">
        <v>100</v>
      </c>
      <c r="CH53" s="27" t="s">
        <v>100</v>
      </c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</row>
    <row r="54" ht="16.5" customHeight="1">
      <c r="A54" s="31" t="s">
        <v>381</v>
      </c>
      <c r="B54" s="17" t="s">
        <v>462</v>
      </c>
      <c r="C54" s="16">
        <v>1.038867205E9</v>
      </c>
      <c r="D54" s="17" t="s">
        <v>127</v>
      </c>
      <c r="E54" s="19" t="s">
        <v>51</v>
      </c>
      <c r="F54" s="18" t="s">
        <v>50</v>
      </c>
      <c r="G54" s="22"/>
      <c r="H54" s="22"/>
      <c r="I54" s="19" t="s">
        <v>289</v>
      </c>
      <c r="J54" s="22"/>
      <c r="K54" s="22"/>
      <c r="L54" s="22"/>
      <c r="M54" s="22"/>
      <c r="N54" s="22"/>
      <c r="O54" s="19" t="s">
        <v>51</v>
      </c>
      <c r="P54" s="18" t="s">
        <v>50</v>
      </c>
      <c r="Q54" s="18" t="s">
        <v>50</v>
      </c>
      <c r="R54" s="18" t="s">
        <v>50</v>
      </c>
      <c r="S54" s="19" t="s">
        <v>51</v>
      </c>
      <c r="T54" s="18" t="s">
        <v>50</v>
      </c>
      <c r="U54" s="18" t="s">
        <v>50</v>
      </c>
      <c r="V54" s="18" t="s">
        <v>50</v>
      </c>
      <c r="W54" s="18" t="s">
        <v>51</v>
      </c>
      <c r="X54" s="18" t="s">
        <v>50</v>
      </c>
      <c r="Y54" s="18" t="s">
        <v>50</v>
      </c>
      <c r="Z54" s="18" t="s">
        <v>52</v>
      </c>
      <c r="AA54" s="18" t="s">
        <v>51</v>
      </c>
      <c r="AB54" s="18" t="s">
        <v>50</v>
      </c>
      <c r="AC54" s="18" t="s">
        <v>50</v>
      </c>
      <c r="AD54" s="18" t="s">
        <v>50</v>
      </c>
      <c r="AE54" s="18" t="s">
        <v>51</v>
      </c>
      <c r="AF54" s="18" t="s">
        <v>51</v>
      </c>
      <c r="AG54" s="18" t="s">
        <v>50</v>
      </c>
      <c r="AH54" s="18" t="s">
        <v>50</v>
      </c>
      <c r="AI54" s="18" t="s">
        <v>50</v>
      </c>
      <c r="AJ54" s="18" t="s">
        <v>51</v>
      </c>
      <c r="AK54" s="18" t="s">
        <v>50</v>
      </c>
      <c r="AL54" s="18" t="s">
        <v>50</v>
      </c>
      <c r="AM54" s="17" t="s">
        <v>51</v>
      </c>
      <c r="AN54" s="17" t="s">
        <v>50</v>
      </c>
      <c r="AO54" s="17" t="s">
        <v>51</v>
      </c>
      <c r="AP54" s="17" t="s">
        <v>51</v>
      </c>
      <c r="AQ54" s="17" t="s">
        <v>50</v>
      </c>
      <c r="AR54" s="17" t="s">
        <v>50</v>
      </c>
      <c r="AS54" s="17" t="s">
        <v>51</v>
      </c>
      <c r="AT54" s="17" t="s">
        <v>111</v>
      </c>
      <c r="AU54" s="17" t="s">
        <v>384</v>
      </c>
      <c r="AV54" s="17" t="s">
        <v>111</v>
      </c>
      <c r="AW54" s="17" t="s">
        <v>384</v>
      </c>
      <c r="AX54" s="17" t="s">
        <v>111</v>
      </c>
      <c r="AY54" s="17" t="s">
        <v>384</v>
      </c>
      <c r="AZ54" s="17" t="s">
        <v>111</v>
      </c>
      <c r="BA54" s="17" t="s">
        <v>384</v>
      </c>
      <c r="BB54" s="17" t="s">
        <v>111</v>
      </c>
      <c r="BC54" s="17" t="s">
        <v>111</v>
      </c>
      <c r="BD54" s="17" t="s">
        <v>50</v>
      </c>
      <c r="BE54" s="17" t="s">
        <v>51</v>
      </c>
      <c r="BF54" s="17" t="s">
        <v>50</v>
      </c>
      <c r="BG54" s="17" t="s">
        <v>50</v>
      </c>
      <c r="BH54" s="17" t="s">
        <v>50</v>
      </c>
      <c r="BI54" s="17" t="s">
        <v>50</v>
      </c>
      <c r="BJ54" s="17" t="s">
        <v>50</v>
      </c>
      <c r="BK54" s="19" t="s">
        <v>51</v>
      </c>
      <c r="BL54" s="19" t="s">
        <v>51</v>
      </c>
      <c r="BM54" s="17" t="s">
        <v>50</v>
      </c>
      <c r="BN54" s="17" t="s">
        <v>50</v>
      </c>
      <c r="BO54" s="17" t="s">
        <v>51</v>
      </c>
      <c r="BP54" s="17" t="s">
        <v>51</v>
      </c>
      <c r="BQ54" s="17" t="s">
        <v>50</v>
      </c>
      <c r="BR54" s="17" t="s">
        <v>50</v>
      </c>
      <c r="BS54" s="17" t="s">
        <v>51</v>
      </c>
      <c r="BT54" s="17" t="s">
        <v>51</v>
      </c>
      <c r="BU54" s="17" t="s">
        <v>50</v>
      </c>
      <c r="BV54" s="17" t="s">
        <v>50</v>
      </c>
      <c r="BW54" s="36" t="s">
        <v>125</v>
      </c>
      <c r="BX54" s="19" t="s">
        <v>51</v>
      </c>
      <c r="BY54" s="17" t="s">
        <v>50</v>
      </c>
      <c r="BZ54" s="17" t="s">
        <v>50</v>
      </c>
      <c r="CA54" s="17" t="s">
        <v>50</v>
      </c>
      <c r="CB54" s="19" t="s">
        <v>51</v>
      </c>
      <c r="CC54" s="17" t="s">
        <v>50</v>
      </c>
      <c r="CD54" s="17" t="s">
        <v>50</v>
      </c>
      <c r="CE54" s="17" t="s">
        <v>50</v>
      </c>
      <c r="CF54" s="19" t="s">
        <v>51</v>
      </c>
      <c r="CG54" s="19" t="s">
        <v>51</v>
      </c>
      <c r="CH54" s="19" t="s">
        <v>51</v>
      </c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</row>
    <row r="55" ht="16.5" customHeight="1">
      <c r="A55" s="31" t="s">
        <v>463</v>
      </c>
      <c r="B55" s="17" t="s">
        <v>464</v>
      </c>
      <c r="C55" s="16">
        <v>1.041532409E9</v>
      </c>
      <c r="D55" s="17" t="s">
        <v>49</v>
      </c>
      <c r="E55" s="19"/>
      <c r="F55" s="18"/>
      <c r="G55" s="22"/>
      <c r="H55" s="19"/>
      <c r="I55" s="22"/>
      <c r="J55" s="15"/>
      <c r="K55" s="22"/>
      <c r="L55" s="19"/>
      <c r="M55" s="22"/>
      <c r="N55" s="22"/>
      <c r="O55" s="19"/>
      <c r="P55" s="18"/>
      <c r="Q55" s="18"/>
      <c r="R55" s="18"/>
      <c r="S55" s="19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7"/>
      <c r="AN55" s="17"/>
      <c r="AO55" s="17"/>
      <c r="AP55" s="17"/>
      <c r="AQ55" s="17"/>
      <c r="AR55" s="17"/>
      <c r="AS55" s="17"/>
      <c r="AT55" s="18" t="s">
        <v>50</v>
      </c>
      <c r="AU55" s="19" t="s">
        <v>51</v>
      </c>
      <c r="AV55" s="18" t="s">
        <v>52</v>
      </c>
      <c r="AW55" s="17" t="s">
        <v>111</v>
      </c>
      <c r="AX55" s="17" t="s">
        <v>111</v>
      </c>
      <c r="AY55" s="17" t="s">
        <v>111</v>
      </c>
      <c r="AZ55" s="18" t="s">
        <v>52</v>
      </c>
      <c r="BA55" s="17" t="s">
        <v>111</v>
      </c>
      <c r="BB55" s="17" t="s">
        <v>51</v>
      </c>
      <c r="BC55" s="17" t="s">
        <v>111</v>
      </c>
      <c r="BD55" s="17"/>
      <c r="BE55" s="17"/>
      <c r="BF55" s="17"/>
      <c r="BG55" s="17"/>
      <c r="BH55" s="17"/>
      <c r="BI55" s="17"/>
      <c r="BJ55" s="17"/>
      <c r="BK55" s="19"/>
      <c r="BL55" s="19"/>
      <c r="BM55" s="17"/>
      <c r="BN55" s="17"/>
      <c r="BO55" s="17"/>
      <c r="BP55" s="17"/>
      <c r="BQ55" s="17"/>
      <c r="BR55" s="17"/>
      <c r="BS55" s="17"/>
      <c r="BT55" s="17"/>
      <c r="BU55" s="17" t="s">
        <v>51</v>
      </c>
      <c r="BV55" s="17" t="s">
        <v>50</v>
      </c>
      <c r="BW55" s="18" t="s">
        <v>52</v>
      </c>
      <c r="BX55" s="18" t="s">
        <v>52</v>
      </c>
      <c r="BY55" s="17" t="s">
        <v>50</v>
      </c>
      <c r="BZ55" s="17" t="s">
        <v>50</v>
      </c>
      <c r="CA55" s="17" t="s">
        <v>50</v>
      </c>
      <c r="CB55" s="19" t="s">
        <v>51</v>
      </c>
      <c r="CC55" s="17" t="s">
        <v>50</v>
      </c>
      <c r="CD55" s="17" t="s">
        <v>50</v>
      </c>
      <c r="CE55" s="17" t="s">
        <v>50</v>
      </c>
      <c r="CF55" s="18" t="s">
        <v>52</v>
      </c>
      <c r="CG55" s="18" t="s">
        <v>52</v>
      </c>
      <c r="CH55" s="18" t="s">
        <v>52</v>
      </c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</row>
    <row r="56" ht="16.5" customHeight="1">
      <c r="A56" s="31" t="s">
        <v>465</v>
      </c>
      <c r="B56" s="17" t="s">
        <v>466</v>
      </c>
      <c r="C56" s="16">
        <v>1.039454834E9</v>
      </c>
      <c r="D56" s="17" t="s">
        <v>49</v>
      </c>
      <c r="E56" s="19"/>
      <c r="F56" s="18"/>
      <c r="G56" s="22"/>
      <c r="H56" s="19"/>
      <c r="I56" s="22"/>
      <c r="J56" s="15"/>
      <c r="K56" s="22"/>
      <c r="L56" s="19"/>
      <c r="M56" s="22"/>
      <c r="N56" s="22"/>
      <c r="O56" s="19"/>
      <c r="P56" s="18"/>
      <c r="Q56" s="18"/>
      <c r="R56" s="18"/>
      <c r="S56" s="19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7"/>
      <c r="AN56" s="17"/>
      <c r="AO56" s="17"/>
      <c r="AP56" s="17"/>
      <c r="AQ56" s="17"/>
      <c r="AR56" s="17"/>
      <c r="AS56" s="17"/>
      <c r="AT56" s="18" t="s">
        <v>50</v>
      </c>
      <c r="AU56" s="17" t="s">
        <v>111</v>
      </c>
      <c r="AV56" s="17" t="s">
        <v>111</v>
      </c>
      <c r="AW56" s="17" t="s">
        <v>111</v>
      </c>
      <c r="AX56" s="17" t="s">
        <v>111</v>
      </c>
      <c r="AY56" s="17" t="s">
        <v>111</v>
      </c>
      <c r="AZ56" s="18" t="s">
        <v>50</v>
      </c>
      <c r="BA56" s="17" t="s">
        <v>51</v>
      </c>
      <c r="BB56" s="17" t="s">
        <v>111</v>
      </c>
      <c r="BC56" s="17" t="s">
        <v>111</v>
      </c>
      <c r="BD56" s="17"/>
      <c r="BE56" s="17"/>
      <c r="BF56" s="17"/>
      <c r="BG56" s="17"/>
      <c r="BH56" s="17"/>
      <c r="BI56" s="17"/>
      <c r="BJ56" s="17"/>
      <c r="BK56" s="19"/>
      <c r="BL56" s="19"/>
      <c r="BM56" s="17"/>
      <c r="BN56" s="17"/>
      <c r="BO56" s="17"/>
      <c r="BP56" s="17"/>
      <c r="BQ56" s="17"/>
      <c r="BR56" s="17"/>
      <c r="BS56" s="17"/>
      <c r="BT56" s="17"/>
      <c r="BU56" s="17" t="s">
        <v>51</v>
      </c>
      <c r="BV56" s="17" t="s">
        <v>50</v>
      </c>
      <c r="BW56" s="18" t="s">
        <v>52</v>
      </c>
      <c r="BX56" s="18" t="s">
        <v>52</v>
      </c>
      <c r="BY56" s="17" t="s">
        <v>50</v>
      </c>
      <c r="BZ56" s="17" t="s">
        <v>50</v>
      </c>
      <c r="CA56" s="17" t="s">
        <v>50</v>
      </c>
      <c r="CB56" s="19" t="s">
        <v>51</v>
      </c>
      <c r="CC56" s="17" t="s">
        <v>50</v>
      </c>
      <c r="CD56" s="17" t="s">
        <v>50</v>
      </c>
      <c r="CE56" s="17" t="s">
        <v>50</v>
      </c>
      <c r="CF56" s="18" t="s">
        <v>52</v>
      </c>
      <c r="CG56" s="18" t="s">
        <v>52</v>
      </c>
      <c r="CH56" s="18" t="s">
        <v>52</v>
      </c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</row>
    <row r="57" ht="16.5" customHeight="1">
      <c r="A57" s="31" t="s">
        <v>467</v>
      </c>
      <c r="B57" s="17" t="s">
        <v>468</v>
      </c>
      <c r="C57" s="16">
        <v>1.125276976E9</v>
      </c>
      <c r="D57" s="17" t="s">
        <v>127</v>
      </c>
      <c r="E57" s="19" t="s">
        <v>51</v>
      </c>
      <c r="F57" s="18" t="s">
        <v>50</v>
      </c>
      <c r="G57" s="22"/>
      <c r="H57" s="19" t="s">
        <v>51</v>
      </c>
      <c r="I57" s="22"/>
      <c r="J57" s="15"/>
      <c r="K57" s="22"/>
      <c r="L57" s="19" t="s">
        <v>51</v>
      </c>
      <c r="M57" s="22"/>
      <c r="N57" s="22"/>
      <c r="O57" s="19" t="s">
        <v>51</v>
      </c>
      <c r="P57" s="18" t="s">
        <v>50</v>
      </c>
      <c r="Q57" s="18" t="s">
        <v>50</v>
      </c>
      <c r="R57" s="18" t="s">
        <v>50</v>
      </c>
      <c r="S57" s="19" t="s">
        <v>51</v>
      </c>
      <c r="T57" s="18" t="s">
        <v>50</v>
      </c>
      <c r="U57" s="18" t="s">
        <v>50</v>
      </c>
      <c r="V57" s="18" t="s">
        <v>50</v>
      </c>
      <c r="W57" s="18" t="s">
        <v>51</v>
      </c>
      <c r="X57" s="18" t="s">
        <v>50</v>
      </c>
      <c r="Y57" s="18" t="s">
        <v>50</v>
      </c>
      <c r="Z57" s="18" t="s">
        <v>51</v>
      </c>
      <c r="AA57" s="18" t="s">
        <v>51</v>
      </c>
      <c r="AB57" s="18" t="s">
        <v>50</v>
      </c>
      <c r="AC57" s="18" t="s">
        <v>50</v>
      </c>
      <c r="AD57" s="18" t="s">
        <v>50</v>
      </c>
      <c r="AE57" s="18" t="s">
        <v>51</v>
      </c>
      <c r="AF57" s="18" t="s">
        <v>51</v>
      </c>
      <c r="AG57" s="18" t="s">
        <v>50</v>
      </c>
      <c r="AH57" s="18" t="s">
        <v>50</v>
      </c>
      <c r="AI57" s="18" t="s">
        <v>50</v>
      </c>
      <c r="AJ57" s="18" t="s">
        <v>51</v>
      </c>
      <c r="AK57" s="18" t="s">
        <v>50</v>
      </c>
      <c r="AL57" s="18" t="s">
        <v>50</v>
      </c>
      <c r="AM57" s="17" t="s">
        <v>51</v>
      </c>
      <c r="AN57" s="17" t="s">
        <v>50</v>
      </c>
      <c r="AO57" s="17" t="s">
        <v>51</v>
      </c>
      <c r="AP57" s="17" t="s">
        <v>51</v>
      </c>
      <c r="AQ57" s="17" t="s">
        <v>50</v>
      </c>
      <c r="AR57" s="17" t="s">
        <v>50</v>
      </c>
      <c r="AS57" s="17" t="s">
        <v>51</v>
      </c>
      <c r="AT57" s="19" t="s">
        <v>51</v>
      </c>
      <c r="AU57" s="17" t="s">
        <v>111</v>
      </c>
      <c r="AV57" s="17" t="s">
        <v>111</v>
      </c>
      <c r="AW57" s="17" t="s">
        <v>111</v>
      </c>
      <c r="AX57" s="18" t="s">
        <v>50</v>
      </c>
      <c r="AY57" s="17" t="s">
        <v>111</v>
      </c>
      <c r="AZ57" s="17" t="s">
        <v>111</v>
      </c>
      <c r="BA57" s="17" t="s">
        <v>111</v>
      </c>
      <c r="BB57" s="17" t="s">
        <v>51</v>
      </c>
      <c r="BC57" s="17" t="s">
        <v>111</v>
      </c>
      <c r="BD57" s="17" t="s">
        <v>50</v>
      </c>
      <c r="BE57" s="17" t="s">
        <v>50</v>
      </c>
      <c r="BF57" s="17" t="s">
        <v>50</v>
      </c>
      <c r="BG57" s="17" t="s">
        <v>50</v>
      </c>
      <c r="BH57" s="17" t="s">
        <v>50</v>
      </c>
      <c r="BI57" s="17" t="s">
        <v>50</v>
      </c>
      <c r="BJ57" s="17" t="s">
        <v>50</v>
      </c>
      <c r="BK57" s="19" t="s">
        <v>51</v>
      </c>
      <c r="BL57" s="19" t="s">
        <v>51</v>
      </c>
      <c r="BM57" s="17" t="s">
        <v>50</v>
      </c>
      <c r="BN57" s="17" t="s">
        <v>50</v>
      </c>
      <c r="BO57" s="17" t="s">
        <v>51</v>
      </c>
      <c r="BP57" s="17" t="s">
        <v>51</v>
      </c>
      <c r="BQ57" s="17" t="s">
        <v>50</v>
      </c>
      <c r="BR57" s="17" t="s">
        <v>50</v>
      </c>
      <c r="BS57" s="17" t="s">
        <v>51</v>
      </c>
      <c r="BT57" s="17" t="s">
        <v>51</v>
      </c>
      <c r="BU57" s="17" t="s">
        <v>50</v>
      </c>
      <c r="BV57" s="17" t="s">
        <v>50</v>
      </c>
      <c r="BW57" s="36" t="s">
        <v>125</v>
      </c>
      <c r="BX57" s="17" t="s">
        <v>50</v>
      </c>
      <c r="BY57" s="36" t="s">
        <v>125</v>
      </c>
      <c r="BZ57" s="19" t="s">
        <v>51</v>
      </c>
      <c r="CA57" s="17" t="s">
        <v>50</v>
      </c>
      <c r="CB57" s="36" t="s">
        <v>125</v>
      </c>
      <c r="CC57" s="19" t="s">
        <v>184</v>
      </c>
      <c r="CD57" s="36" t="s">
        <v>125</v>
      </c>
      <c r="CE57" s="17" t="s">
        <v>50</v>
      </c>
      <c r="CF57" s="36" t="s">
        <v>125</v>
      </c>
      <c r="CG57" s="19" t="s">
        <v>51</v>
      </c>
      <c r="CH57" s="19" t="s">
        <v>51</v>
      </c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</row>
    <row r="58" ht="16.5" customHeight="1">
      <c r="A58" s="31" t="s">
        <v>469</v>
      </c>
      <c r="B58" s="17" t="s">
        <v>470</v>
      </c>
      <c r="C58" s="16">
        <v>1.025650134E9</v>
      </c>
      <c r="D58" s="17" t="s">
        <v>49</v>
      </c>
      <c r="E58" s="18"/>
      <c r="F58" s="22"/>
      <c r="G58" s="19"/>
      <c r="H58" s="22"/>
      <c r="I58" s="20"/>
      <c r="J58" s="22"/>
      <c r="K58" s="20"/>
      <c r="L58" s="22"/>
      <c r="M58" s="22"/>
      <c r="N58" s="22"/>
      <c r="O58" s="19"/>
      <c r="P58" s="18"/>
      <c r="Q58" s="20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7"/>
      <c r="AN58" s="17"/>
      <c r="AO58" s="17"/>
      <c r="AP58" s="17"/>
      <c r="AQ58" s="17"/>
      <c r="AR58" s="17"/>
      <c r="AS58" s="17"/>
      <c r="AT58" s="17" t="s">
        <v>111</v>
      </c>
      <c r="AU58" s="18" t="s">
        <v>50</v>
      </c>
      <c r="AV58" s="18" t="s">
        <v>52</v>
      </c>
      <c r="AW58" s="18" t="s">
        <v>50</v>
      </c>
      <c r="AX58" s="17" t="s">
        <v>111</v>
      </c>
      <c r="AY58" s="18" t="s">
        <v>52</v>
      </c>
      <c r="AZ58" s="17" t="s">
        <v>111</v>
      </c>
      <c r="BA58" s="18" t="s">
        <v>52</v>
      </c>
      <c r="BB58" s="17" t="s">
        <v>111</v>
      </c>
      <c r="BC58" s="18" t="s">
        <v>50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 t="s">
        <v>51</v>
      </c>
      <c r="BV58" s="17" t="s">
        <v>50</v>
      </c>
      <c r="BW58" s="17" t="s">
        <v>50</v>
      </c>
      <c r="BX58" s="17" t="s">
        <v>50</v>
      </c>
      <c r="BY58" s="18" t="s">
        <v>52</v>
      </c>
      <c r="BZ58" s="18" t="s">
        <v>52</v>
      </c>
      <c r="CA58" s="18" t="s">
        <v>52</v>
      </c>
      <c r="CB58" s="17" t="s">
        <v>50</v>
      </c>
      <c r="CC58" s="17" t="s">
        <v>50</v>
      </c>
      <c r="CD58" s="18" t="s">
        <v>52</v>
      </c>
      <c r="CE58" s="18" t="s">
        <v>52</v>
      </c>
      <c r="CF58" s="17" t="s">
        <v>50</v>
      </c>
      <c r="CG58" s="17" t="s">
        <v>50</v>
      </c>
      <c r="CH58" s="17" t="s">
        <v>50</v>
      </c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</row>
    <row r="59" ht="16.5" customHeight="1">
      <c r="A59" s="31" t="s">
        <v>471</v>
      </c>
      <c r="B59" s="17" t="s">
        <v>472</v>
      </c>
      <c r="C59" s="16">
        <v>1.015070695E9</v>
      </c>
      <c r="D59" s="17" t="s">
        <v>104</v>
      </c>
      <c r="E59" s="18" t="s">
        <v>50</v>
      </c>
      <c r="F59" s="22"/>
      <c r="G59" s="19" t="s">
        <v>51</v>
      </c>
      <c r="H59" s="22"/>
      <c r="I59" s="20" t="s">
        <v>52</v>
      </c>
      <c r="J59" s="22"/>
      <c r="K59" s="20" t="s">
        <v>52</v>
      </c>
      <c r="L59" s="22"/>
      <c r="M59" s="22"/>
      <c r="N59" s="22"/>
      <c r="O59" s="19" t="s">
        <v>51</v>
      </c>
      <c r="P59" s="18" t="s">
        <v>50</v>
      </c>
      <c r="Q59" s="20" t="s">
        <v>99</v>
      </c>
      <c r="R59" s="18" t="s">
        <v>50</v>
      </c>
      <c r="S59" s="18" t="s">
        <v>50</v>
      </c>
      <c r="T59" s="18" t="s">
        <v>50</v>
      </c>
      <c r="U59" s="18" t="s">
        <v>99</v>
      </c>
      <c r="V59" s="18" t="s">
        <v>99</v>
      </c>
      <c r="W59" s="18" t="s">
        <v>52</v>
      </c>
      <c r="X59" s="18" t="s">
        <v>52</v>
      </c>
      <c r="Y59" s="18" t="s">
        <v>52</v>
      </c>
      <c r="Z59" s="18" t="s">
        <v>52</v>
      </c>
      <c r="AA59" s="18" t="s">
        <v>52</v>
      </c>
      <c r="AB59" s="18" t="s">
        <v>50</v>
      </c>
      <c r="AC59" s="18" t="s">
        <v>99</v>
      </c>
      <c r="AD59" s="18" t="s">
        <v>51</v>
      </c>
      <c r="AE59" s="18" t="s">
        <v>50</v>
      </c>
      <c r="AF59" s="18" t="s">
        <v>50</v>
      </c>
      <c r="AG59" s="18" t="s">
        <v>50</v>
      </c>
      <c r="AH59" s="18" t="s">
        <v>52</v>
      </c>
      <c r="AI59" s="18" t="s">
        <v>52</v>
      </c>
      <c r="AJ59" s="18" t="s">
        <v>50</v>
      </c>
      <c r="AK59" s="18" t="s">
        <v>50</v>
      </c>
      <c r="AL59" s="18" t="s">
        <v>50</v>
      </c>
      <c r="AM59" s="17" t="s">
        <v>52</v>
      </c>
      <c r="AN59" s="17" t="s">
        <v>52</v>
      </c>
      <c r="AO59" s="17" t="s">
        <v>50</v>
      </c>
      <c r="AP59" s="17" t="s">
        <v>50</v>
      </c>
      <c r="AQ59" s="17" t="s">
        <v>52</v>
      </c>
      <c r="AR59" s="17" t="s">
        <v>52</v>
      </c>
      <c r="AS59" s="17" t="s">
        <v>50</v>
      </c>
      <c r="AT59" s="18" t="s">
        <v>50</v>
      </c>
      <c r="AU59" s="17" t="s">
        <v>111</v>
      </c>
      <c r="AV59" s="19" t="s">
        <v>52</v>
      </c>
      <c r="AW59" s="17" t="s">
        <v>111</v>
      </c>
      <c r="AX59" s="17" t="s">
        <v>51</v>
      </c>
      <c r="AY59" s="17" t="s">
        <v>111</v>
      </c>
      <c r="AZ59" s="18" t="s">
        <v>52</v>
      </c>
      <c r="BA59" s="17" t="s">
        <v>111</v>
      </c>
      <c r="BB59" s="18" t="s">
        <v>52</v>
      </c>
      <c r="BC59" s="17" t="s">
        <v>111</v>
      </c>
      <c r="BD59" s="17" t="s">
        <v>52</v>
      </c>
      <c r="BE59" s="17" t="s">
        <v>52</v>
      </c>
      <c r="BF59" s="17" t="s">
        <v>50</v>
      </c>
      <c r="BG59" s="17" t="s">
        <v>50</v>
      </c>
      <c r="BH59" s="17" t="s">
        <v>52</v>
      </c>
      <c r="BI59" s="17" t="s">
        <v>52</v>
      </c>
      <c r="BJ59" s="17" t="s">
        <v>52</v>
      </c>
      <c r="BK59" s="17" t="s">
        <v>50</v>
      </c>
      <c r="BL59" s="17" t="s">
        <v>50</v>
      </c>
      <c r="BM59" s="17" t="s">
        <v>52</v>
      </c>
      <c r="BN59" s="17" t="s">
        <v>52</v>
      </c>
      <c r="BO59" s="17" t="s">
        <v>50</v>
      </c>
      <c r="BP59" s="17" t="s">
        <v>50</v>
      </c>
      <c r="BQ59" s="17" t="s">
        <v>52</v>
      </c>
      <c r="BR59" s="17" t="s">
        <v>52</v>
      </c>
      <c r="BS59" s="17" t="s">
        <v>50</v>
      </c>
      <c r="BT59" s="17" t="s">
        <v>50</v>
      </c>
      <c r="BU59" s="27" t="s">
        <v>100</v>
      </c>
      <c r="BV59" s="27" t="s">
        <v>100</v>
      </c>
      <c r="BW59" s="27" t="s">
        <v>100</v>
      </c>
      <c r="BX59" s="17" t="s">
        <v>50</v>
      </c>
      <c r="BY59" s="27" t="s">
        <v>100</v>
      </c>
      <c r="BZ59" s="18" t="s">
        <v>52</v>
      </c>
      <c r="CA59" s="17" t="s">
        <v>50</v>
      </c>
      <c r="CB59" s="27" t="s">
        <v>100</v>
      </c>
      <c r="CC59" s="17" t="s">
        <v>50</v>
      </c>
      <c r="CD59" s="27" t="s">
        <v>100</v>
      </c>
      <c r="CE59" s="18" t="s">
        <v>52</v>
      </c>
      <c r="CF59" s="27" t="s">
        <v>100</v>
      </c>
      <c r="CG59" s="17" t="s">
        <v>50</v>
      </c>
      <c r="CH59" s="17" t="s">
        <v>50</v>
      </c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</row>
    <row r="60" ht="16.5" customHeight="1">
      <c r="A60" s="31" t="s">
        <v>473</v>
      </c>
      <c r="B60" s="17" t="s">
        <v>474</v>
      </c>
      <c r="C60" s="16">
        <v>1.034918934E9</v>
      </c>
      <c r="D60" s="26" t="s">
        <v>250</v>
      </c>
      <c r="E60" s="18" t="s">
        <v>50</v>
      </c>
      <c r="F60" s="22"/>
      <c r="G60" s="18" t="s">
        <v>50</v>
      </c>
      <c r="H60" s="22"/>
      <c r="I60" s="18" t="s">
        <v>50</v>
      </c>
      <c r="J60" s="22"/>
      <c r="K60" s="18" t="s">
        <v>52</v>
      </c>
      <c r="L60" s="22"/>
      <c r="M60" s="18" t="s">
        <v>52</v>
      </c>
      <c r="N60" s="22"/>
      <c r="O60" s="27" t="s">
        <v>100</v>
      </c>
      <c r="P60" s="18" t="s">
        <v>50</v>
      </c>
      <c r="Q60" s="27" t="s">
        <v>100</v>
      </c>
      <c r="R60" s="20" t="s">
        <v>52</v>
      </c>
      <c r="S60" s="27" t="s">
        <v>100</v>
      </c>
      <c r="T60" s="18" t="s">
        <v>50</v>
      </c>
      <c r="U60" s="27" t="s">
        <v>100</v>
      </c>
      <c r="V60" s="18" t="s">
        <v>50</v>
      </c>
      <c r="W60" s="18" t="s">
        <v>50</v>
      </c>
      <c r="X60" s="18" t="s">
        <v>50</v>
      </c>
      <c r="Y60" s="18" t="s">
        <v>50</v>
      </c>
      <c r="Z60" s="27" t="s">
        <v>100</v>
      </c>
      <c r="AA60" s="18" t="s">
        <v>50</v>
      </c>
      <c r="AB60" s="27" t="s">
        <v>100</v>
      </c>
      <c r="AC60" s="18" t="s">
        <v>50</v>
      </c>
      <c r="AD60" s="27" t="s">
        <v>100</v>
      </c>
      <c r="AE60" s="18" t="s">
        <v>50</v>
      </c>
      <c r="AF60" s="18" t="s">
        <v>50</v>
      </c>
      <c r="AG60" s="27" t="s">
        <v>100</v>
      </c>
      <c r="AH60" s="27" t="s">
        <v>100</v>
      </c>
      <c r="AI60" s="18" t="s">
        <v>50</v>
      </c>
      <c r="AJ60" s="27" t="s">
        <v>100</v>
      </c>
      <c r="AK60" s="18" t="s">
        <v>50</v>
      </c>
      <c r="AL60" s="18" t="s">
        <v>50</v>
      </c>
      <c r="AM60" s="27" t="s">
        <v>100</v>
      </c>
      <c r="AN60" s="27" t="s">
        <v>100</v>
      </c>
      <c r="AO60" s="17" t="s">
        <v>50</v>
      </c>
      <c r="AP60" s="17" t="s">
        <v>50</v>
      </c>
      <c r="AQ60" s="17" t="s">
        <v>52</v>
      </c>
      <c r="AR60" s="17" t="s">
        <v>50</v>
      </c>
      <c r="AS60" s="17" t="s">
        <v>51</v>
      </c>
      <c r="AT60" s="18" t="s">
        <v>50</v>
      </c>
      <c r="AU60" s="17" t="s">
        <v>111</v>
      </c>
      <c r="AV60" s="18" t="s">
        <v>50</v>
      </c>
      <c r="AW60" s="17" t="s">
        <v>111</v>
      </c>
      <c r="AX60" s="18" t="s">
        <v>52</v>
      </c>
      <c r="AY60" s="17" t="s">
        <v>111</v>
      </c>
      <c r="AZ60" s="18" t="s">
        <v>52</v>
      </c>
      <c r="BA60" s="17" t="s">
        <v>111</v>
      </c>
      <c r="BB60" s="18" t="s">
        <v>52</v>
      </c>
      <c r="BC60" s="17" t="s">
        <v>111</v>
      </c>
      <c r="BD60" s="17" t="s">
        <v>50</v>
      </c>
      <c r="BE60" s="17" t="s">
        <v>50</v>
      </c>
      <c r="BF60" s="27" t="s">
        <v>100</v>
      </c>
      <c r="BG60" s="17" t="s">
        <v>50</v>
      </c>
      <c r="BH60" s="27" t="s">
        <v>100</v>
      </c>
      <c r="BI60" s="17" t="s">
        <v>50</v>
      </c>
      <c r="BJ60" s="17" t="s">
        <v>50</v>
      </c>
      <c r="BK60" s="27" t="s">
        <v>100</v>
      </c>
      <c r="BL60" s="17" t="s">
        <v>50</v>
      </c>
      <c r="BM60" s="27" t="s">
        <v>100</v>
      </c>
      <c r="BN60" s="17" t="s">
        <v>50</v>
      </c>
      <c r="BO60" s="27" t="s">
        <v>100</v>
      </c>
      <c r="BP60" s="17" t="s">
        <v>50</v>
      </c>
      <c r="BQ60" s="27" t="s">
        <v>100</v>
      </c>
      <c r="BR60" s="17" t="s">
        <v>50</v>
      </c>
      <c r="BS60" s="27" t="s">
        <v>100</v>
      </c>
      <c r="BT60" s="17" t="s">
        <v>50</v>
      </c>
      <c r="BU60" s="17" t="s">
        <v>50</v>
      </c>
      <c r="BV60" s="17" t="s">
        <v>50</v>
      </c>
      <c r="BW60" s="17" t="s">
        <v>50</v>
      </c>
      <c r="BX60" s="17" t="s">
        <v>50</v>
      </c>
      <c r="BY60" s="17" t="s">
        <v>50</v>
      </c>
      <c r="BZ60" s="17" t="s">
        <v>50</v>
      </c>
      <c r="CA60" s="17" t="s">
        <v>50</v>
      </c>
      <c r="CB60" s="18" t="s">
        <v>52</v>
      </c>
      <c r="CC60" s="18" t="s">
        <v>52</v>
      </c>
      <c r="CD60" s="17" t="s">
        <v>50</v>
      </c>
      <c r="CE60" s="17" t="s">
        <v>50</v>
      </c>
      <c r="CF60" s="18" t="s">
        <v>52</v>
      </c>
      <c r="CG60" s="17" t="s">
        <v>50</v>
      </c>
      <c r="CH60" s="17" t="s">
        <v>50</v>
      </c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</row>
    <row r="61" ht="16.5" customHeight="1">
      <c r="A61" s="14" t="s">
        <v>475</v>
      </c>
      <c r="B61" s="17" t="s">
        <v>476</v>
      </c>
      <c r="C61" s="16">
        <v>1.025645687E9</v>
      </c>
      <c r="D61" s="17" t="s">
        <v>127</v>
      </c>
      <c r="E61" s="22"/>
      <c r="F61" s="19" t="s">
        <v>51</v>
      </c>
      <c r="G61" s="22"/>
      <c r="H61" s="22"/>
      <c r="I61" s="22"/>
      <c r="J61" s="19" t="s">
        <v>51</v>
      </c>
      <c r="K61" s="22"/>
      <c r="L61" s="19" t="s">
        <v>329</v>
      </c>
      <c r="M61" s="22"/>
      <c r="N61" s="22"/>
      <c r="O61" s="35" t="s">
        <v>111</v>
      </c>
      <c r="P61" s="19" t="s">
        <v>51</v>
      </c>
      <c r="Q61" s="35" t="s">
        <v>111</v>
      </c>
      <c r="R61" s="18" t="s">
        <v>50</v>
      </c>
      <c r="S61" s="35" t="s">
        <v>111</v>
      </c>
      <c r="T61" s="19" t="s">
        <v>51</v>
      </c>
      <c r="U61" s="35" t="s">
        <v>111</v>
      </c>
      <c r="V61" s="18" t="s">
        <v>50</v>
      </c>
      <c r="W61" s="18" t="s">
        <v>50</v>
      </c>
      <c r="X61" s="35" t="s">
        <v>111</v>
      </c>
      <c r="Y61" s="18" t="s">
        <v>50</v>
      </c>
      <c r="Z61" s="35" t="s">
        <v>111</v>
      </c>
      <c r="AA61" s="18" t="s">
        <v>50</v>
      </c>
      <c r="AB61" s="35" t="s">
        <v>111</v>
      </c>
      <c r="AC61" s="18" t="s">
        <v>50</v>
      </c>
      <c r="AD61" s="18" t="s">
        <v>50</v>
      </c>
      <c r="AE61" s="35" t="s">
        <v>111</v>
      </c>
      <c r="AF61" s="18" t="s">
        <v>50</v>
      </c>
      <c r="AG61" s="18" t="s">
        <v>50</v>
      </c>
      <c r="AH61" s="18" t="s">
        <v>50</v>
      </c>
      <c r="AI61" s="18" t="s">
        <v>50</v>
      </c>
      <c r="AJ61" s="18" t="s">
        <v>51</v>
      </c>
      <c r="AK61" s="18" t="s">
        <v>329</v>
      </c>
      <c r="AL61" s="36" t="s">
        <v>324</v>
      </c>
      <c r="AM61" s="17" t="s">
        <v>50</v>
      </c>
      <c r="AN61" s="17" t="s">
        <v>50</v>
      </c>
      <c r="AO61" s="17" t="s">
        <v>329</v>
      </c>
      <c r="AP61" s="17" t="s">
        <v>329</v>
      </c>
      <c r="AQ61" s="17" t="s">
        <v>50</v>
      </c>
      <c r="AR61" s="17" t="s">
        <v>50</v>
      </c>
      <c r="AS61" s="17" t="s">
        <v>50</v>
      </c>
      <c r="AT61" s="19" t="s">
        <v>51</v>
      </c>
      <c r="AU61" s="17" t="s">
        <v>111</v>
      </c>
      <c r="AV61" s="19" t="s">
        <v>51</v>
      </c>
      <c r="AW61" s="17" t="s">
        <v>111</v>
      </c>
      <c r="AX61" s="19" t="s">
        <v>329</v>
      </c>
      <c r="AY61" s="17" t="s">
        <v>111</v>
      </c>
      <c r="AZ61" s="17" t="s">
        <v>111</v>
      </c>
      <c r="BA61" s="17" t="s">
        <v>111</v>
      </c>
      <c r="BB61" s="17" t="s">
        <v>111</v>
      </c>
      <c r="BC61" s="19" t="s">
        <v>329</v>
      </c>
      <c r="BD61" s="17" t="s">
        <v>50</v>
      </c>
      <c r="BE61" s="17" t="s">
        <v>50</v>
      </c>
      <c r="BF61" s="17" t="s">
        <v>50</v>
      </c>
      <c r="BG61" s="17" t="s">
        <v>50</v>
      </c>
      <c r="BH61" s="17" t="s">
        <v>111</v>
      </c>
      <c r="BI61" s="19" t="s">
        <v>329</v>
      </c>
      <c r="BJ61" s="19" t="s">
        <v>329</v>
      </c>
      <c r="BK61" s="17" t="s">
        <v>111</v>
      </c>
      <c r="BL61" s="17" t="s">
        <v>50</v>
      </c>
      <c r="BM61" s="17" t="s">
        <v>111</v>
      </c>
      <c r="BN61" s="17" t="s">
        <v>50</v>
      </c>
      <c r="BO61" s="17" t="s">
        <v>111</v>
      </c>
      <c r="BP61" s="19" t="s">
        <v>51</v>
      </c>
      <c r="BQ61" s="17" t="s">
        <v>111</v>
      </c>
      <c r="BR61" s="17" t="s">
        <v>50</v>
      </c>
      <c r="BS61" s="17" t="s">
        <v>111</v>
      </c>
      <c r="BT61" s="19" t="s">
        <v>51</v>
      </c>
      <c r="BU61" s="17" t="s">
        <v>111</v>
      </c>
      <c r="BV61" s="17" t="s">
        <v>50</v>
      </c>
      <c r="BW61" s="17" t="s">
        <v>111</v>
      </c>
      <c r="BX61" s="18" t="s">
        <v>51</v>
      </c>
      <c r="BY61" s="17" t="s">
        <v>111</v>
      </c>
      <c r="BZ61" s="17" t="s">
        <v>50</v>
      </c>
      <c r="CA61" s="17" t="s">
        <v>50</v>
      </c>
      <c r="CB61" s="17" t="s">
        <v>111</v>
      </c>
      <c r="CC61" s="17" t="s">
        <v>50</v>
      </c>
      <c r="CD61" s="17" t="s">
        <v>111</v>
      </c>
      <c r="CE61" s="17" t="s">
        <v>50</v>
      </c>
      <c r="CF61" s="17" t="s">
        <v>111</v>
      </c>
      <c r="CG61" s="18" t="s">
        <v>51</v>
      </c>
      <c r="CH61" s="18" t="s">
        <v>51</v>
      </c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</row>
    <row r="62" ht="16.5" customHeight="1">
      <c r="A62" s="31" t="s">
        <v>477</v>
      </c>
      <c r="B62" s="17" t="s">
        <v>478</v>
      </c>
      <c r="C62" s="16">
        <v>1.001175315E9</v>
      </c>
      <c r="D62" s="17" t="s">
        <v>127</v>
      </c>
      <c r="E62" s="19"/>
      <c r="F62" s="17"/>
      <c r="G62" s="17"/>
      <c r="H62" s="17"/>
      <c r="I62" s="19"/>
      <c r="J62" s="17"/>
      <c r="K62" s="17"/>
      <c r="L62" s="17"/>
      <c r="M62" s="17"/>
      <c r="N62" s="17"/>
      <c r="O62" s="19"/>
      <c r="P62" s="19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7"/>
      <c r="AN62" s="17"/>
      <c r="AO62" s="17"/>
      <c r="AP62" s="17"/>
      <c r="AQ62" s="17"/>
      <c r="AR62" s="17"/>
      <c r="AS62" s="17"/>
      <c r="AT62" s="17" t="s">
        <v>111</v>
      </c>
      <c r="AU62" s="17" t="s">
        <v>111</v>
      </c>
      <c r="AV62" s="17" t="s">
        <v>111</v>
      </c>
      <c r="AW62" s="17" t="s">
        <v>111</v>
      </c>
      <c r="AX62" s="17" t="s">
        <v>111</v>
      </c>
      <c r="AY62" s="17" t="s">
        <v>111</v>
      </c>
      <c r="AZ62" s="17" t="s">
        <v>111</v>
      </c>
      <c r="BA62" s="17" t="s">
        <v>111</v>
      </c>
      <c r="BB62" s="17" t="s">
        <v>111</v>
      </c>
      <c r="BC62" s="17" t="s">
        <v>111</v>
      </c>
      <c r="BD62" s="18"/>
      <c r="BE62" s="17"/>
      <c r="BF62" s="17"/>
      <c r="BG62" s="17"/>
      <c r="BH62" s="17"/>
      <c r="BI62" s="17"/>
      <c r="BJ62" s="17"/>
      <c r="BK62" s="17"/>
      <c r="BL62" s="17"/>
      <c r="BM62" s="18" t="s">
        <v>51</v>
      </c>
      <c r="BN62" s="18" t="s">
        <v>51</v>
      </c>
      <c r="BO62" s="17" t="s">
        <v>50</v>
      </c>
      <c r="BP62" s="17" t="s">
        <v>50</v>
      </c>
      <c r="BQ62" s="18" t="s">
        <v>51</v>
      </c>
      <c r="BR62" s="18" t="s">
        <v>51</v>
      </c>
      <c r="BS62" s="17" t="s">
        <v>50</v>
      </c>
      <c r="BT62" s="17" t="s">
        <v>50</v>
      </c>
      <c r="BU62" s="18" t="s">
        <v>51</v>
      </c>
      <c r="BV62" s="18" t="s">
        <v>51</v>
      </c>
      <c r="BW62" s="19" t="s">
        <v>329</v>
      </c>
      <c r="BX62" s="19" t="s">
        <v>329</v>
      </c>
      <c r="BY62" s="19" t="s">
        <v>329</v>
      </c>
      <c r="BZ62" s="19" t="s">
        <v>329</v>
      </c>
      <c r="CA62" s="19" t="s">
        <v>329</v>
      </c>
      <c r="CB62" s="19" t="s">
        <v>329</v>
      </c>
      <c r="CC62" s="19" t="s">
        <v>329</v>
      </c>
      <c r="CD62" s="19" t="s">
        <v>329</v>
      </c>
      <c r="CE62" s="19" t="s">
        <v>329</v>
      </c>
      <c r="CF62" s="19" t="s">
        <v>329</v>
      </c>
      <c r="CG62" s="19" t="s">
        <v>329</v>
      </c>
      <c r="CH62" s="19" t="s">
        <v>329</v>
      </c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</row>
    <row r="63" ht="16.5" customHeight="1">
      <c r="A63" s="31" t="s">
        <v>479</v>
      </c>
      <c r="B63" s="17" t="s">
        <v>480</v>
      </c>
      <c r="C63" s="16">
        <v>1.038263363E9</v>
      </c>
      <c r="D63" s="17" t="s">
        <v>49</v>
      </c>
      <c r="E63" s="19" t="s">
        <v>329</v>
      </c>
      <c r="F63" s="22"/>
      <c r="G63" s="17" t="s">
        <v>51</v>
      </c>
      <c r="H63" s="22"/>
      <c r="I63" s="22"/>
      <c r="J63" s="22"/>
      <c r="K63" s="22"/>
      <c r="L63" s="19" t="s">
        <v>51</v>
      </c>
      <c r="M63" s="17" t="s">
        <v>51</v>
      </c>
      <c r="N63" s="22"/>
      <c r="O63" s="19" t="s">
        <v>51</v>
      </c>
      <c r="P63" s="18" t="s">
        <v>50</v>
      </c>
      <c r="Q63" s="18" t="s">
        <v>50</v>
      </c>
      <c r="R63" s="18" t="s">
        <v>50</v>
      </c>
      <c r="S63" s="19" t="s">
        <v>51</v>
      </c>
      <c r="T63" s="19" t="s">
        <v>51</v>
      </c>
      <c r="U63" s="18" t="s">
        <v>50</v>
      </c>
      <c r="V63" s="18" t="s">
        <v>50</v>
      </c>
      <c r="W63" s="18" t="s">
        <v>52</v>
      </c>
      <c r="X63" s="18" t="s">
        <v>50</v>
      </c>
      <c r="Y63" s="18" t="s">
        <v>50</v>
      </c>
      <c r="Z63" s="18" t="s">
        <v>52</v>
      </c>
      <c r="AA63" s="18" t="s">
        <v>50</v>
      </c>
      <c r="AB63" s="18" t="s">
        <v>51</v>
      </c>
      <c r="AC63" s="18" t="s">
        <v>51</v>
      </c>
      <c r="AD63" s="18" t="s">
        <v>50</v>
      </c>
      <c r="AE63" s="18" t="s">
        <v>50</v>
      </c>
      <c r="AF63" s="18" t="s">
        <v>50</v>
      </c>
      <c r="AG63" s="18" t="s">
        <v>51</v>
      </c>
      <c r="AH63" s="18" t="s">
        <v>51</v>
      </c>
      <c r="AI63" s="18" t="s">
        <v>51</v>
      </c>
      <c r="AJ63" s="18" t="s">
        <v>50</v>
      </c>
      <c r="AK63" s="18" t="s">
        <v>329</v>
      </c>
      <c r="AL63" s="18" t="s">
        <v>50</v>
      </c>
      <c r="AM63" s="17" t="s">
        <v>329</v>
      </c>
      <c r="AN63" s="17" t="s">
        <v>329</v>
      </c>
      <c r="AO63" s="17" t="s">
        <v>50</v>
      </c>
      <c r="AP63" s="17" t="s">
        <v>50</v>
      </c>
      <c r="AQ63" s="18" t="s">
        <v>52</v>
      </c>
      <c r="AR63" s="18" t="s">
        <v>52</v>
      </c>
      <c r="AS63" s="17" t="s">
        <v>50</v>
      </c>
      <c r="AT63" s="17" t="s">
        <v>111</v>
      </c>
      <c r="AU63" s="17" t="s">
        <v>111</v>
      </c>
      <c r="AV63" s="19" t="s">
        <v>51</v>
      </c>
      <c r="AW63" s="17" t="s">
        <v>111</v>
      </c>
      <c r="AX63" s="19" t="s">
        <v>329</v>
      </c>
      <c r="AY63" s="17" t="s">
        <v>111</v>
      </c>
      <c r="AZ63" s="19" t="s">
        <v>329</v>
      </c>
      <c r="BA63" s="17" t="s">
        <v>111</v>
      </c>
      <c r="BB63" s="17" t="s">
        <v>50</v>
      </c>
      <c r="BC63" s="17" t="s">
        <v>50</v>
      </c>
      <c r="BD63" s="19" t="s">
        <v>329</v>
      </c>
      <c r="BE63" s="17" t="s">
        <v>50</v>
      </c>
      <c r="BF63" s="17" t="s">
        <v>50</v>
      </c>
      <c r="BG63" s="17" t="s">
        <v>50</v>
      </c>
      <c r="BH63" s="19" t="s">
        <v>329</v>
      </c>
      <c r="BI63" s="19" t="s">
        <v>329</v>
      </c>
      <c r="BJ63" s="19" t="s">
        <v>329</v>
      </c>
      <c r="BK63" s="17" t="s">
        <v>50</v>
      </c>
      <c r="BL63" s="17" t="s">
        <v>50</v>
      </c>
      <c r="BM63" s="17" t="s">
        <v>50</v>
      </c>
      <c r="BN63" s="17" t="s">
        <v>50</v>
      </c>
      <c r="BO63" s="19" t="s">
        <v>51</v>
      </c>
      <c r="BP63" s="19" t="s">
        <v>51</v>
      </c>
      <c r="BQ63" s="17" t="s">
        <v>51</v>
      </c>
      <c r="BR63" s="17" t="s">
        <v>51</v>
      </c>
      <c r="BS63" s="19" t="s">
        <v>51</v>
      </c>
      <c r="BT63" s="19" t="s">
        <v>51</v>
      </c>
      <c r="BU63" s="17" t="s">
        <v>50</v>
      </c>
      <c r="BV63" s="17" t="s">
        <v>50</v>
      </c>
      <c r="BW63" s="19" t="s">
        <v>329</v>
      </c>
      <c r="BX63" s="19" t="s">
        <v>329</v>
      </c>
      <c r="BY63" s="18" t="s">
        <v>51</v>
      </c>
      <c r="BZ63" s="18" t="s">
        <v>51</v>
      </c>
      <c r="CA63" s="18" t="s">
        <v>51</v>
      </c>
      <c r="CB63" s="18" t="s">
        <v>51</v>
      </c>
      <c r="CC63" s="18" t="s">
        <v>51</v>
      </c>
      <c r="CD63" s="18" t="s">
        <v>51</v>
      </c>
      <c r="CE63" s="18" t="s">
        <v>51</v>
      </c>
      <c r="CF63" s="19" t="s">
        <v>329</v>
      </c>
      <c r="CG63" s="19" t="s">
        <v>329</v>
      </c>
      <c r="CH63" s="19" t="s">
        <v>329</v>
      </c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</row>
    <row r="64" ht="16.5" customHeight="1">
      <c r="A64" s="31" t="s">
        <v>482</v>
      </c>
      <c r="B64" s="17" t="s">
        <v>483</v>
      </c>
      <c r="C64" s="16">
        <v>1.000868495E9</v>
      </c>
      <c r="D64" s="17" t="s">
        <v>127</v>
      </c>
      <c r="E64" s="22"/>
      <c r="F64" s="22"/>
      <c r="G64" s="19" t="s">
        <v>329</v>
      </c>
      <c r="H64" s="22"/>
      <c r="I64" s="17" t="s">
        <v>51</v>
      </c>
      <c r="J64" s="22"/>
      <c r="K64" s="19" t="s">
        <v>343</v>
      </c>
      <c r="L64" s="22"/>
      <c r="M64" s="19" t="s">
        <v>343</v>
      </c>
      <c r="N64" s="22"/>
      <c r="O64" s="18" t="s">
        <v>50</v>
      </c>
      <c r="P64" s="18" t="s">
        <v>50</v>
      </c>
      <c r="Q64" s="19" t="s">
        <v>51</v>
      </c>
      <c r="R64" s="19" t="s">
        <v>51</v>
      </c>
      <c r="S64" s="18" t="s">
        <v>50</v>
      </c>
      <c r="T64" s="18" t="s">
        <v>50</v>
      </c>
      <c r="U64" s="18" t="s">
        <v>50</v>
      </c>
      <c r="V64" s="18" t="s">
        <v>50</v>
      </c>
      <c r="W64" s="18" t="s">
        <v>51</v>
      </c>
      <c r="X64" s="18" t="s">
        <v>50</v>
      </c>
      <c r="Y64" s="18" t="s">
        <v>50</v>
      </c>
      <c r="Z64" s="18" t="s">
        <v>51</v>
      </c>
      <c r="AA64" s="18" t="s">
        <v>51</v>
      </c>
      <c r="AB64" s="18" t="s">
        <v>50</v>
      </c>
      <c r="AC64" s="18" t="s">
        <v>50</v>
      </c>
      <c r="AD64" s="18" t="s">
        <v>50</v>
      </c>
      <c r="AE64" s="18" t="s">
        <v>51</v>
      </c>
      <c r="AF64" s="18" t="s">
        <v>50</v>
      </c>
      <c r="AG64" s="18" t="s">
        <v>50</v>
      </c>
      <c r="AH64" s="18" t="s">
        <v>50</v>
      </c>
      <c r="AI64" s="18" t="s">
        <v>50</v>
      </c>
      <c r="AJ64" s="18" t="s">
        <v>50</v>
      </c>
      <c r="AK64" s="18" t="s">
        <v>51</v>
      </c>
      <c r="AL64" s="18" t="s">
        <v>51</v>
      </c>
      <c r="AM64" s="17" t="s">
        <v>50</v>
      </c>
      <c r="AN64" s="17" t="s">
        <v>50</v>
      </c>
      <c r="AO64" s="17" t="s">
        <v>51</v>
      </c>
      <c r="AP64" s="17" t="s">
        <v>51</v>
      </c>
      <c r="AQ64" s="17" t="s">
        <v>50</v>
      </c>
      <c r="AR64" s="17" t="s">
        <v>50</v>
      </c>
      <c r="AS64" s="17" t="s">
        <v>329</v>
      </c>
      <c r="AT64" s="17" t="s">
        <v>111</v>
      </c>
      <c r="AU64" s="17" t="s">
        <v>111</v>
      </c>
      <c r="AV64" s="17" t="s">
        <v>111</v>
      </c>
      <c r="AW64" s="19" t="s">
        <v>329</v>
      </c>
      <c r="AX64" s="17" t="s">
        <v>111</v>
      </c>
      <c r="AY64" s="17" t="s">
        <v>111</v>
      </c>
      <c r="AZ64" s="17" t="s">
        <v>111</v>
      </c>
      <c r="BA64" s="17" t="s">
        <v>111</v>
      </c>
      <c r="BB64" s="17" t="s">
        <v>111</v>
      </c>
      <c r="BC64" s="17" t="s">
        <v>111</v>
      </c>
      <c r="BD64" s="17" t="s">
        <v>50</v>
      </c>
      <c r="BE64" s="17"/>
      <c r="BF64" s="17" t="s">
        <v>50</v>
      </c>
      <c r="BG64" s="17" t="s">
        <v>111</v>
      </c>
      <c r="BH64" s="18" t="s">
        <v>329</v>
      </c>
      <c r="BI64" s="17" t="s">
        <v>111</v>
      </c>
      <c r="BJ64" s="17" t="s">
        <v>50</v>
      </c>
      <c r="BK64" s="18" t="s">
        <v>329</v>
      </c>
      <c r="BL64" s="17" t="s">
        <v>111</v>
      </c>
      <c r="BM64" s="18" t="s">
        <v>329</v>
      </c>
      <c r="BN64" s="17" t="s">
        <v>111</v>
      </c>
      <c r="BO64" s="19" t="s">
        <v>329</v>
      </c>
      <c r="BP64" s="17" t="s">
        <v>111</v>
      </c>
      <c r="BQ64" s="19" t="s">
        <v>329</v>
      </c>
      <c r="BR64" s="17" t="s">
        <v>111</v>
      </c>
      <c r="BS64" s="19" t="s">
        <v>329</v>
      </c>
      <c r="BT64" s="17" t="s">
        <v>111</v>
      </c>
      <c r="BU64" s="19" t="s">
        <v>329</v>
      </c>
      <c r="BV64" s="17" t="s">
        <v>111</v>
      </c>
      <c r="BW64" s="17" t="s">
        <v>50</v>
      </c>
      <c r="BX64" s="17" t="s">
        <v>111</v>
      </c>
      <c r="BY64" s="19" t="s">
        <v>329</v>
      </c>
      <c r="BZ64" s="17" t="s">
        <v>111</v>
      </c>
      <c r="CA64" s="19" t="s">
        <v>329</v>
      </c>
      <c r="CB64" s="19" t="s">
        <v>329</v>
      </c>
      <c r="CC64" s="17" t="s">
        <v>111</v>
      </c>
      <c r="CD64" s="17" t="s">
        <v>50</v>
      </c>
      <c r="CE64" s="17" t="s">
        <v>111</v>
      </c>
      <c r="CF64" s="17" t="s">
        <v>50</v>
      </c>
      <c r="CG64" s="17" t="s">
        <v>111</v>
      </c>
      <c r="CH64" s="17" t="s">
        <v>50</v>
      </c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</row>
    <row r="65" ht="16.5" customHeight="1">
      <c r="A65" s="14" t="s">
        <v>484</v>
      </c>
      <c r="B65" s="17" t="s">
        <v>485</v>
      </c>
      <c r="C65" s="16">
        <v>1.002127074E9</v>
      </c>
      <c r="D65" s="17" t="s">
        <v>127</v>
      </c>
      <c r="E65" s="19" t="s">
        <v>51</v>
      </c>
      <c r="F65" s="18" t="s">
        <v>50</v>
      </c>
      <c r="G65" s="19" t="s">
        <v>329</v>
      </c>
      <c r="H65" s="22"/>
      <c r="I65" s="19" t="s">
        <v>329</v>
      </c>
      <c r="J65" s="22"/>
      <c r="K65" s="17" t="s">
        <v>51</v>
      </c>
      <c r="L65" s="22"/>
      <c r="M65" s="22"/>
      <c r="N65" s="19" t="s">
        <v>329</v>
      </c>
      <c r="O65" s="18" t="s">
        <v>50</v>
      </c>
      <c r="P65" s="18" t="s">
        <v>50</v>
      </c>
      <c r="Q65" s="19" t="s">
        <v>51</v>
      </c>
      <c r="R65" s="19" t="s">
        <v>51</v>
      </c>
      <c r="S65" s="18" t="s">
        <v>50</v>
      </c>
      <c r="T65" s="18" t="s">
        <v>50</v>
      </c>
      <c r="U65" s="18" t="s">
        <v>50</v>
      </c>
      <c r="V65" s="18" t="s">
        <v>50</v>
      </c>
      <c r="W65" s="18" t="s">
        <v>51</v>
      </c>
      <c r="X65" s="18" t="s">
        <v>50</v>
      </c>
      <c r="Y65" s="18" t="s">
        <v>50</v>
      </c>
      <c r="Z65" s="18" t="s">
        <v>51</v>
      </c>
      <c r="AA65" s="18" t="s">
        <v>51</v>
      </c>
      <c r="AB65" s="18" t="s">
        <v>50</v>
      </c>
      <c r="AC65" s="18" t="s">
        <v>50</v>
      </c>
      <c r="AD65" s="18" t="s">
        <v>50</v>
      </c>
      <c r="AE65" s="18" t="s">
        <v>50</v>
      </c>
      <c r="AF65" s="18" t="s">
        <v>50</v>
      </c>
      <c r="AG65" s="18" t="s">
        <v>51</v>
      </c>
      <c r="AH65" s="18" t="s">
        <v>51</v>
      </c>
      <c r="AI65" s="18" t="s">
        <v>51</v>
      </c>
      <c r="AJ65" s="18" t="s">
        <v>50</v>
      </c>
      <c r="AK65" s="18" t="s">
        <v>50</v>
      </c>
      <c r="AL65" s="18" t="s">
        <v>50</v>
      </c>
      <c r="AM65" s="17" t="s">
        <v>329</v>
      </c>
      <c r="AN65" s="17" t="s">
        <v>50</v>
      </c>
      <c r="AO65" s="17" t="s">
        <v>51</v>
      </c>
      <c r="AP65" s="17"/>
      <c r="AQ65" s="17" t="s">
        <v>50</v>
      </c>
      <c r="AR65" s="17" t="s">
        <v>50</v>
      </c>
      <c r="AS65" s="17" t="s">
        <v>50</v>
      </c>
      <c r="AT65" s="19" t="s">
        <v>329</v>
      </c>
      <c r="AU65" s="17" t="s">
        <v>50</v>
      </c>
      <c r="AV65" s="17" t="s">
        <v>111</v>
      </c>
      <c r="AW65" s="17" t="s">
        <v>111</v>
      </c>
      <c r="AX65" s="17" t="s">
        <v>111</v>
      </c>
      <c r="AY65" s="17" t="s">
        <v>111</v>
      </c>
      <c r="AZ65" s="17" t="s">
        <v>111</v>
      </c>
      <c r="BA65" s="17" t="s">
        <v>111</v>
      </c>
      <c r="BB65" s="19" t="s">
        <v>51</v>
      </c>
      <c r="BC65" s="17" t="s">
        <v>111</v>
      </c>
      <c r="BD65" s="17" t="s">
        <v>165</v>
      </c>
      <c r="BE65" s="17"/>
      <c r="BF65" s="17" t="s">
        <v>165</v>
      </c>
      <c r="BG65" s="17" t="s">
        <v>165</v>
      </c>
      <c r="BH65" s="17" t="s">
        <v>50</v>
      </c>
      <c r="BI65" s="17" t="s">
        <v>50</v>
      </c>
      <c r="BJ65" s="17" t="s">
        <v>50</v>
      </c>
      <c r="BK65" s="18" t="s">
        <v>329</v>
      </c>
      <c r="BL65" s="18" t="s">
        <v>329</v>
      </c>
      <c r="BM65" s="17" t="s">
        <v>50</v>
      </c>
      <c r="BN65" s="17" t="s">
        <v>50</v>
      </c>
      <c r="BO65" s="19" t="s">
        <v>329</v>
      </c>
      <c r="BP65" s="19" t="s">
        <v>329</v>
      </c>
      <c r="BQ65" s="19" t="s">
        <v>329</v>
      </c>
      <c r="BR65" s="17" t="s">
        <v>50</v>
      </c>
      <c r="BS65" s="19" t="s">
        <v>329</v>
      </c>
      <c r="BT65" s="19" t="s">
        <v>329</v>
      </c>
      <c r="BU65" s="19" t="s">
        <v>329</v>
      </c>
      <c r="BV65" s="17" t="s">
        <v>50</v>
      </c>
      <c r="BW65" s="19" t="s">
        <v>329</v>
      </c>
      <c r="BX65" s="19" t="s">
        <v>329</v>
      </c>
      <c r="BY65" s="36" t="s">
        <v>125</v>
      </c>
      <c r="BZ65" s="17" t="s">
        <v>50</v>
      </c>
      <c r="CA65" s="17" t="s">
        <v>50</v>
      </c>
      <c r="CB65" s="36" t="s">
        <v>125</v>
      </c>
      <c r="CC65" s="17" t="s">
        <v>50</v>
      </c>
      <c r="CD65" s="36" t="s">
        <v>125</v>
      </c>
      <c r="CE65" s="17" t="s">
        <v>50</v>
      </c>
      <c r="CF65" s="19" t="s">
        <v>329</v>
      </c>
      <c r="CG65" s="19" t="s">
        <v>329</v>
      </c>
      <c r="CH65" s="19" t="s">
        <v>329</v>
      </c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</row>
    <row r="66" ht="16.5" customHeight="1">
      <c r="A66" s="14" t="s">
        <v>508</v>
      </c>
      <c r="B66" s="17" t="s">
        <v>487</v>
      </c>
      <c r="C66" s="16">
        <v>1.039448695E9</v>
      </c>
      <c r="D66" s="17" t="s">
        <v>127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36" t="s">
        <v>324</v>
      </c>
      <c r="P66" s="36" t="s">
        <v>324</v>
      </c>
      <c r="Q66" s="36" t="s">
        <v>324</v>
      </c>
      <c r="R66" s="36" t="s">
        <v>324</v>
      </c>
      <c r="S66" s="36" t="s">
        <v>324</v>
      </c>
      <c r="T66" s="36" t="s">
        <v>324</v>
      </c>
      <c r="U66" s="36" t="s">
        <v>324</v>
      </c>
      <c r="V66" s="36" t="s">
        <v>324</v>
      </c>
      <c r="W66" s="36" t="s">
        <v>324</v>
      </c>
      <c r="X66" s="36" t="s">
        <v>324</v>
      </c>
      <c r="Y66" s="36" t="s">
        <v>324</v>
      </c>
      <c r="Z66" s="36" t="s">
        <v>324</v>
      </c>
      <c r="AA66" s="36" t="s">
        <v>324</v>
      </c>
      <c r="AB66" s="36" t="s">
        <v>324</v>
      </c>
      <c r="AC66" s="36" t="s">
        <v>324</v>
      </c>
      <c r="AD66" s="36" t="s">
        <v>324</v>
      </c>
      <c r="AE66" s="36" t="s">
        <v>324</v>
      </c>
      <c r="AF66" s="36" t="s">
        <v>324</v>
      </c>
      <c r="AG66" s="36" t="s">
        <v>324</v>
      </c>
      <c r="AH66" s="36" t="s">
        <v>324</v>
      </c>
      <c r="AI66" s="36" t="s">
        <v>324</v>
      </c>
      <c r="AJ66" s="36" t="s">
        <v>324</v>
      </c>
      <c r="AK66" s="18" t="s">
        <v>50</v>
      </c>
      <c r="AL66" s="18" t="s">
        <v>50</v>
      </c>
      <c r="AM66" s="19" t="s">
        <v>329</v>
      </c>
      <c r="AN66" s="19" t="s">
        <v>329</v>
      </c>
      <c r="AO66" s="19" t="s">
        <v>329</v>
      </c>
      <c r="AP66" s="19" t="s">
        <v>329</v>
      </c>
      <c r="AQ66" s="17" t="s">
        <v>329</v>
      </c>
      <c r="AR66" s="17" t="s">
        <v>329</v>
      </c>
      <c r="AS66" s="19" t="s">
        <v>329</v>
      </c>
      <c r="AT66" s="17" t="s">
        <v>111</v>
      </c>
      <c r="AU66" s="17" t="s">
        <v>111</v>
      </c>
      <c r="AV66" s="17" t="s">
        <v>111</v>
      </c>
      <c r="AW66" s="17" t="s">
        <v>111</v>
      </c>
      <c r="AX66" s="17" t="s">
        <v>111</v>
      </c>
      <c r="AY66" s="17" t="s">
        <v>111</v>
      </c>
      <c r="AZ66" s="17" t="s">
        <v>111</v>
      </c>
      <c r="BA66" s="17" t="s">
        <v>111</v>
      </c>
      <c r="BB66" s="17" t="s">
        <v>111</v>
      </c>
      <c r="BC66" s="17" t="s">
        <v>111</v>
      </c>
      <c r="BD66" s="19" t="s">
        <v>329</v>
      </c>
      <c r="BE66" s="17" t="s">
        <v>50</v>
      </c>
      <c r="BF66" s="19" t="s">
        <v>329</v>
      </c>
      <c r="BG66" s="19" t="s">
        <v>329</v>
      </c>
      <c r="BH66" s="19" t="s">
        <v>329</v>
      </c>
      <c r="BI66" s="19" t="s">
        <v>329</v>
      </c>
      <c r="BJ66" s="19" t="s">
        <v>329</v>
      </c>
      <c r="BK66" s="19" t="s">
        <v>329</v>
      </c>
      <c r="BL66" s="19" t="s">
        <v>329</v>
      </c>
      <c r="BM66" s="19" t="s">
        <v>329</v>
      </c>
      <c r="BN66" s="19" t="s">
        <v>329</v>
      </c>
      <c r="BO66" s="19" t="s">
        <v>329</v>
      </c>
      <c r="BP66" s="19" t="s">
        <v>329</v>
      </c>
      <c r="BQ66" s="19" t="s">
        <v>329</v>
      </c>
      <c r="BR66" s="19" t="s">
        <v>329</v>
      </c>
      <c r="BS66" s="19" t="s">
        <v>329</v>
      </c>
      <c r="BT66" s="19" t="s">
        <v>329</v>
      </c>
      <c r="BU66" s="19" t="s">
        <v>329</v>
      </c>
      <c r="BV66" s="19" t="s">
        <v>329</v>
      </c>
      <c r="BW66" s="19" t="s">
        <v>329</v>
      </c>
      <c r="BX66" s="19" t="s">
        <v>329</v>
      </c>
      <c r="BY66" s="19" t="s">
        <v>329</v>
      </c>
      <c r="BZ66" s="19" t="s">
        <v>329</v>
      </c>
      <c r="CA66" s="19" t="s">
        <v>329</v>
      </c>
      <c r="CB66" s="19" t="s">
        <v>329</v>
      </c>
      <c r="CC66" s="19" t="s">
        <v>329</v>
      </c>
      <c r="CD66" s="19" t="s">
        <v>329</v>
      </c>
      <c r="CE66" s="19" t="s">
        <v>329</v>
      </c>
      <c r="CF66" s="19" t="s">
        <v>329</v>
      </c>
      <c r="CG66" s="19" t="s">
        <v>329</v>
      </c>
      <c r="CH66" s="19" t="s">
        <v>329</v>
      </c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</row>
    <row r="67" ht="16.5" customHeight="1">
      <c r="A67" s="31" t="s">
        <v>488</v>
      </c>
      <c r="B67" s="17" t="s">
        <v>489</v>
      </c>
      <c r="C67" s="16">
        <v>1.000869829E9</v>
      </c>
      <c r="D67" s="17" t="s">
        <v>127</v>
      </c>
      <c r="E67" s="22"/>
      <c r="F67" s="19" t="s">
        <v>329</v>
      </c>
      <c r="G67" s="22"/>
      <c r="H67" s="19" t="s">
        <v>329</v>
      </c>
      <c r="I67" s="22"/>
      <c r="J67" s="19" t="s">
        <v>329</v>
      </c>
      <c r="K67" s="22"/>
      <c r="L67" s="19" t="s">
        <v>329</v>
      </c>
      <c r="M67" s="22"/>
      <c r="N67" s="22"/>
      <c r="O67" s="19" t="s">
        <v>51</v>
      </c>
      <c r="P67" s="18" t="s">
        <v>50</v>
      </c>
      <c r="Q67" s="18" t="s">
        <v>50</v>
      </c>
      <c r="R67" s="18" t="s">
        <v>50</v>
      </c>
      <c r="S67" s="19" t="s">
        <v>51</v>
      </c>
      <c r="T67" s="19" t="s">
        <v>51</v>
      </c>
      <c r="U67" s="18" t="s">
        <v>50</v>
      </c>
      <c r="V67" s="18" t="s">
        <v>50</v>
      </c>
      <c r="W67" s="18" t="s">
        <v>50</v>
      </c>
      <c r="X67" s="18" t="s">
        <v>50</v>
      </c>
      <c r="Y67" s="18" t="s">
        <v>50</v>
      </c>
      <c r="Z67" s="18" t="s">
        <v>52</v>
      </c>
      <c r="AA67" s="18" t="s">
        <v>51</v>
      </c>
      <c r="AB67" s="18" t="s">
        <v>50</v>
      </c>
      <c r="AC67" s="18" t="s">
        <v>50</v>
      </c>
      <c r="AD67" s="18" t="s">
        <v>50</v>
      </c>
      <c r="AE67" s="18" t="s">
        <v>51</v>
      </c>
      <c r="AF67" s="18" t="s">
        <v>50</v>
      </c>
      <c r="AG67" s="18" t="s">
        <v>50</v>
      </c>
      <c r="AH67" s="18" t="s">
        <v>50</v>
      </c>
      <c r="AI67" s="18" t="s">
        <v>50</v>
      </c>
      <c r="AJ67" s="18" t="s">
        <v>50</v>
      </c>
      <c r="AK67" s="17" t="s">
        <v>50</v>
      </c>
      <c r="AL67" s="17" t="s">
        <v>50</v>
      </c>
      <c r="AM67" s="17" t="s">
        <v>50</v>
      </c>
      <c r="AN67" s="17" t="s">
        <v>50</v>
      </c>
      <c r="AO67" s="17" t="s">
        <v>50</v>
      </c>
      <c r="AP67" s="17" t="s">
        <v>50</v>
      </c>
      <c r="AQ67" s="17" t="s">
        <v>50</v>
      </c>
      <c r="AR67" s="17" t="s">
        <v>50</v>
      </c>
      <c r="AS67" s="17" t="s">
        <v>50</v>
      </c>
      <c r="AT67" s="17" t="s">
        <v>50</v>
      </c>
      <c r="AU67" s="19" t="s">
        <v>329</v>
      </c>
      <c r="AV67" s="17" t="s">
        <v>111</v>
      </c>
      <c r="AW67" s="19" t="s">
        <v>329</v>
      </c>
      <c r="AX67" s="17" t="s">
        <v>50</v>
      </c>
      <c r="AY67" s="17" t="s">
        <v>111</v>
      </c>
      <c r="AZ67" s="19" t="s">
        <v>329</v>
      </c>
      <c r="BA67" s="19" t="s">
        <v>329</v>
      </c>
      <c r="BB67" s="17" t="s">
        <v>111</v>
      </c>
      <c r="BC67" s="17" t="s">
        <v>111</v>
      </c>
      <c r="BD67" s="19" t="s">
        <v>329</v>
      </c>
      <c r="BE67" s="17" t="s">
        <v>50</v>
      </c>
      <c r="BF67" s="17" t="s">
        <v>50</v>
      </c>
      <c r="BG67" s="17" t="s">
        <v>50</v>
      </c>
      <c r="BH67" s="17" t="s">
        <v>50</v>
      </c>
      <c r="BI67" s="17" t="s">
        <v>50</v>
      </c>
      <c r="BJ67" s="17" t="s">
        <v>50</v>
      </c>
      <c r="BK67" s="17" t="s">
        <v>50</v>
      </c>
      <c r="BL67" s="17" t="s">
        <v>50</v>
      </c>
      <c r="BM67" s="17" t="s">
        <v>50</v>
      </c>
      <c r="BN67" s="17" t="s">
        <v>50</v>
      </c>
      <c r="BO67" s="17" t="s">
        <v>50</v>
      </c>
      <c r="BP67" s="17" t="s">
        <v>50</v>
      </c>
      <c r="BQ67" s="17" t="s">
        <v>50</v>
      </c>
      <c r="BR67" s="17" t="s">
        <v>50</v>
      </c>
      <c r="BS67" s="19" t="s">
        <v>50</v>
      </c>
      <c r="BT67" s="19" t="s">
        <v>51</v>
      </c>
      <c r="BU67" s="17" t="s">
        <v>50</v>
      </c>
      <c r="BV67" s="17" t="s">
        <v>50</v>
      </c>
      <c r="BW67" s="17" t="s">
        <v>50</v>
      </c>
      <c r="BX67" s="17" t="s">
        <v>50</v>
      </c>
      <c r="BY67" s="17" t="s">
        <v>50</v>
      </c>
      <c r="BZ67" s="17" t="s">
        <v>50</v>
      </c>
      <c r="CA67" s="17" t="s">
        <v>50</v>
      </c>
      <c r="CB67" s="17" t="s">
        <v>50</v>
      </c>
      <c r="CC67" s="17" t="s">
        <v>50</v>
      </c>
      <c r="CD67" s="17" t="s">
        <v>50</v>
      </c>
      <c r="CE67" s="17" t="s">
        <v>50</v>
      </c>
      <c r="CF67" s="17" t="s">
        <v>50</v>
      </c>
      <c r="CG67" s="17" t="s">
        <v>50</v>
      </c>
      <c r="CH67" s="17" t="s">
        <v>50</v>
      </c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</row>
    <row r="68" ht="16.5" customHeight="1">
      <c r="A68" s="39" t="s">
        <v>490</v>
      </c>
      <c r="B68" s="17" t="s">
        <v>491</v>
      </c>
      <c r="C68" s="16">
        <v>1.001227996E9</v>
      </c>
      <c r="D68" s="17" t="s">
        <v>127</v>
      </c>
      <c r="E68" s="22"/>
      <c r="F68" s="19" t="s">
        <v>329</v>
      </c>
      <c r="G68" s="19" t="s">
        <v>328</v>
      </c>
      <c r="H68" s="22"/>
      <c r="I68" s="22"/>
      <c r="J68" s="18" t="s">
        <v>50</v>
      </c>
      <c r="K68" s="19" t="s">
        <v>334</v>
      </c>
      <c r="L68" s="22"/>
      <c r="M68" s="19" t="s">
        <v>329</v>
      </c>
      <c r="N68" s="18" t="s">
        <v>50</v>
      </c>
      <c r="O68" s="36" t="s">
        <v>424</v>
      </c>
      <c r="P68" s="18" t="s">
        <v>50</v>
      </c>
      <c r="Q68" s="36" t="s">
        <v>324</v>
      </c>
      <c r="R68" s="18" t="s">
        <v>50</v>
      </c>
      <c r="S68" s="36" t="s">
        <v>324</v>
      </c>
      <c r="T68" s="19" t="s">
        <v>51</v>
      </c>
      <c r="U68" s="36" t="s">
        <v>324</v>
      </c>
      <c r="V68" s="18" t="s">
        <v>50</v>
      </c>
      <c r="W68" s="36" t="s">
        <v>324</v>
      </c>
      <c r="X68" s="18" t="s">
        <v>50</v>
      </c>
      <c r="Y68" s="18" t="s">
        <v>50</v>
      </c>
      <c r="Z68" s="18" t="s">
        <v>50</v>
      </c>
      <c r="AA68" s="18" t="s">
        <v>50</v>
      </c>
      <c r="AB68" s="18" t="s">
        <v>51</v>
      </c>
      <c r="AC68" s="18" t="s">
        <v>51</v>
      </c>
      <c r="AD68" s="18" t="s">
        <v>50</v>
      </c>
      <c r="AE68" s="18" t="s">
        <v>50</v>
      </c>
      <c r="AF68" s="18" t="s">
        <v>50</v>
      </c>
      <c r="AG68" s="18" t="s">
        <v>329</v>
      </c>
      <c r="AH68" s="36" t="s">
        <v>324</v>
      </c>
      <c r="AI68" s="18" t="s">
        <v>50</v>
      </c>
      <c r="AJ68" s="36" t="s">
        <v>324</v>
      </c>
      <c r="AK68" s="18" t="s">
        <v>50</v>
      </c>
      <c r="AL68" s="18" t="s">
        <v>50</v>
      </c>
      <c r="AM68" s="17" t="s">
        <v>329</v>
      </c>
      <c r="AN68" s="17" t="s">
        <v>329</v>
      </c>
      <c r="AO68" s="17" t="s">
        <v>329</v>
      </c>
      <c r="AP68" s="17" t="s">
        <v>329</v>
      </c>
      <c r="AQ68" s="17" t="s">
        <v>50</v>
      </c>
      <c r="AR68" s="17" t="s">
        <v>50</v>
      </c>
      <c r="AS68" s="17" t="s">
        <v>50</v>
      </c>
      <c r="AT68" s="19" t="s">
        <v>329</v>
      </c>
      <c r="AU68" s="19" t="s">
        <v>329</v>
      </c>
      <c r="AV68" s="19" t="s">
        <v>328</v>
      </c>
      <c r="AW68" s="19" t="s">
        <v>334</v>
      </c>
      <c r="AX68" s="18" t="s">
        <v>111</v>
      </c>
      <c r="AY68" s="19" t="s">
        <v>334</v>
      </c>
      <c r="AZ68" s="19" t="s">
        <v>334</v>
      </c>
      <c r="BA68" s="19" t="s">
        <v>329</v>
      </c>
      <c r="BB68" s="19" t="s">
        <v>329</v>
      </c>
      <c r="BC68" s="17" t="s">
        <v>50</v>
      </c>
      <c r="BD68" s="19" t="s">
        <v>329</v>
      </c>
      <c r="BE68" s="17" t="s">
        <v>50</v>
      </c>
      <c r="BF68" s="17" t="s">
        <v>50</v>
      </c>
      <c r="BG68" s="17" t="s">
        <v>50</v>
      </c>
      <c r="BH68" s="18" t="s">
        <v>111</v>
      </c>
      <c r="BI68" s="17" t="s">
        <v>50</v>
      </c>
      <c r="BJ68" s="17" t="s">
        <v>50</v>
      </c>
      <c r="BK68" s="18" t="s">
        <v>111</v>
      </c>
      <c r="BL68" s="17" t="s">
        <v>50</v>
      </c>
      <c r="BM68" s="18" t="s">
        <v>111</v>
      </c>
      <c r="BN68" s="17" t="s">
        <v>50</v>
      </c>
      <c r="BO68" s="17" t="s">
        <v>111</v>
      </c>
      <c r="BP68" s="17" t="s">
        <v>50</v>
      </c>
      <c r="BQ68" s="17" t="s">
        <v>111</v>
      </c>
      <c r="BR68" s="17" t="s">
        <v>50</v>
      </c>
      <c r="BS68" s="17" t="s">
        <v>111</v>
      </c>
      <c r="BT68" s="17" t="s">
        <v>50</v>
      </c>
      <c r="BU68" s="17" t="s">
        <v>111</v>
      </c>
      <c r="BV68" s="17" t="s">
        <v>50</v>
      </c>
      <c r="BW68" s="17" t="s">
        <v>50</v>
      </c>
      <c r="BX68" s="17" t="s">
        <v>50</v>
      </c>
      <c r="BY68" s="17" t="s">
        <v>50</v>
      </c>
      <c r="BZ68" s="17" t="s">
        <v>50</v>
      </c>
      <c r="CA68" s="17" t="s">
        <v>50</v>
      </c>
      <c r="CB68" s="17" t="s">
        <v>50</v>
      </c>
      <c r="CC68" s="17" t="s">
        <v>50</v>
      </c>
      <c r="CD68" s="17" t="s">
        <v>50</v>
      </c>
      <c r="CE68" s="17" t="s">
        <v>50</v>
      </c>
      <c r="CF68" s="17" t="s">
        <v>50</v>
      </c>
      <c r="CG68" s="17" t="s">
        <v>50</v>
      </c>
      <c r="CH68" s="17" t="s">
        <v>50</v>
      </c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</row>
    <row r="69" ht="16.5" customHeight="1">
      <c r="A69" s="31" t="s">
        <v>492</v>
      </c>
      <c r="B69" s="17" t="s">
        <v>493</v>
      </c>
      <c r="C69" s="16">
        <v>1.03886706E9</v>
      </c>
      <c r="D69" s="17" t="s">
        <v>221</v>
      </c>
      <c r="E69" s="19" t="s">
        <v>329</v>
      </c>
      <c r="F69" s="22"/>
      <c r="G69" s="22"/>
      <c r="H69" s="19" t="s">
        <v>51</v>
      </c>
      <c r="I69" s="18" t="s">
        <v>50</v>
      </c>
      <c r="J69" s="22"/>
      <c r="K69" s="22"/>
      <c r="L69" s="18" t="s">
        <v>52</v>
      </c>
      <c r="M69" s="18" t="s">
        <v>52</v>
      </c>
      <c r="N69" s="22"/>
      <c r="O69" s="19" t="s">
        <v>51</v>
      </c>
      <c r="P69" s="19" t="s">
        <v>329</v>
      </c>
      <c r="Q69" s="18" t="s">
        <v>50</v>
      </c>
      <c r="R69" s="18" t="s">
        <v>50</v>
      </c>
      <c r="S69" s="18" t="s">
        <v>50</v>
      </c>
      <c r="T69" s="18" t="s">
        <v>50</v>
      </c>
      <c r="U69" s="18" t="s">
        <v>50</v>
      </c>
      <c r="V69" s="18" t="s">
        <v>50</v>
      </c>
      <c r="W69" s="18" t="s">
        <v>52</v>
      </c>
      <c r="X69" s="18" t="s">
        <v>50</v>
      </c>
      <c r="Y69" s="18" t="s">
        <v>50</v>
      </c>
      <c r="Z69" s="18" t="s">
        <v>52</v>
      </c>
      <c r="AA69" s="18" t="s">
        <v>51</v>
      </c>
      <c r="AB69" s="18" t="s">
        <v>50</v>
      </c>
      <c r="AC69" s="18" t="s">
        <v>50</v>
      </c>
      <c r="AD69" s="18" t="s">
        <v>50</v>
      </c>
      <c r="AE69" s="18" t="s">
        <v>52</v>
      </c>
      <c r="AF69" s="18" t="s">
        <v>50</v>
      </c>
      <c r="AG69" s="18" t="s">
        <v>50</v>
      </c>
      <c r="AH69" s="18" t="s">
        <v>50</v>
      </c>
      <c r="AI69" s="18" t="s">
        <v>50</v>
      </c>
      <c r="AJ69" s="18" t="s">
        <v>50</v>
      </c>
      <c r="AK69" s="18" t="s">
        <v>52</v>
      </c>
      <c r="AL69" s="18" t="s">
        <v>52</v>
      </c>
      <c r="AM69" s="17" t="s">
        <v>50</v>
      </c>
      <c r="AN69" s="17" t="s">
        <v>50</v>
      </c>
      <c r="AO69" s="18" t="s">
        <v>52</v>
      </c>
      <c r="AP69" s="18" t="s">
        <v>50</v>
      </c>
      <c r="AQ69" s="17" t="s">
        <v>50</v>
      </c>
      <c r="AR69" s="17" t="s">
        <v>50</v>
      </c>
      <c r="AS69" s="17" t="s">
        <v>329</v>
      </c>
      <c r="AT69" s="18" t="s">
        <v>111</v>
      </c>
      <c r="AU69" s="19" t="s">
        <v>329</v>
      </c>
      <c r="AV69" s="19" t="s">
        <v>329</v>
      </c>
      <c r="AW69" s="18" t="s">
        <v>111</v>
      </c>
      <c r="AX69" s="18" t="s">
        <v>111</v>
      </c>
      <c r="AY69" s="19" t="s">
        <v>334</v>
      </c>
      <c r="AZ69" s="18" t="s">
        <v>52</v>
      </c>
      <c r="BA69" s="18" t="s">
        <v>111</v>
      </c>
      <c r="BB69" s="18" t="s">
        <v>52</v>
      </c>
      <c r="BC69" s="17" t="s">
        <v>111</v>
      </c>
      <c r="BD69" s="17" t="s">
        <v>50</v>
      </c>
      <c r="BE69" s="18" t="s">
        <v>52</v>
      </c>
      <c r="BF69" s="27" t="s">
        <v>100</v>
      </c>
      <c r="BG69" s="18" t="s">
        <v>52</v>
      </c>
      <c r="BH69" s="27" t="s">
        <v>100</v>
      </c>
      <c r="BI69" s="17" t="s">
        <v>50</v>
      </c>
      <c r="BJ69" s="17" t="s">
        <v>50</v>
      </c>
      <c r="BK69" s="27" t="s">
        <v>100</v>
      </c>
      <c r="BL69" s="18" t="s">
        <v>52</v>
      </c>
      <c r="BM69" s="27" t="s">
        <v>100</v>
      </c>
      <c r="BN69" s="18" t="s">
        <v>52</v>
      </c>
      <c r="BO69" s="27" t="s">
        <v>100</v>
      </c>
      <c r="BP69" s="17" t="s">
        <v>50</v>
      </c>
      <c r="BQ69" s="27" t="s">
        <v>100</v>
      </c>
      <c r="BR69" s="18" t="s">
        <v>52</v>
      </c>
      <c r="BS69" s="27" t="s">
        <v>100</v>
      </c>
      <c r="BT69" s="17" t="s">
        <v>50</v>
      </c>
      <c r="BU69" s="27" t="s">
        <v>100</v>
      </c>
      <c r="BV69" s="27" t="s">
        <v>100</v>
      </c>
      <c r="BW69" s="17" t="s">
        <v>50</v>
      </c>
      <c r="BX69" s="17" t="s">
        <v>50</v>
      </c>
      <c r="BY69" s="27" t="s">
        <v>100</v>
      </c>
      <c r="BZ69" s="17" t="s">
        <v>50</v>
      </c>
      <c r="CA69" s="17" t="s">
        <v>50</v>
      </c>
      <c r="CB69" s="27" t="s">
        <v>100</v>
      </c>
      <c r="CC69" s="27" t="s">
        <v>100</v>
      </c>
      <c r="CD69" s="27" t="s">
        <v>100</v>
      </c>
      <c r="CE69" s="27" t="s">
        <v>100</v>
      </c>
      <c r="CF69" s="27" t="s">
        <v>100</v>
      </c>
      <c r="CG69" s="17" t="s">
        <v>50</v>
      </c>
      <c r="CH69" s="17" t="s">
        <v>50</v>
      </c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</row>
    <row r="70" ht="16.5" customHeight="1">
      <c r="A70" s="31" t="s">
        <v>494</v>
      </c>
      <c r="B70" s="17" t="s">
        <v>495</v>
      </c>
      <c r="C70" s="16">
        <v>1.07650306E9</v>
      </c>
      <c r="D70" s="17" t="s">
        <v>124</v>
      </c>
      <c r="E70" s="19" t="s">
        <v>329</v>
      </c>
      <c r="F70" s="22"/>
      <c r="G70" s="22"/>
      <c r="H70" s="22"/>
      <c r="I70" s="22"/>
      <c r="J70" s="22"/>
      <c r="K70" s="22"/>
      <c r="L70" s="22"/>
      <c r="M70" s="19" t="s">
        <v>51</v>
      </c>
      <c r="N70" s="22"/>
      <c r="O70" s="22"/>
      <c r="P70" s="36" t="s">
        <v>324</v>
      </c>
      <c r="Q70" s="22"/>
      <c r="R70" s="36" t="s">
        <v>324</v>
      </c>
      <c r="S70" s="22"/>
      <c r="T70" s="36" t="s">
        <v>324</v>
      </c>
      <c r="U70" s="22"/>
      <c r="V70" s="36" t="s">
        <v>324</v>
      </c>
      <c r="W70" s="17" t="s">
        <v>51</v>
      </c>
      <c r="X70" s="22"/>
      <c r="Y70" s="36" t="s">
        <v>324</v>
      </c>
      <c r="Z70" s="22"/>
      <c r="AA70" s="36" t="s">
        <v>324</v>
      </c>
      <c r="AB70" s="22"/>
      <c r="AC70" s="36" t="s">
        <v>324</v>
      </c>
      <c r="AD70" s="22"/>
      <c r="AE70" s="22"/>
      <c r="AF70" s="22"/>
      <c r="AG70" s="18" t="s">
        <v>51</v>
      </c>
      <c r="AH70" s="22"/>
      <c r="AI70" s="22"/>
      <c r="AJ70" s="22"/>
      <c r="AK70" s="22"/>
      <c r="AL70" s="18" t="s">
        <v>50</v>
      </c>
      <c r="AM70" s="17" t="s">
        <v>50</v>
      </c>
      <c r="AN70" s="17" t="s">
        <v>50</v>
      </c>
      <c r="AO70" s="17"/>
      <c r="AP70" s="17" t="s">
        <v>51</v>
      </c>
      <c r="AQ70" s="17" t="s">
        <v>50</v>
      </c>
      <c r="AR70" s="17" t="s">
        <v>50</v>
      </c>
      <c r="AS70" s="17" t="s">
        <v>50</v>
      </c>
      <c r="AT70" s="18" t="s">
        <v>50</v>
      </c>
      <c r="AU70" s="18" t="s">
        <v>50</v>
      </c>
      <c r="AV70" s="18" t="s">
        <v>111</v>
      </c>
      <c r="AW70" s="19" t="s">
        <v>51</v>
      </c>
      <c r="AX70" s="19" t="s">
        <v>329</v>
      </c>
      <c r="AY70" s="18" t="s">
        <v>111</v>
      </c>
      <c r="AZ70" s="19" t="s">
        <v>51</v>
      </c>
      <c r="BA70" s="18" t="s">
        <v>111</v>
      </c>
      <c r="BB70" s="19" t="s">
        <v>329</v>
      </c>
      <c r="BC70" s="17" t="s">
        <v>111</v>
      </c>
      <c r="BD70" s="17" t="s">
        <v>50</v>
      </c>
      <c r="BE70" s="17" t="s">
        <v>50</v>
      </c>
      <c r="BF70" s="17" t="s">
        <v>165</v>
      </c>
      <c r="BG70" s="17" t="s">
        <v>329</v>
      </c>
      <c r="BH70" s="17" t="s">
        <v>165</v>
      </c>
      <c r="BI70" s="17" t="s">
        <v>50</v>
      </c>
      <c r="BJ70" s="17" t="s">
        <v>50</v>
      </c>
      <c r="BK70" s="17" t="s">
        <v>111</v>
      </c>
      <c r="BL70" s="17" t="s">
        <v>329</v>
      </c>
      <c r="BM70" s="17" t="s">
        <v>111</v>
      </c>
      <c r="BN70" s="17" t="s">
        <v>329</v>
      </c>
      <c r="BO70" s="17" t="s">
        <v>111</v>
      </c>
      <c r="BP70" s="17" t="s">
        <v>50</v>
      </c>
      <c r="BQ70" s="17" t="s">
        <v>111</v>
      </c>
      <c r="BR70" s="19" t="s">
        <v>329</v>
      </c>
      <c r="BS70" s="17" t="s">
        <v>111</v>
      </c>
      <c r="BT70" s="17" t="s">
        <v>50</v>
      </c>
      <c r="BU70" s="17" t="s">
        <v>111</v>
      </c>
      <c r="BV70" s="19" t="s">
        <v>329</v>
      </c>
      <c r="BW70" s="17" t="s">
        <v>50</v>
      </c>
      <c r="BX70" s="17" t="s">
        <v>50</v>
      </c>
      <c r="BY70" s="17" t="s">
        <v>111</v>
      </c>
      <c r="BZ70" s="17" t="s">
        <v>50</v>
      </c>
      <c r="CA70" s="17" t="s">
        <v>50</v>
      </c>
      <c r="CB70" s="17" t="s">
        <v>111</v>
      </c>
      <c r="CC70" s="17" t="s">
        <v>50</v>
      </c>
      <c r="CD70" s="17" t="s">
        <v>111</v>
      </c>
      <c r="CE70" s="19" t="s">
        <v>329</v>
      </c>
      <c r="CF70" s="17" t="s">
        <v>111</v>
      </c>
      <c r="CG70" s="17" t="s">
        <v>50</v>
      </c>
      <c r="CH70" s="17" t="s">
        <v>50</v>
      </c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</row>
    <row r="71" ht="16.5" customHeight="1">
      <c r="A71" s="31" t="s">
        <v>496</v>
      </c>
      <c r="B71" s="17" t="s">
        <v>497</v>
      </c>
      <c r="C71" s="16">
        <v>1.028140164E9</v>
      </c>
      <c r="D71" s="17" t="s">
        <v>127</v>
      </c>
      <c r="E71" s="19" t="s">
        <v>329</v>
      </c>
      <c r="F71" s="18" t="s">
        <v>50</v>
      </c>
      <c r="G71" s="19" t="s">
        <v>341</v>
      </c>
      <c r="H71" s="22"/>
      <c r="I71" s="22"/>
      <c r="J71" s="19" t="s">
        <v>329</v>
      </c>
      <c r="K71" s="19" t="s">
        <v>329</v>
      </c>
      <c r="L71" s="22"/>
      <c r="M71" s="19" t="s">
        <v>329</v>
      </c>
      <c r="N71" s="22"/>
      <c r="O71" s="35" t="s">
        <v>111</v>
      </c>
      <c r="P71" s="18" t="s">
        <v>50</v>
      </c>
      <c r="Q71" s="35" t="s">
        <v>111</v>
      </c>
      <c r="R71" s="18" t="s">
        <v>50</v>
      </c>
      <c r="S71" s="35" t="s">
        <v>111</v>
      </c>
      <c r="T71" s="19" t="s">
        <v>51</v>
      </c>
      <c r="U71" s="35" t="s">
        <v>111</v>
      </c>
      <c r="V71" s="18" t="s">
        <v>50</v>
      </c>
      <c r="W71" s="18" t="s">
        <v>50</v>
      </c>
      <c r="X71" s="35" t="s">
        <v>111</v>
      </c>
      <c r="Y71" s="18" t="s">
        <v>50</v>
      </c>
      <c r="Z71" s="35" t="s">
        <v>111</v>
      </c>
      <c r="AA71" s="18" t="s">
        <v>50</v>
      </c>
      <c r="AB71" s="35" t="s">
        <v>111</v>
      </c>
      <c r="AC71" s="18" t="s">
        <v>50</v>
      </c>
      <c r="AD71" s="18" t="s">
        <v>50</v>
      </c>
      <c r="AE71" s="35" t="s">
        <v>111</v>
      </c>
      <c r="AF71" s="18" t="s">
        <v>50</v>
      </c>
      <c r="AG71" s="18" t="s">
        <v>50</v>
      </c>
      <c r="AH71" s="18" t="s">
        <v>50</v>
      </c>
      <c r="AI71" s="18" t="s">
        <v>50</v>
      </c>
      <c r="AJ71" s="18" t="s">
        <v>51</v>
      </c>
      <c r="AK71" s="18" t="s">
        <v>329</v>
      </c>
      <c r="AL71" s="18" t="s">
        <v>50</v>
      </c>
      <c r="AM71" s="18" t="s">
        <v>329</v>
      </c>
      <c r="AN71" s="18" t="s">
        <v>329</v>
      </c>
      <c r="AO71" s="17" t="s">
        <v>50</v>
      </c>
      <c r="AP71" s="17" t="s">
        <v>50</v>
      </c>
      <c r="AQ71" s="17" t="s">
        <v>50</v>
      </c>
      <c r="AR71" s="17" t="s">
        <v>50</v>
      </c>
      <c r="AS71" s="17" t="s">
        <v>50</v>
      </c>
      <c r="AT71" s="18" t="s">
        <v>111</v>
      </c>
      <c r="AU71" s="19" t="s">
        <v>51</v>
      </c>
      <c r="AV71" s="19" t="s">
        <v>329</v>
      </c>
      <c r="AW71" s="17" t="s">
        <v>111</v>
      </c>
      <c r="AX71" s="19" t="s">
        <v>51</v>
      </c>
      <c r="AY71" s="18" t="s">
        <v>111</v>
      </c>
      <c r="AZ71" s="19" t="s">
        <v>329</v>
      </c>
      <c r="BA71" s="17" t="s">
        <v>111</v>
      </c>
      <c r="BB71" s="19" t="s">
        <v>51</v>
      </c>
      <c r="BC71" s="17" t="s">
        <v>111</v>
      </c>
      <c r="BD71" s="17" t="s">
        <v>50</v>
      </c>
      <c r="BE71" s="19" t="s">
        <v>329</v>
      </c>
      <c r="BF71" s="17" t="s">
        <v>111</v>
      </c>
      <c r="BG71" s="17" t="s">
        <v>50</v>
      </c>
      <c r="BH71" s="17" t="s">
        <v>111</v>
      </c>
      <c r="BI71" s="17" t="s">
        <v>50</v>
      </c>
      <c r="BJ71" s="17" t="s">
        <v>50</v>
      </c>
      <c r="BK71" s="17" t="s">
        <v>111</v>
      </c>
      <c r="BL71" s="17" t="s">
        <v>329</v>
      </c>
      <c r="BM71" s="17" t="s">
        <v>111</v>
      </c>
      <c r="BN71" s="17" t="s">
        <v>50</v>
      </c>
      <c r="BO71" s="17" t="s">
        <v>111</v>
      </c>
      <c r="BP71" s="19" t="s">
        <v>329</v>
      </c>
      <c r="BQ71" s="17" t="s">
        <v>111</v>
      </c>
      <c r="BR71" s="17" t="s">
        <v>50</v>
      </c>
      <c r="BS71" s="17" t="s">
        <v>111</v>
      </c>
      <c r="BT71" s="19" t="s">
        <v>329</v>
      </c>
      <c r="BU71" s="17" t="s">
        <v>111</v>
      </c>
      <c r="BV71" s="17" t="s">
        <v>50</v>
      </c>
      <c r="BW71" s="17" t="s">
        <v>111</v>
      </c>
      <c r="BX71" s="17" t="s">
        <v>50</v>
      </c>
      <c r="BY71" s="17" t="s">
        <v>111</v>
      </c>
      <c r="BZ71" s="17" t="s">
        <v>50</v>
      </c>
      <c r="CA71" s="17" t="s">
        <v>50</v>
      </c>
      <c r="CB71" s="17" t="s">
        <v>111</v>
      </c>
      <c r="CC71" s="19" t="s">
        <v>329</v>
      </c>
      <c r="CD71" s="17" t="s">
        <v>111</v>
      </c>
      <c r="CE71" s="17" t="s">
        <v>50</v>
      </c>
      <c r="CF71" s="17" t="s">
        <v>50</v>
      </c>
      <c r="CG71" s="17" t="s">
        <v>50</v>
      </c>
      <c r="CH71" s="17" t="s">
        <v>50</v>
      </c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</row>
    <row r="72" ht="16.5" customHeight="1">
      <c r="A72" s="67" t="s">
        <v>498</v>
      </c>
      <c r="B72" s="17" t="s">
        <v>499</v>
      </c>
      <c r="C72" s="16">
        <v>1.007111473E9</v>
      </c>
      <c r="D72" s="17" t="s">
        <v>127</v>
      </c>
      <c r="E72" s="19" t="s">
        <v>51</v>
      </c>
      <c r="F72" s="18" t="s">
        <v>50</v>
      </c>
      <c r="G72" s="17" t="s">
        <v>51</v>
      </c>
      <c r="H72" s="22"/>
      <c r="I72" s="22"/>
      <c r="J72" s="22"/>
      <c r="K72" s="22"/>
      <c r="L72" s="22"/>
      <c r="M72" s="19" t="s">
        <v>329</v>
      </c>
      <c r="N72" s="22"/>
      <c r="O72" s="36" t="s">
        <v>125</v>
      </c>
      <c r="P72" s="19" t="s">
        <v>51</v>
      </c>
      <c r="Q72" s="36" t="s">
        <v>125</v>
      </c>
      <c r="R72" s="18" t="s">
        <v>50</v>
      </c>
      <c r="S72" s="36" t="s">
        <v>125</v>
      </c>
      <c r="T72" s="19" t="s">
        <v>51</v>
      </c>
      <c r="U72" s="36" t="s">
        <v>125</v>
      </c>
      <c r="V72" s="18" t="s">
        <v>50</v>
      </c>
      <c r="W72" s="18" t="s">
        <v>50</v>
      </c>
      <c r="X72" s="36" t="s">
        <v>125</v>
      </c>
      <c r="Y72" s="18" t="s">
        <v>50</v>
      </c>
      <c r="Z72" s="18" t="s">
        <v>52</v>
      </c>
      <c r="AA72" s="18" t="s">
        <v>50</v>
      </c>
      <c r="AB72" s="36" t="s">
        <v>125</v>
      </c>
      <c r="AC72" s="18" t="s">
        <v>50</v>
      </c>
      <c r="AD72" s="18" t="s">
        <v>50</v>
      </c>
      <c r="AE72" s="36" t="s">
        <v>125</v>
      </c>
      <c r="AF72" s="18" t="s">
        <v>50</v>
      </c>
      <c r="AG72" s="18" t="s">
        <v>50</v>
      </c>
      <c r="AH72" s="36" t="s">
        <v>125</v>
      </c>
      <c r="AI72" s="18" t="s">
        <v>50</v>
      </c>
      <c r="AJ72" s="36" t="s">
        <v>125</v>
      </c>
      <c r="AK72" s="18" t="s">
        <v>50</v>
      </c>
      <c r="AL72" s="18" t="s">
        <v>50</v>
      </c>
      <c r="AM72" s="17" t="s">
        <v>50</v>
      </c>
      <c r="AN72" s="17" t="s">
        <v>50</v>
      </c>
      <c r="AO72" s="17" t="s">
        <v>329</v>
      </c>
      <c r="AP72" s="17" t="s">
        <v>329</v>
      </c>
      <c r="AQ72" s="17" t="s">
        <v>50</v>
      </c>
      <c r="AR72" s="17" t="s">
        <v>50</v>
      </c>
      <c r="AS72" s="17" t="s">
        <v>50</v>
      </c>
      <c r="AT72" s="19" t="s">
        <v>329</v>
      </c>
      <c r="AU72" s="19" t="s">
        <v>51</v>
      </c>
      <c r="AV72" s="17" t="s">
        <v>111</v>
      </c>
      <c r="AW72" s="17" t="s">
        <v>111</v>
      </c>
      <c r="AX72" s="17" t="s">
        <v>111</v>
      </c>
      <c r="AY72" s="17" t="s">
        <v>111</v>
      </c>
      <c r="AZ72" s="17" t="s">
        <v>111</v>
      </c>
      <c r="BA72" s="17" t="s">
        <v>111</v>
      </c>
      <c r="BB72" s="19" t="s">
        <v>429</v>
      </c>
      <c r="BC72" s="19" t="s">
        <v>429</v>
      </c>
      <c r="BD72" s="17" t="s">
        <v>50</v>
      </c>
      <c r="BE72" s="17" t="s">
        <v>50</v>
      </c>
      <c r="BF72" s="17" t="s">
        <v>50</v>
      </c>
      <c r="BG72" s="17" t="s">
        <v>50</v>
      </c>
      <c r="BH72" s="17" t="s">
        <v>50</v>
      </c>
      <c r="BI72" s="17" t="s">
        <v>50</v>
      </c>
      <c r="BJ72" s="17" t="s">
        <v>50</v>
      </c>
      <c r="BK72" s="17" t="s">
        <v>50</v>
      </c>
      <c r="BL72" s="17" t="s">
        <v>50</v>
      </c>
      <c r="BM72" s="92" t="s">
        <v>329</v>
      </c>
      <c r="BN72" s="92" t="s">
        <v>329</v>
      </c>
      <c r="BO72" s="17" t="s">
        <v>50</v>
      </c>
      <c r="BP72" s="17" t="s">
        <v>50</v>
      </c>
      <c r="BQ72" s="19" t="s">
        <v>51</v>
      </c>
      <c r="BR72" s="17" t="s">
        <v>50</v>
      </c>
      <c r="BS72" s="17" t="s">
        <v>50</v>
      </c>
      <c r="BT72" s="17" t="s">
        <v>50</v>
      </c>
      <c r="BU72" s="19" t="s">
        <v>51</v>
      </c>
      <c r="BV72" s="19" t="s">
        <v>51</v>
      </c>
      <c r="BW72" s="17" t="s">
        <v>50</v>
      </c>
      <c r="BX72" s="17" t="s">
        <v>50</v>
      </c>
      <c r="BY72" s="17" t="s">
        <v>50</v>
      </c>
      <c r="BZ72" s="17" t="s">
        <v>50</v>
      </c>
      <c r="CA72" s="17" t="s">
        <v>50</v>
      </c>
      <c r="CB72" s="19" t="s">
        <v>329</v>
      </c>
      <c r="CC72" s="19" t="s">
        <v>329</v>
      </c>
      <c r="CD72" s="17" t="s">
        <v>50</v>
      </c>
      <c r="CE72" s="17" t="s">
        <v>50</v>
      </c>
      <c r="CF72" s="17" t="s">
        <v>51</v>
      </c>
      <c r="CG72" s="17" t="s">
        <v>50</v>
      </c>
      <c r="CH72" s="17" t="s">
        <v>50</v>
      </c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</row>
    <row r="73" ht="16.5" customHeight="1">
      <c r="A73" s="31" t="s">
        <v>500</v>
      </c>
      <c r="B73" s="17" t="s">
        <v>501</v>
      </c>
      <c r="C73" s="16">
        <v>1.017925527E9</v>
      </c>
      <c r="D73" s="17" t="s">
        <v>127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36" t="s">
        <v>324</v>
      </c>
      <c r="P73" s="36" t="s">
        <v>324</v>
      </c>
      <c r="Q73" s="36" t="s">
        <v>324</v>
      </c>
      <c r="R73" s="36" t="s">
        <v>324</v>
      </c>
      <c r="S73" s="36" t="s">
        <v>324</v>
      </c>
      <c r="T73" s="36" t="s">
        <v>324</v>
      </c>
      <c r="U73" s="36" t="s">
        <v>324</v>
      </c>
      <c r="V73" s="36" t="s">
        <v>324</v>
      </c>
      <c r="W73" s="36" t="s">
        <v>324</v>
      </c>
      <c r="X73" s="36" t="s">
        <v>324</v>
      </c>
      <c r="Y73" s="36" t="s">
        <v>324</v>
      </c>
      <c r="Z73" s="36" t="s">
        <v>52</v>
      </c>
      <c r="AA73" s="36" t="s">
        <v>324</v>
      </c>
      <c r="AB73" s="36" t="s">
        <v>324</v>
      </c>
      <c r="AC73" s="36" t="s">
        <v>324</v>
      </c>
      <c r="AD73" s="36" t="s">
        <v>324</v>
      </c>
      <c r="AE73" s="36" t="s">
        <v>324</v>
      </c>
      <c r="AF73" s="36" t="s">
        <v>324</v>
      </c>
      <c r="AG73" s="18" t="s">
        <v>50</v>
      </c>
      <c r="AH73" s="36" t="s">
        <v>324</v>
      </c>
      <c r="AI73" s="36" t="s">
        <v>324</v>
      </c>
      <c r="AJ73" s="36" t="s">
        <v>324</v>
      </c>
      <c r="AK73" s="18" t="s">
        <v>50</v>
      </c>
      <c r="AL73" s="18" t="s">
        <v>50</v>
      </c>
      <c r="AM73" s="17" t="s">
        <v>325</v>
      </c>
      <c r="AN73" s="17" t="s">
        <v>325</v>
      </c>
      <c r="AO73" s="17" t="s">
        <v>325</v>
      </c>
      <c r="AP73" s="17" t="s">
        <v>325</v>
      </c>
      <c r="AQ73" s="17" t="s">
        <v>325</v>
      </c>
      <c r="AR73" s="17" t="s">
        <v>325</v>
      </c>
      <c r="AS73" s="17" t="s">
        <v>325</v>
      </c>
      <c r="AT73" s="17" t="s">
        <v>111</v>
      </c>
      <c r="AU73" s="17" t="s">
        <v>111</v>
      </c>
      <c r="AV73" s="17" t="s">
        <v>111</v>
      </c>
      <c r="AW73" s="17" t="s">
        <v>111</v>
      </c>
      <c r="AX73" s="17" t="s">
        <v>111</v>
      </c>
      <c r="AY73" s="17" t="s">
        <v>111</v>
      </c>
      <c r="AZ73" s="17" t="s">
        <v>111</v>
      </c>
      <c r="BA73" s="17" t="s">
        <v>111</v>
      </c>
      <c r="BB73" s="17" t="s">
        <v>111</v>
      </c>
      <c r="BC73" s="17" t="s">
        <v>111</v>
      </c>
      <c r="BD73" s="17" t="s">
        <v>111</v>
      </c>
      <c r="BE73" s="17" t="s">
        <v>111</v>
      </c>
      <c r="BF73" s="17" t="s">
        <v>111</v>
      </c>
      <c r="BG73" s="17" t="s">
        <v>111</v>
      </c>
      <c r="BH73" s="17" t="s">
        <v>111</v>
      </c>
      <c r="BI73" s="17" t="s">
        <v>111</v>
      </c>
      <c r="BJ73" s="17" t="s">
        <v>111</v>
      </c>
      <c r="BK73" s="17" t="s">
        <v>111</v>
      </c>
      <c r="BL73" s="17" t="s">
        <v>111</v>
      </c>
      <c r="BM73" s="17" t="s">
        <v>111</v>
      </c>
      <c r="BN73" s="17" t="s">
        <v>111</v>
      </c>
      <c r="BO73" s="17" t="s">
        <v>111</v>
      </c>
      <c r="BP73" s="17" t="s">
        <v>111</v>
      </c>
      <c r="BQ73" s="19" t="s">
        <v>51</v>
      </c>
      <c r="BR73" s="19" t="s">
        <v>329</v>
      </c>
      <c r="BS73" s="19" t="s">
        <v>51</v>
      </c>
      <c r="BT73" s="19" t="s">
        <v>51</v>
      </c>
      <c r="BU73" s="19" t="s">
        <v>51</v>
      </c>
      <c r="BV73" s="19" t="s">
        <v>329</v>
      </c>
      <c r="BW73" s="17" t="s">
        <v>50</v>
      </c>
      <c r="BX73" s="17" t="s">
        <v>50</v>
      </c>
      <c r="BY73" s="19" t="s">
        <v>329</v>
      </c>
      <c r="BZ73" s="19" t="s">
        <v>329</v>
      </c>
      <c r="CA73" s="19" t="s">
        <v>329</v>
      </c>
      <c r="CB73" s="17" t="s">
        <v>50</v>
      </c>
      <c r="CC73" s="17" t="s">
        <v>50</v>
      </c>
      <c r="CD73" s="19" t="s">
        <v>329</v>
      </c>
      <c r="CE73" s="19" t="s">
        <v>329</v>
      </c>
      <c r="CF73" s="17" t="s">
        <v>50</v>
      </c>
      <c r="CG73" s="17" t="s">
        <v>50</v>
      </c>
      <c r="CH73" s="17" t="s">
        <v>50</v>
      </c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</row>
    <row r="74" ht="16.5" customHeight="1">
      <c r="A74" s="31" t="s">
        <v>502</v>
      </c>
      <c r="B74" s="17" t="s">
        <v>503</v>
      </c>
      <c r="C74" s="16">
        <v>1.027740864E9</v>
      </c>
      <c r="D74" s="17" t="s">
        <v>127</v>
      </c>
      <c r="E74" s="22"/>
      <c r="F74" s="19" t="s">
        <v>359</v>
      </c>
      <c r="G74" s="22"/>
      <c r="H74" s="22"/>
      <c r="I74" s="19" t="s">
        <v>360</v>
      </c>
      <c r="J74" s="22"/>
      <c r="K74" s="17" t="s">
        <v>51</v>
      </c>
      <c r="L74" s="22"/>
      <c r="M74" s="22"/>
      <c r="N74" s="19" t="s">
        <v>329</v>
      </c>
      <c r="O74" s="19" t="s">
        <v>329</v>
      </c>
      <c r="P74" s="18" t="s">
        <v>50</v>
      </c>
      <c r="Q74" s="18" t="s">
        <v>50</v>
      </c>
      <c r="R74" s="18" t="s">
        <v>50</v>
      </c>
      <c r="S74" s="19" t="s">
        <v>51</v>
      </c>
      <c r="T74" s="19" t="s">
        <v>51</v>
      </c>
      <c r="U74" s="18" t="s">
        <v>50</v>
      </c>
      <c r="V74" s="18" t="s">
        <v>50</v>
      </c>
      <c r="W74" s="18" t="s">
        <v>50</v>
      </c>
      <c r="X74" s="18" t="s">
        <v>51</v>
      </c>
      <c r="Y74" s="18" t="s">
        <v>50</v>
      </c>
      <c r="Z74" s="18" t="s">
        <v>51</v>
      </c>
      <c r="AA74" s="18" t="s">
        <v>50</v>
      </c>
      <c r="AB74" s="18" t="s">
        <v>50</v>
      </c>
      <c r="AC74" s="18" t="s">
        <v>50</v>
      </c>
      <c r="AD74" s="18" t="s">
        <v>50</v>
      </c>
      <c r="AE74" s="18" t="s">
        <v>51</v>
      </c>
      <c r="AF74" s="18" t="s">
        <v>50</v>
      </c>
      <c r="AG74" s="18" t="s">
        <v>50</v>
      </c>
      <c r="AH74" s="18" t="s">
        <v>50</v>
      </c>
      <c r="AI74" s="18" t="s">
        <v>50</v>
      </c>
      <c r="AJ74" s="18" t="s">
        <v>50</v>
      </c>
      <c r="AK74" s="18" t="s">
        <v>51</v>
      </c>
      <c r="AL74" s="18" t="s">
        <v>329</v>
      </c>
      <c r="AM74" s="17" t="s">
        <v>50</v>
      </c>
      <c r="AN74" s="17" t="s">
        <v>50</v>
      </c>
      <c r="AO74" s="17" t="s">
        <v>50</v>
      </c>
      <c r="AP74" s="17" t="s">
        <v>50</v>
      </c>
      <c r="AQ74" s="17" t="s">
        <v>329</v>
      </c>
      <c r="AR74" s="17" t="s">
        <v>329</v>
      </c>
      <c r="AS74" s="17" t="s">
        <v>50</v>
      </c>
      <c r="AT74" s="19" t="s">
        <v>329</v>
      </c>
      <c r="AU74" s="17" t="s">
        <v>111</v>
      </c>
      <c r="AV74" s="17" t="s">
        <v>111</v>
      </c>
      <c r="AW74" s="17" t="s">
        <v>111</v>
      </c>
      <c r="AX74" s="17" t="s">
        <v>50</v>
      </c>
      <c r="AY74" s="17" t="s">
        <v>111</v>
      </c>
      <c r="AZ74" s="17" t="s">
        <v>111</v>
      </c>
      <c r="BA74" s="17" t="s">
        <v>111</v>
      </c>
      <c r="BB74" s="17" t="s">
        <v>111</v>
      </c>
      <c r="BC74" s="17" t="s">
        <v>50</v>
      </c>
      <c r="BD74" s="17" t="s">
        <v>50</v>
      </c>
      <c r="BE74" s="17" t="s">
        <v>50</v>
      </c>
      <c r="BF74" s="18" t="s">
        <v>329</v>
      </c>
      <c r="BG74" s="18" t="s">
        <v>329</v>
      </c>
      <c r="BH74" s="18" t="s">
        <v>329</v>
      </c>
      <c r="BI74" s="17" t="s">
        <v>50</v>
      </c>
      <c r="BJ74" s="17" t="s">
        <v>50</v>
      </c>
      <c r="BK74" s="18" t="s">
        <v>329</v>
      </c>
      <c r="BL74" s="17" t="s">
        <v>50</v>
      </c>
      <c r="BM74" s="17" t="s">
        <v>50</v>
      </c>
      <c r="BN74" s="17" t="s">
        <v>50</v>
      </c>
      <c r="BO74" s="19" t="s">
        <v>329</v>
      </c>
      <c r="BP74" s="19" t="s">
        <v>329</v>
      </c>
      <c r="BQ74" s="19" t="s">
        <v>329</v>
      </c>
      <c r="BR74" s="17" t="s">
        <v>50</v>
      </c>
      <c r="BS74" s="19" t="s">
        <v>329</v>
      </c>
      <c r="BT74" s="19" t="s">
        <v>329</v>
      </c>
      <c r="BU74" s="19" t="s">
        <v>329</v>
      </c>
      <c r="BV74" s="17" t="s">
        <v>50</v>
      </c>
      <c r="BW74" s="19" t="s">
        <v>329</v>
      </c>
      <c r="BX74" s="17" t="s">
        <v>50</v>
      </c>
      <c r="BY74" s="19" t="s">
        <v>329</v>
      </c>
      <c r="BZ74" s="19" t="s">
        <v>329</v>
      </c>
      <c r="CA74" s="17" t="s">
        <v>50</v>
      </c>
      <c r="CB74" s="19" t="s">
        <v>329</v>
      </c>
      <c r="CC74" s="17" t="s">
        <v>50</v>
      </c>
      <c r="CD74" s="19" t="s">
        <v>329</v>
      </c>
      <c r="CE74" s="17" t="s">
        <v>50</v>
      </c>
      <c r="CF74" s="19" t="s">
        <v>329</v>
      </c>
      <c r="CG74" s="17" t="s">
        <v>50</v>
      </c>
      <c r="CH74" s="17" t="s">
        <v>50</v>
      </c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</row>
    <row r="75" ht="16.5" customHeight="1">
      <c r="A75" s="31" t="s">
        <v>504</v>
      </c>
      <c r="B75" s="17" t="s">
        <v>505</v>
      </c>
      <c r="C75" s="16">
        <v>1.000444914E9</v>
      </c>
      <c r="D75" s="17" t="s">
        <v>127</v>
      </c>
      <c r="E75" s="22"/>
      <c r="F75" s="19" t="s">
        <v>402</v>
      </c>
      <c r="G75" s="19" t="s">
        <v>50</v>
      </c>
      <c r="H75" s="19" t="s">
        <v>329</v>
      </c>
      <c r="I75" s="22"/>
      <c r="J75" s="19" t="s">
        <v>329</v>
      </c>
      <c r="K75" s="22"/>
      <c r="L75" s="19" t="s">
        <v>329</v>
      </c>
      <c r="M75" s="22"/>
      <c r="N75" s="19" t="s">
        <v>329</v>
      </c>
      <c r="O75" s="18" t="s">
        <v>50</v>
      </c>
      <c r="P75" s="18" t="s">
        <v>50</v>
      </c>
      <c r="Q75" s="19" t="s">
        <v>51</v>
      </c>
      <c r="R75" s="19" t="s">
        <v>51</v>
      </c>
      <c r="S75" s="18" t="s">
        <v>50</v>
      </c>
      <c r="T75" s="18" t="s">
        <v>50</v>
      </c>
      <c r="U75" s="18" t="s">
        <v>50</v>
      </c>
      <c r="V75" s="18" t="s">
        <v>50</v>
      </c>
      <c r="W75" s="18" t="s">
        <v>51</v>
      </c>
      <c r="X75" s="18" t="s">
        <v>50</v>
      </c>
      <c r="Y75" s="18" t="s">
        <v>50</v>
      </c>
      <c r="Z75" s="18" t="s">
        <v>52</v>
      </c>
      <c r="AA75" s="18" t="s">
        <v>50</v>
      </c>
      <c r="AB75" s="18" t="s">
        <v>50</v>
      </c>
      <c r="AC75" s="18" t="s">
        <v>50</v>
      </c>
      <c r="AD75" s="18" t="s">
        <v>50</v>
      </c>
      <c r="AE75" s="18" t="s">
        <v>329</v>
      </c>
      <c r="AF75" s="18" t="s">
        <v>50</v>
      </c>
      <c r="AG75" s="18" t="s">
        <v>329</v>
      </c>
      <c r="AH75" s="18" t="s">
        <v>50</v>
      </c>
      <c r="AI75" s="18" t="s">
        <v>50</v>
      </c>
      <c r="AJ75" s="18" t="s">
        <v>50</v>
      </c>
      <c r="AK75" s="18" t="s">
        <v>50</v>
      </c>
      <c r="AL75" s="18" t="s">
        <v>50</v>
      </c>
      <c r="AM75" s="17" t="s">
        <v>329</v>
      </c>
      <c r="AN75" s="17" t="s">
        <v>329</v>
      </c>
      <c r="AO75" s="17" t="s">
        <v>50</v>
      </c>
      <c r="AP75" s="17" t="s">
        <v>50</v>
      </c>
      <c r="AQ75" s="17" t="s">
        <v>50</v>
      </c>
      <c r="AR75" s="17" t="s">
        <v>50</v>
      </c>
      <c r="AS75" s="17" t="s">
        <v>50</v>
      </c>
      <c r="AT75" s="17" t="s">
        <v>111</v>
      </c>
      <c r="AU75" s="19" t="s">
        <v>402</v>
      </c>
      <c r="AV75" s="19" t="s">
        <v>329</v>
      </c>
      <c r="AW75" s="19" t="s">
        <v>329</v>
      </c>
      <c r="AX75" s="17" t="s">
        <v>111</v>
      </c>
      <c r="AY75" s="19" t="s">
        <v>329</v>
      </c>
      <c r="AZ75" s="17" t="s">
        <v>50</v>
      </c>
      <c r="BA75" s="19" t="s">
        <v>329</v>
      </c>
      <c r="BB75" s="17" t="s">
        <v>111</v>
      </c>
      <c r="BC75" s="19" t="s">
        <v>329</v>
      </c>
      <c r="BD75" s="17" t="s">
        <v>50</v>
      </c>
      <c r="BE75" s="17" t="s">
        <v>50</v>
      </c>
      <c r="BF75" s="17" t="s">
        <v>50</v>
      </c>
      <c r="BG75" s="17" t="s">
        <v>50</v>
      </c>
      <c r="BH75" s="17" t="s">
        <v>50</v>
      </c>
      <c r="BI75" s="17" t="s">
        <v>50</v>
      </c>
      <c r="BJ75" s="17" t="s">
        <v>50</v>
      </c>
      <c r="BK75" s="19" t="s">
        <v>329</v>
      </c>
      <c r="BL75" s="19" t="s">
        <v>329</v>
      </c>
      <c r="BM75" s="17" t="s">
        <v>50</v>
      </c>
      <c r="BN75" s="17" t="s">
        <v>50</v>
      </c>
      <c r="BO75" s="17" t="s">
        <v>50</v>
      </c>
      <c r="BP75" s="17" t="s">
        <v>50</v>
      </c>
      <c r="BQ75" s="17" t="s">
        <v>50</v>
      </c>
      <c r="BR75" s="17" t="s">
        <v>50</v>
      </c>
      <c r="BS75" s="17" t="s">
        <v>50</v>
      </c>
      <c r="BT75" s="17" t="s">
        <v>50</v>
      </c>
      <c r="BU75" s="17" t="s">
        <v>50</v>
      </c>
      <c r="BV75" s="17" t="s">
        <v>50</v>
      </c>
      <c r="BW75" s="17" t="s">
        <v>50</v>
      </c>
      <c r="BX75" s="17" t="s">
        <v>50</v>
      </c>
      <c r="BY75" s="17" t="s">
        <v>50</v>
      </c>
      <c r="BZ75" s="17" t="s">
        <v>50</v>
      </c>
      <c r="CA75" s="17" t="s">
        <v>50</v>
      </c>
      <c r="CB75" s="17" t="s">
        <v>50</v>
      </c>
      <c r="CC75" s="17" t="s">
        <v>50</v>
      </c>
      <c r="CD75" s="17" t="s">
        <v>50</v>
      </c>
      <c r="CE75" s="17" t="s">
        <v>50</v>
      </c>
      <c r="CF75" s="17" t="s">
        <v>50</v>
      </c>
      <c r="CG75" s="17" t="s">
        <v>50</v>
      </c>
      <c r="CH75" s="17" t="s">
        <v>50</v>
      </c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</row>
    <row r="76" ht="16.5" customHeight="1">
      <c r="A76" s="14" t="s">
        <v>506</v>
      </c>
      <c r="B76" s="17" t="s">
        <v>507</v>
      </c>
      <c r="C76" s="16">
        <v>1.022003649E9</v>
      </c>
      <c r="D76" s="17" t="s">
        <v>127</v>
      </c>
      <c r="E76" s="22"/>
      <c r="F76" s="22"/>
      <c r="G76" s="22"/>
      <c r="H76" s="22"/>
      <c r="I76" s="19" t="s">
        <v>329</v>
      </c>
      <c r="J76" s="22"/>
      <c r="K76" s="19" t="s">
        <v>334</v>
      </c>
      <c r="L76" s="22"/>
      <c r="M76" s="19" t="s">
        <v>391</v>
      </c>
      <c r="N76" s="22"/>
      <c r="O76" s="19" t="s">
        <v>51</v>
      </c>
      <c r="P76" s="18" t="s">
        <v>50</v>
      </c>
      <c r="Q76" s="18" t="s">
        <v>50</v>
      </c>
      <c r="R76" s="18" t="s">
        <v>50</v>
      </c>
      <c r="S76" s="19" t="s">
        <v>51</v>
      </c>
      <c r="T76" s="19" t="s">
        <v>51</v>
      </c>
      <c r="U76" s="18" t="s">
        <v>50</v>
      </c>
      <c r="V76" s="18" t="s">
        <v>50</v>
      </c>
      <c r="W76" s="18" t="s">
        <v>50</v>
      </c>
      <c r="X76" s="18" t="s">
        <v>51</v>
      </c>
      <c r="Y76" s="18" t="s">
        <v>51</v>
      </c>
      <c r="Z76" s="18" t="s">
        <v>50</v>
      </c>
      <c r="AA76" s="18" t="s">
        <v>50</v>
      </c>
      <c r="AB76" s="18" t="s">
        <v>50</v>
      </c>
      <c r="AC76" s="18" t="s">
        <v>50</v>
      </c>
      <c r="AD76" s="18" t="s">
        <v>50</v>
      </c>
      <c r="AE76" s="18" t="s">
        <v>50</v>
      </c>
      <c r="AF76" s="18" t="s">
        <v>50</v>
      </c>
      <c r="AG76" s="18" t="s">
        <v>50</v>
      </c>
      <c r="AH76" s="18" t="s">
        <v>50</v>
      </c>
      <c r="AI76" s="18" t="s">
        <v>50</v>
      </c>
      <c r="AJ76" s="18" t="s">
        <v>50</v>
      </c>
      <c r="AK76" s="18" t="s">
        <v>50</v>
      </c>
      <c r="AL76" s="18" t="s">
        <v>50</v>
      </c>
      <c r="AM76" s="17" t="s">
        <v>50</v>
      </c>
      <c r="AN76" s="17" t="s">
        <v>50</v>
      </c>
      <c r="AO76" s="17" t="s">
        <v>50</v>
      </c>
      <c r="AP76" s="17" t="s">
        <v>50</v>
      </c>
      <c r="AQ76" s="17" t="s">
        <v>50</v>
      </c>
      <c r="AR76" s="17" t="s">
        <v>50</v>
      </c>
      <c r="AS76" s="17" t="s">
        <v>50</v>
      </c>
      <c r="AT76" s="17" t="s">
        <v>111</v>
      </c>
      <c r="AU76" s="17" t="s">
        <v>111</v>
      </c>
      <c r="AV76" s="17" t="s">
        <v>111</v>
      </c>
      <c r="AW76" s="17" t="s">
        <v>111</v>
      </c>
      <c r="AX76" s="19" t="s">
        <v>329</v>
      </c>
      <c r="AY76" s="17" t="s">
        <v>111</v>
      </c>
      <c r="AZ76" s="17" t="s">
        <v>111</v>
      </c>
      <c r="BA76" s="17" t="s">
        <v>111</v>
      </c>
      <c r="BB76" s="19" t="s">
        <v>329</v>
      </c>
      <c r="BC76" s="17" t="s">
        <v>50</v>
      </c>
      <c r="BD76" s="17" t="s">
        <v>50</v>
      </c>
      <c r="BE76" s="17" t="s">
        <v>50</v>
      </c>
      <c r="BF76" s="17" t="s">
        <v>50</v>
      </c>
      <c r="BG76" s="17" t="s">
        <v>50</v>
      </c>
      <c r="BH76" s="18" t="s">
        <v>329</v>
      </c>
      <c r="BI76" s="18" t="s">
        <v>329</v>
      </c>
      <c r="BJ76" s="17" t="s">
        <v>50</v>
      </c>
      <c r="BK76" s="17" t="s">
        <v>50</v>
      </c>
      <c r="BL76" s="17" t="s">
        <v>50</v>
      </c>
      <c r="BM76" s="19" t="s">
        <v>329</v>
      </c>
      <c r="BN76" s="19" t="s">
        <v>329</v>
      </c>
      <c r="BO76" s="17" t="s">
        <v>50</v>
      </c>
      <c r="BP76" s="17" t="s">
        <v>50</v>
      </c>
      <c r="BQ76" s="17" t="s">
        <v>50</v>
      </c>
      <c r="BR76" s="19" t="s">
        <v>329</v>
      </c>
      <c r="BS76" s="17" t="s">
        <v>50</v>
      </c>
      <c r="BT76" s="17" t="s">
        <v>50</v>
      </c>
      <c r="BU76" s="19" t="s">
        <v>329</v>
      </c>
      <c r="BV76" s="19" t="s">
        <v>329</v>
      </c>
      <c r="BW76" s="17" t="s">
        <v>50</v>
      </c>
      <c r="BX76" s="17" t="s">
        <v>50</v>
      </c>
      <c r="BY76" s="17" t="s">
        <v>50</v>
      </c>
      <c r="BZ76" s="17" t="s">
        <v>50</v>
      </c>
      <c r="CA76" s="17" t="s">
        <v>50</v>
      </c>
      <c r="CB76" s="18" t="s">
        <v>52</v>
      </c>
      <c r="CC76" s="18" t="s">
        <v>52</v>
      </c>
      <c r="CD76" s="17" t="s">
        <v>50</v>
      </c>
      <c r="CE76" s="17" t="s">
        <v>50</v>
      </c>
      <c r="CF76" s="18" t="s">
        <v>52</v>
      </c>
      <c r="CG76" s="18" t="s">
        <v>52</v>
      </c>
      <c r="CH76" s="18" t="s">
        <v>52</v>
      </c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</row>
    <row r="77" ht="16.5" customHeight="1">
      <c r="A77" s="83"/>
      <c r="B77" s="81" t="s">
        <v>408</v>
      </c>
      <c r="C77" s="84"/>
      <c r="D77" s="84"/>
      <c r="E77" s="18">
        <f t="shared" ref="E77:BC77" si="1">COUNTIF(E3:E76,"*TENIS*")</f>
        <v>16</v>
      </c>
      <c r="F77" s="18">
        <f t="shared" si="1"/>
        <v>6</v>
      </c>
      <c r="G77" s="18">
        <f t="shared" si="1"/>
        <v>13</v>
      </c>
      <c r="H77" s="93">
        <f t="shared" si="1"/>
        <v>10</v>
      </c>
      <c r="I77" s="18">
        <f t="shared" si="1"/>
        <v>15</v>
      </c>
      <c r="J77" s="18">
        <f t="shared" si="1"/>
        <v>11</v>
      </c>
      <c r="K77" s="18">
        <f t="shared" si="1"/>
        <v>16</v>
      </c>
      <c r="L77" s="18">
        <f t="shared" si="1"/>
        <v>9</v>
      </c>
      <c r="M77" s="18">
        <f t="shared" si="1"/>
        <v>13</v>
      </c>
      <c r="N77" s="93">
        <f t="shared" si="1"/>
        <v>5</v>
      </c>
      <c r="O77" s="18">
        <f t="shared" si="1"/>
        <v>23</v>
      </c>
      <c r="P77" s="18">
        <f t="shared" si="1"/>
        <v>9</v>
      </c>
      <c r="Q77" s="18">
        <f t="shared" si="1"/>
        <v>9</v>
      </c>
      <c r="R77" s="18">
        <f t="shared" si="1"/>
        <v>10</v>
      </c>
      <c r="S77" s="18">
        <f t="shared" si="1"/>
        <v>9</v>
      </c>
      <c r="T77" s="18">
        <f t="shared" si="1"/>
        <v>12</v>
      </c>
      <c r="U77" s="18">
        <f t="shared" si="1"/>
        <v>7</v>
      </c>
      <c r="V77" s="18">
        <f t="shared" si="1"/>
        <v>9</v>
      </c>
      <c r="W77" s="18">
        <f t="shared" si="1"/>
        <v>12</v>
      </c>
      <c r="X77" s="18">
        <f t="shared" si="1"/>
        <v>11</v>
      </c>
      <c r="Y77" s="18">
        <f t="shared" si="1"/>
        <v>9</v>
      </c>
      <c r="Z77" s="18">
        <f t="shared" si="1"/>
        <v>14</v>
      </c>
      <c r="AA77" s="18">
        <f t="shared" si="1"/>
        <v>12</v>
      </c>
      <c r="AB77" s="42">
        <f t="shared" si="1"/>
        <v>9</v>
      </c>
      <c r="AC77" s="42">
        <f t="shared" si="1"/>
        <v>9</v>
      </c>
      <c r="AD77" s="42">
        <f t="shared" si="1"/>
        <v>7</v>
      </c>
      <c r="AE77" s="42">
        <f t="shared" si="1"/>
        <v>10</v>
      </c>
      <c r="AF77" s="42">
        <f t="shared" si="1"/>
        <v>9</v>
      </c>
      <c r="AG77" s="42">
        <f t="shared" si="1"/>
        <v>12</v>
      </c>
      <c r="AH77" s="58">
        <f t="shared" si="1"/>
        <v>10</v>
      </c>
      <c r="AI77" s="58">
        <f t="shared" si="1"/>
        <v>10</v>
      </c>
      <c r="AJ77" s="58">
        <f t="shared" si="1"/>
        <v>9</v>
      </c>
      <c r="AK77" s="58">
        <f t="shared" si="1"/>
        <v>8</v>
      </c>
      <c r="AL77" s="18">
        <f t="shared" si="1"/>
        <v>11</v>
      </c>
      <c r="AM77" s="42">
        <f t="shared" si="1"/>
        <v>14</v>
      </c>
      <c r="AN77" s="42">
        <f t="shared" si="1"/>
        <v>11</v>
      </c>
      <c r="AO77" s="58">
        <f t="shared" si="1"/>
        <v>11</v>
      </c>
      <c r="AP77" s="58">
        <f t="shared" si="1"/>
        <v>11</v>
      </c>
      <c r="AQ77" s="58">
        <f t="shared" si="1"/>
        <v>13</v>
      </c>
      <c r="AR77" s="58">
        <f t="shared" si="1"/>
        <v>11</v>
      </c>
      <c r="AS77" s="58">
        <f t="shared" si="1"/>
        <v>12</v>
      </c>
      <c r="AT77" s="17">
        <f t="shared" si="1"/>
        <v>16</v>
      </c>
      <c r="AU77" s="17">
        <f t="shared" si="1"/>
        <v>14</v>
      </c>
      <c r="AV77" s="17">
        <f t="shared" si="1"/>
        <v>14</v>
      </c>
      <c r="AW77" s="17">
        <f t="shared" si="1"/>
        <v>12</v>
      </c>
      <c r="AX77" s="17">
        <f t="shared" si="1"/>
        <v>17</v>
      </c>
      <c r="AY77" s="17">
        <f t="shared" si="1"/>
        <v>12</v>
      </c>
      <c r="AZ77" s="17">
        <f t="shared" si="1"/>
        <v>17</v>
      </c>
      <c r="BA77" s="17">
        <f t="shared" si="1"/>
        <v>9</v>
      </c>
      <c r="BB77" s="17">
        <f t="shared" si="1"/>
        <v>16</v>
      </c>
      <c r="BC77" s="17">
        <f t="shared" si="1"/>
        <v>10</v>
      </c>
      <c r="BD77" s="17">
        <f t="shared" ref="BD77:CH77" si="2">COUNTIF(BD3:BD76,"*ASISTE TENIS*")</f>
        <v>8</v>
      </c>
      <c r="BE77" s="17">
        <f t="shared" si="2"/>
        <v>8</v>
      </c>
      <c r="BF77" s="17">
        <f t="shared" si="2"/>
        <v>6</v>
      </c>
      <c r="BG77" s="17">
        <f t="shared" si="2"/>
        <v>8</v>
      </c>
      <c r="BH77" s="17">
        <f t="shared" si="2"/>
        <v>7</v>
      </c>
      <c r="BI77" s="17">
        <f t="shared" si="2"/>
        <v>12</v>
      </c>
      <c r="BJ77" s="17">
        <f t="shared" si="2"/>
        <v>11</v>
      </c>
      <c r="BK77" s="17">
        <f t="shared" si="2"/>
        <v>11</v>
      </c>
      <c r="BL77" s="17">
        <f t="shared" si="2"/>
        <v>13</v>
      </c>
      <c r="BM77" s="17">
        <f t="shared" si="2"/>
        <v>11</v>
      </c>
      <c r="BN77" s="17">
        <f t="shared" si="2"/>
        <v>12</v>
      </c>
      <c r="BO77" s="17">
        <f t="shared" si="2"/>
        <v>12</v>
      </c>
      <c r="BP77" s="17">
        <f t="shared" si="2"/>
        <v>14</v>
      </c>
      <c r="BQ77" s="17">
        <f t="shared" si="2"/>
        <v>12</v>
      </c>
      <c r="BR77" s="17">
        <f t="shared" si="2"/>
        <v>14</v>
      </c>
      <c r="BS77" s="17">
        <f t="shared" si="2"/>
        <v>12</v>
      </c>
      <c r="BT77" s="17">
        <f t="shared" si="2"/>
        <v>16</v>
      </c>
      <c r="BU77" s="17">
        <f t="shared" si="2"/>
        <v>20</v>
      </c>
      <c r="BV77" s="17">
        <f t="shared" si="2"/>
        <v>14</v>
      </c>
      <c r="BW77" s="17">
        <f t="shared" si="2"/>
        <v>7</v>
      </c>
      <c r="BX77" s="17">
        <f t="shared" si="2"/>
        <v>13</v>
      </c>
      <c r="BY77" s="17">
        <f t="shared" si="2"/>
        <v>11</v>
      </c>
      <c r="BZ77" s="17">
        <f t="shared" si="2"/>
        <v>15</v>
      </c>
      <c r="CA77" s="17">
        <f t="shared" si="2"/>
        <v>13</v>
      </c>
      <c r="CB77" s="17">
        <f t="shared" si="2"/>
        <v>11</v>
      </c>
      <c r="CC77" s="17">
        <f t="shared" si="2"/>
        <v>15</v>
      </c>
      <c r="CD77" s="17">
        <f t="shared" si="2"/>
        <v>11</v>
      </c>
      <c r="CE77" s="17">
        <f t="shared" si="2"/>
        <v>14</v>
      </c>
      <c r="CF77" s="17">
        <f t="shared" si="2"/>
        <v>8</v>
      </c>
      <c r="CG77" s="17">
        <f t="shared" si="2"/>
        <v>14</v>
      </c>
      <c r="CH77" s="17">
        <f t="shared" si="2"/>
        <v>14</v>
      </c>
      <c r="CI77" s="17"/>
      <c r="CJ77" s="17"/>
      <c r="CK77" s="17"/>
      <c r="CL77" s="17"/>
      <c r="CM77" s="17"/>
      <c r="CN77" s="17">
        <f t="shared" ref="CN77:CW77" si="3">COUNTIF(CN3:CN76,"*ASISTE TENIS*")</f>
        <v>0</v>
      </c>
      <c r="CO77" s="17">
        <f t="shared" si="3"/>
        <v>0</v>
      </c>
      <c r="CP77" s="17">
        <f t="shared" si="3"/>
        <v>0</v>
      </c>
      <c r="CQ77" s="17">
        <f t="shared" si="3"/>
        <v>0</v>
      </c>
      <c r="CR77" s="17">
        <f t="shared" si="3"/>
        <v>0</v>
      </c>
      <c r="CS77" s="17">
        <f t="shared" si="3"/>
        <v>0</v>
      </c>
      <c r="CT77" s="17">
        <f t="shared" si="3"/>
        <v>0</v>
      </c>
      <c r="CU77" s="17">
        <f t="shared" si="3"/>
        <v>0</v>
      </c>
      <c r="CV77" s="17">
        <f t="shared" si="3"/>
        <v>0</v>
      </c>
      <c r="CW77" s="17">
        <f t="shared" si="3"/>
        <v>0</v>
      </c>
    </row>
    <row r="78" ht="16.5" customHeight="1">
      <c r="A78" s="83"/>
      <c r="B78" s="81" t="s">
        <v>413</v>
      </c>
      <c r="C78" s="84"/>
      <c r="D78" s="84"/>
      <c r="E78" s="18">
        <f t="shared" ref="E78:CH78" si="4">COUNTIF(E3:E76,"*jugador*")</f>
        <v>4</v>
      </c>
      <c r="F78" s="18">
        <f t="shared" si="4"/>
        <v>4</v>
      </c>
      <c r="G78" s="18">
        <f t="shared" si="4"/>
        <v>4</v>
      </c>
      <c r="H78" s="18">
        <f t="shared" si="4"/>
        <v>2</v>
      </c>
      <c r="I78" s="18">
        <f t="shared" si="4"/>
        <v>3</v>
      </c>
      <c r="J78" s="18">
        <f t="shared" si="4"/>
        <v>3</v>
      </c>
      <c r="K78" s="18">
        <f t="shared" si="4"/>
        <v>3</v>
      </c>
      <c r="L78" s="18">
        <f t="shared" si="4"/>
        <v>3</v>
      </c>
      <c r="M78" s="18">
        <f t="shared" si="4"/>
        <v>4</v>
      </c>
      <c r="N78" s="18">
        <f t="shared" si="4"/>
        <v>3</v>
      </c>
      <c r="O78" s="18">
        <f t="shared" si="4"/>
        <v>4</v>
      </c>
      <c r="P78" s="18">
        <f t="shared" si="4"/>
        <v>4</v>
      </c>
      <c r="Q78" s="18">
        <f t="shared" si="4"/>
        <v>3</v>
      </c>
      <c r="R78" s="18">
        <f t="shared" si="4"/>
        <v>3</v>
      </c>
      <c r="S78" s="18">
        <f t="shared" si="4"/>
        <v>3</v>
      </c>
      <c r="T78" s="18">
        <f t="shared" si="4"/>
        <v>3</v>
      </c>
      <c r="U78" s="18">
        <f t="shared" si="4"/>
        <v>3</v>
      </c>
      <c r="V78" s="18">
        <f t="shared" si="4"/>
        <v>3</v>
      </c>
      <c r="W78" s="18">
        <f t="shared" si="4"/>
        <v>3</v>
      </c>
      <c r="X78" s="18">
        <f t="shared" si="4"/>
        <v>2</v>
      </c>
      <c r="Y78" s="18">
        <f t="shared" si="4"/>
        <v>3</v>
      </c>
      <c r="Z78" s="18">
        <f t="shared" si="4"/>
        <v>1</v>
      </c>
      <c r="AA78" s="18">
        <f t="shared" si="4"/>
        <v>3</v>
      </c>
      <c r="AB78" s="42">
        <f t="shared" si="4"/>
        <v>2</v>
      </c>
      <c r="AC78" s="42">
        <f t="shared" si="4"/>
        <v>3</v>
      </c>
      <c r="AD78" s="42">
        <f t="shared" si="4"/>
        <v>2</v>
      </c>
      <c r="AE78" s="42">
        <f t="shared" si="4"/>
        <v>3</v>
      </c>
      <c r="AF78" s="42">
        <f t="shared" si="4"/>
        <v>2</v>
      </c>
      <c r="AG78" s="42">
        <f t="shared" si="4"/>
        <v>3</v>
      </c>
      <c r="AH78" s="58">
        <f t="shared" si="4"/>
        <v>3</v>
      </c>
      <c r="AI78" s="58">
        <f t="shared" si="4"/>
        <v>2</v>
      </c>
      <c r="AJ78" s="58">
        <f t="shared" si="4"/>
        <v>3</v>
      </c>
      <c r="AK78" s="58">
        <f t="shared" si="4"/>
        <v>3</v>
      </c>
      <c r="AL78" s="18">
        <f t="shared" si="4"/>
        <v>2</v>
      </c>
      <c r="AM78" s="42">
        <f t="shared" si="4"/>
        <v>6</v>
      </c>
      <c r="AN78" s="42">
        <f t="shared" si="4"/>
        <v>5</v>
      </c>
      <c r="AO78" s="58">
        <f t="shared" si="4"/>
        <v>4</v>
      </c>
      <c r="AP78" s="58">
        <f t="shared" si="4"/>
        <v>4</v>
      </c>
      <c r="AQ78" s="58">
        <f t="shared" si="4"/>
        <v>2</v>
      </c>
      <c r="AR78" s="58">
        <f t="shared" si="4"/>
        <v>2</v>
      </c>
      <c r="AS78" s="58">
        <f t="shared" si="4"/>
        <v>3</v>
      </c>
      <c r="AT78" s="17">
        <f t="shared" si="4"/>
        <v>4</v>
      </c>
      <c r="AU78" s="17">
        <f t="shared" si="4"/>
        <v>4</v>
      </c>
      <c r="AV78" s="17">
        <f t="shared" si="4"/>
        <v>4</v>
      </c>
      <c r="AW78" s="17">
        <f t="shared" si="4"/>
        <v>4</v>
      </c>
      <c r="AX78" s="17">
        <f t="shared" si="4"/>
        <v>4</v>
      </c>
      <c r="AY78" s="17">
        <f t="shared" si="4"/>
        <v>3</v>
      </c>
      <c r="AZ78" s="17">
        <f t="shared" si="4"/>
        <v>4</v>
      </c>
      <c r="BA78" s="17">
        <f t="shared" si="4"/>
        <v>3</v>
      </c>
      <c r="BB78" s="17">
        <f t="shared" si="4"/>
        <v>4</v>
      </c>
      <c r="BC78" s="17">
        <f t="shared" si="4"/>
        <v>3</v>
      </c>
      <c r="BD78" s="17">
        <f t="shared" si="4"/>
        <v>4</v>
      </c>
      <c r="BE78" s="17">
        <f t="shared" si="4"/>
        <v>1</v>
      </c>
      <c r="BF78" s="17">
        <f t="shared" si="4"/>
        <v>2</v>
      </c>
      <c r="BG78" s="17">
        <f t="shared" si="4"/>
        <v>3</v>
      </c>
      <c r="BH78" s="17">
        <f t="shared" si="4"/>
        <v>5</v>
      </c>
      <c r="BI78" s="17">
        <f t="shared" si="4"/>
        <v>4</v>
      </c>
      <c r="BJ78" s="17">
        <f t="shared" si="4"/>
        <v>3</v>
      </c>
      <c r="BK78" s="17">
        <f t="shared" si="4"/>
        <v>5</v>
      </c>
      <c r="BL78" s="17">
        <f t="shared" si="4"/>
        <v>5</v>
      </c>
      <c r="BM78" s="17">
        <f t="shared" si="4"/>
        <v>4</v>
      </c>
      <c r="BN78" s="17">
        <f t="shared" si="4"/>
        <v>4</v>
      </c>
      <c r="BO78" s="17">
        <f t="shared" si="4"/>
        <v>4</v>
      </c>
      <c r="BP78" s="17">
        <f t="shared" si="4"/>
        <v>4</v>
      </c>
      <c r="BQ78" s="17">
        <f t="shared" si="4"/>
        <v>4</v>
      </c>
      <c r="BR78" s="17">
        <f t="shared" si="4"/>
        <v>4</v>
      </c>
      <c r="BS78" s="17">
        <f t="shared" si="4"/>
        <v>4</v>
      </c>
      <c r="BT78" s="17">
        <f t="shared" si="4"/>
        <v>4</v>
      </c>
      <c r="BU78" s="17">
        <f t="shared" si="4"/>
        <v>5</v>
      </c>
      <c r="BV78" s="17">
        <f t="shared" si="4"/>
        <v>4</v>
      </c>
      <c r="BW78" s="17">
        <f t="shared" si="4"/>
        <v>5</v>
      </c>
      <c r="BX78" s="17">
        <f t="shared" si="4"/>
        <v>4</v>
      </c>
      <c r="BY78" s="17">
        <f t="shared" si="4"/>
        <v>5</v>
      </c>
      <c r="BZ78" s="17">
        <f t="shared" si="4"/>
        <v>4</v>
      </c>
      <c r="CA78" s="17">
        <f t="shared" si="4"/>
        <v>4</v>
      </c>
      <c r="CB78" s="17">
        <f t="shared" si="4"/>
        <v>5</v>
      </c>
      <c r="CC78" s="17">
        <f t="shared" si="4"/>
        <v>4</v>
      </c>
      <c r="CD78" s="17">
        <f t="shared" si="4"/>
        <v>4</v>
      </c>
      <c r="CE78" s="17">
        <f t="shared" si="4"/>
        <v>4</v>
      </c>
      <c r="CF78" s="17">
        <f t="shared" si="4"/>
        <v>5</v>
      </c>
      <c r="CG78" s="17">
        <f t="shared" si="4"/>
        <v>4</v>
      </c>
      <c r="CH78" s="17">
        <f t="shared" si="4"/>
        <v>4</v>
      </c>
      <c r="CI78" s="17"/>
      <c r="CJ78" s="17"/>
      <c r="CK78" s="17"/>
      <c r="CL78" s="17"/>
      <c r="CM78" s="17"/>
      <c r="CN78" s="17">
        <f t="shared" ref="CN78:CW78" si="5">COUNTIF(CN3:CN76,"*jugador*")</f>
        <v>0</v>
      </c>
      <c r="CO78" s="17">
        <f t="shared" si="5"/>
        <v>0</v>
      </c>
      <c r="CP78" s="17">
        <f t="shared" si="5"/>
        <v>0</v>
      </c>
      <c r="CQ78" s="17">
        <f t="shared" si="5"/>
        <v>0</v>
      </c>
      <c r="CR78" s="17">
        <f t="shared" si="5"/>
        <v>0</v>
      </c>
      <c r="CS78" s="17">
        <f t="shared" si="5"/>
        <v>0</v>
      </c>
      <c r="CT78" s="17">
        <f t="shared" si="5"/>
        <v>0</v>
      </c>
      <c r="CU78" s="17">
        <f t="shared" si="5"/>
        <v>0</v>
      </c>
      <c r="CV78" s="17">
        <f t="shared" si="5"/>
        <v>0</v>
      </c>
      <c r="CW78" s="17">
        <f t="shared" si="5"/>
        <v>0</v>
      </c>
    </row>
    <row r="79" ht="16.5" customHeight="1">
      <c r="A79" s="83"/>
      <c r="B79" s="87" t="s">
        <v>417</v>
      </c>
      <c r="C79" s="84"/>
      <c r="D79" s="84"/>
      <c r="E79" s="18">
        <v>0.0</v>
      </c>
      <c r="F79" s="18">
        <v>0.0</v>
      </c>
      <c r="G79" s="18">
        <v>0.0</v>
      </c>
      <c r="H79" s="18">
        <v>0.0</v>
      </c>
      <c r="I79" s="18">
        <v>0.0</v>
      </c>
      <c r="J79" s="18">
        <v>0.0</v>
      </c>
      <c r="K79" s="18">
        <v>0.0</v>
      </c>
      <c r="L79" s="18">
        <v>0.0</v>
      </c>
      <c r="M79" s="18">
        <v>0.0</v>
      </c>
      <c r="N79" s="18">
        <v>0.0</v>
      </c>
      <c r="O79" s="18">
        <f t="shared" ref="O79:CH79" si="6">COUNTIF(O3:O76,"*FIJO T*")</f>
        <v>6</v>
      </c>
      <c r="P79" s="18">
        <f t="shared" si="6"/>
        <v>2</v>
      </c>
      <c r="Q79" s="18">
        <f t="shared" si="6"/>
        <v>7</v>
      </c>
      <c r="R79" s="18">
        <f t="shared" si="6"/>
        <v>2</v>
      </c>
      <c r="S79" s="18">
        <f t="shared" si="6"/>
        <v>6</v>
      </c>
      <c r="T79" s="18">
        <f t="shared" si="6"/>
        <v>2</v>
      </c>
      <c r="U79" s="18">
        <f t="shared" si="6"/>
        <v>7</v>
      </c>
      <c r="V79" s="18">
        <f t="shared" si="6"/>
        <v>2</v>
      </c>
      <c r="W79" s="18">
        <f t="shared" si="6"/>
        <v>0</v>
      </c>
      <c r="X79" s="18">
        <f t="shared" si="6"/>
        <v>5</v>
      </c>
      <c r="Y79" s="18">
        <f t="shared" si="6"/>
        <v>2</v>
      </c>
      <c r="Z79" s="18">
        <f t="shared" si="6"/>
        <v>4</v>
      </c>
      <c r="AA79" s="18">
        <f t="shared" si="6"/>
        <v>2</v>
      </c>
      <c r="AB79" s="42">
        <f t="shared" si="6"/>
        <v>5</v>
      </c>
      <c r="AC79" s="42">
        <f t="shared" si="6"/>
        <v>2</v>
      </c>
      <c r="AD79" s="42">
        <f t="shared" si="6"/>
        <v>3</v>
      </c>
      <c r="AE79" s="42">
        <f t="shared" si="6"/>
        <v>4</v>
      </c>
      <c r="AF79" s="42">
        <f t="shared" si="6"/>
        <v>3</v>
      </c>
      <c r="AG79" s="42">
        <f t="shared" si="6"/>
        <v>0</v>
      </c>
      <c r="AH79" s="58">
        <f t="shared" si="6"/>
        <v>6</v>
      </c>
      <c r="AI79" s="58">
        <f t="shared" si="6"/>
        <v>3</v>
      </c>
      <c r="AJ79" s="58">
        <f t="shared" si="6"/>
        <v>5</v>
      </c>
      <c r="AK79" s="58">
        <f t="shared" si="6"/>
        <v>2</v>
      </c>
      <c r="AL79" s="18">
        <f t="shared" si="6"/>
        <v>0</v>
      </c>
      <c r="AM79" s="42">
        <f t="shared" si="6"/>
        <v>2</v>
      </c>
      <c r="AN79" s="42">
        <f t="shared" si="6"/>
        <v>2</v>
      </c>
      <c r="AO79" s="58">
        <f t="shared" si="6"/>
        <v>1</v>
      </c>
      <c r="AP79" s="58">
        <f t="shared" si="6"/>
        <v>1</v>
      </c>
      <c r="AQ79" s="58">
        <f t="shared" si="6"/>
        <v>1</v>
      </c>
      <c r="AR79" s="58">
        <f t="shared" si="6"/>
        <v>1</v>
      </c>
      <c r="AS79" s="58">
        <f t="shared" si="6"/>
        <v>0</v>
      </c>
      <c r="AT79" s="17">
        <f t="shared" si="6"/>
        <v>0</v>
      </c>
      <c r="AU79" s="17">
        <f t="shared" si="6"/>
        <v>1</v>
      </c>
      <c r="AV79" s="17">
        <f t="shared" si="6"/>
        <v>0</v>
      </c>
      <c r="AW79" s="17">
        <f t="shared" si="6"/>
        <v>1</v>
      </c>
      <c r="AX79" s="17">
        <f t="shared" si="6"/>
        <v>0</v>
      </c>
      <c r="AY79" s="17">
        <f t="shared" si="6"/>
        <v>1</v>
      </c>
      <c r="AZ79" s="17">
        <f t="shared" si="6"/>
        <v>0</v>
      </c>
      <c r="BA79" s="17">
        <f t="shared" si="6"/>
        <v>1</v>
      </c>
      <c r="BB79" s="17">
        <f t="shared" si="6"/>
        <v>1</v>
      </c>
      <c r="BC79" s="17">
        <f t="shared" si="6"/>
        <v>0</v>
      </c>
      <c r="BD79" s="17">
        <f t="shared" si="6"/>
        <v>2</v>
      </c>
      <c r="BE79" s="17">
        <f t="shared" si="6"/>
        <v>0</v>
      </c>
      <c r="BF79" s="17">
        <f t="shared" si="6"/>
        <v>4</v>
      </c>
      <c r="BG79" s="17">
        <f t="shared" si="6"/>
        <v>0</v>
      </c>
      <c r="BH79" s="17">
        <f t="shared" si="6"/>
        <v>6</v>
      </c>
      <c r="BI79" s="17">
        <f t="shared" si="6"/>
        <v>1</v>
      </c>
      <c r="BJ79" s="17">
        <f t="shared" si="6"/>
        <v>1</v>
      </c>
      <c r="BK79" s="17">
        <f t="shared" si="6"/>
        <v>4</v>
      </c>
      <c r="BL79" s="17">
        <f t="shared" si="6"/>
        <v>0</v>
      </c>
      <c r="BM79" s="17">
        <f t="shared" si="6"/>
        <v>5</v>
      </c>
      <c r="BN79" s="17">
        <f t="shared" si="6"/>
        <v>1</v>
      </c>
      <c r="BO79" s="17">
        <f t="shared" si="6"/>
        <v>5</v>
      </c>
      <c r="BP79" s="17">
        <f t="shared" si="6"/>
        <v>1</v>
      </c>
      <c r="BQ79" s="17">
        <f t="shared" si="6"/>
        <v>5</v>
      </c>
      <c r="BR79" s="17">
        <f t="shared" si="6"/>
        <v>1</v>
      </c>
      <c r="BS79" s="17">
        <f t="shared" si="6"/>
        <v>4</v>
      </c>
      <c r="BT79" s="17">
        <f t="shared" si="6"/>
        <v>1</v>
      </c>
      <c r="BU79" s="17">
        <f t="shared" si="6"/>
        <v>5</v>
      </c>
      <c r="BV79" s="17">
        <f t="shared" si="6"/>
        <v>0</v>
      </c>
      <c r="BW79" s="17">
        <f t="shared" si="6"/>
        <v>7</v>
      </c>
      <c r="BX79" s="17">
        <f t="shared" si="6"/>
        <v>1</v>
      </c>
      <c r="BY79" s="17">
        <f t="shared" si="6"/>
        <v>7</v>
      </c>
      <c r="BZ79" s="17">
        <f t="shared" si="6"/>
        <v>1</v>
      </c>
      <c r="CA79" s="17">
        <f t="shared" si="6"/>
        <v>2</v>
      </c>
      <c r="CB79" s="17">
        <f t="shared" si="6"/>
        <v>7</v>
      </c>
      <c r="CC79" s="17">
        <f t="shared" si="6"/>
        <v>1</v>
      </c>
      <c r="CD79" s="17">
        <f t="shared" si="6"/>
        <v>7</v>
      </c>
      <c r="CE79" s="17">
        <f t="shared" si="6"/>
        <v>1</v>
      </c>
      <c r="CF79" s="17">
        <f t="shared" si="6"/>
        <v>6</v>
      </c>
      <c r="CG79" s="17">
        <f t="shared" si="6"/>
        <v>1</v>
      </c>
      <c r="CH79" s="17">
        <f t="shared" si="6"/>
        <v>2</v>
      </c>
      <c r="CI79" s="17"/>
      <c r="CJ79" s="17"/>
      <c r="CK79" s="17"/>
      <c r="CL79" s="17"/>
      <c r="CM79" s="17"/>
      <c r="CN79" s="17">
        <f t="shared" ref="CN79:CW79" si="7">COUNTIF(CN3:CN76,"*FIJO T*")</f>
        <v>0</v>
      </c>
      <c r="CO79" s="17">
        <f t="shared" si="7"/>
        <v>0</v>
      </c>
      <c r="CP79" s="17">
        <f t="shared" si="7"/>
        <v>0</v>
      </c>
      <c r="CQ79" s="17">
        <f t="shared" si="7"/>
        <v>0</v>
      </c>
      <c r="CR79" s="17">
        <f t="shared" si="7"/>
        <v>0</v>
      </c>
      <c r="CS79" s="17">
        <f t="shared" si="7"/>
        <v>0</v>
      </c>
      <c r="CT79" s="17">
        <f t="shared" si="7"/>
        <v>0</v>
      </c>
      <c r="CU79" s="17">
        <f t="shared" si="7"/>
        <v>0</v>
      </c>
      <c r="CV79" s="17">
        <f t="shared" si="7"/>
        <v>0</v>
      </c>
      <c r="CW79" s="17">
        <f t="shared" si="7"/>
        <v>0</v>
      </c>
    </row>
    <row r="80" ht="16.5" customHeight="1">
      <c r="A80" s="83"/>
      <c r="B80" s="88" t="s">
        <v>420</v>
      </c>
      <c r="C80" s="84"/>
      <c r="D80" s="84"/>
      <c r="E80" s="18">
        <v>0.0</v>
      </c>
      <c r="F80" s="18">
        <v>0.0</v>
      </c>
      <c r="G80" s="18">
        <f t="shared" ref="G80:BC80" si="8">COUNTIF(G3:G76,"*golf*")</f>
        <v>3</v>
      </c>
      <c r="H80" s="18">
        <f t="shared" si="8"/>
        <v>4</v>
      </c>
      <c r="I80" s="18">
        <f t="shared" si="8"/>
        <v>5</v>
      </c>
      <c r="J80" s="18">
        <f t="shared" si="8"/>
        <v>4</v>
      </c>
      <c r="K80" s="18">
        <f t="shared" si="8"/>
        <v>5</v>
      </c>
      <c r="L80" s="18">
        <f t="shared" si="8"/>
        <v>4</v>
      </c>
      <c r="M80" s="18">
        <f t="shared" si="8"/>
        <v>5</v>
      </c>
      <c r="N80" s="18">
        <f t="shared" si="8"/>
        <v>6</v>
      </c>
      <c r="O80" s="18">
        <f t="shared" si="8"/>
        <v>2</v>
      </c>
      <c r="P80" s="18">
        <f t="shared" si="8"/>
        <v>4</v>
      </c>
      <c r="Q80" s="18">
        <f t="shared" si="8"/>
        <v>4</v>
      </c>
      <c r="R80" s="18">
        <f t="shared" si="8"/>
        <v>4</v>
      </c>
      <c r="S80" s="18">
        <f t="shared" si="8"/>
        <v>5</v>
      </c>
      <c r="T80" s="18">
        <f t="shared" si="8"/>
        <v>3</v>
      </c>
      <c r="U80" s="18">
        <f t="shared" si="8"/>
        <v>3</v>
      </c>
      <c r="V80" s="18">
        <f t="shared" si="8"/>
        <v>3</v>
      </c>
      <c r="W80" s="18">
        <f t="shared" si="8"/>
        <v>7</v>
      </c>
      <c r="X80" s="18">
        <f t="shared" si="8"/>
        <v>7</v>
      </c>
      <c r="Y80" s="18">
        <f t="shared" si="8"/>
        <v>4</v>
      </c>
      <c r="Z80" s="18">
        <f t="shared" si="8"/>
        <v>21</v>
      </c>
      <c r="AA80" s="18">
        <f t="shared" si="8"/>
        <v>3</v>
      </c>
      <c r="AB80" s="42">
        <f t="shared" si="8"/>
        <v>3</v>
      </c>
      <c r="AC80" s="42">
        <f t="shared" si="8"/>
        <v>3</v>
      </c>
      <c r="AD80" s="42">
        <f t="shared" si="8"/>
        <v>4</v>
      </c>
      <c r="AE80" s="42">
        <f t="shared" si="8"/>
        <v>8</v>
      </c>
      <c r="AF80" s="42">
        <f t="shared" si="8"/>
        <v>3</v>
      </c>
      <c r="AG80" s="42">
        <f t="shared" si="8"/>
        <v>7</v>
      </c>
      <c r="AH80" s="58">
        <f t="shared" si="8"/>
        <v>2</v>
      </c>
      <c r="AI80" s="58">
        <f t="shared" si="8"/>
        <v>2</v>
      </c>
      <c r="AJ80" s="58">
        <f t="shared" si="8"/>
        <v>3</v>
      </c>
      <c r="AK80" s="58">
        <f t="shared" si="8"/>
        <v>3</v>
      </c>
      <c r="AL80" s="18">
        <f t="shared" si="8"/>
        <v>9</v>
      </c>
      <c r="AM80" s="42">
        <f t="shared" si="8"/>
        <v>11</v>
      </c>
      <c r="AN80" s="42">
        <f t="shared" si="8"/>
        <v>12</v>
      </c>
      <c r="AO80" s="58">
        <f t="shared" si="8"/>
        <v>11</v>
      </c>
      <c r="AP80" s="58">
        <f t="shared" si="8"/>
        <v>9</v>
      </c>
      <c r="AQ80" s="58">
        <f t="shared" si="8"/>
        <v>11</v>
      </c>
      <c r="AR80" s="58">
        <f t="shared" si="8"/>
        <v>9</v>
      </c>
      <c r="AS80" s="58">
        <f t="shared" si="8"/>
        <v>8</v>
      </c>
      <c r="AT80" s="17">
        <f t="shared" si="8"/>
        <v>0</v>
      </c>
      <c r="AU80" s="17">
        <f t="shared" si="8"/>
        <v>0</v>
      </c>
      <c r="AV80" s="17">
        <f t="shared" si="8"/>
        <v>6</v>
      </c>
      <c r="AW80" s="17">
        <f t="shared" si="8"/>
        <v>0</v>
      </c>
      <c r="AX80" s="17">
        <f t="shared" si="8"/>
        <v>9</v>
      </c>
      <c r="AY80" s="17">
        <f t="shared" si="8"/>
        <v>6</v>
      </c>
      <c r="AZ80" s="17">
        <f t="shared" si="8"/>
        <v>6</v>
      </c>
      <c r="BA80" s="17">
        <f t="shared" si="8"/>
        <v>6</v>
      </c>
      <c r="BB80" s="17">
        <f t="shared" si="8"/>
        <v>9</v>
      </c>
      <c r="BC80" s="17">
        <f t="shared" si="8"/>
        <v>4</v>
      </c>
      <c r="BD80" s="17">
        <f t="shared" ref="BD80:CH80" si="9">COUNTIF(BD3:BD76,"*ASISTE GOLF*")</f>
        <v>4</v>
      </c>
      <c r="BE80" s="17">
        <f t="shared" si="9"/>
        <v>11</v>
      </c>
      <c r="BF80" s="17">
        <f t="shared" si="9"/>
        <v>4</v>
      </c>
      <c r="BG80" s="17">
        <f t="shared" si="9"/>
        <v>5</v>
      </c>
      <c r="BH80" s="17">
        <f t="shared" si="9"/>
        <v>4</v>
      </c>
      <c r="BI80" s="17">
        <f t="shared" si="9"/>
        <v>6</v>
      </c>
      <c r="BJ80" s="17">
        <f t="shared" si="9"/>
        <v>7</v>
      </c>
      <c r="BK80" s="17">
        <f t="shared" si="9"/>
        <v>3</v>
      </c>
      <c r="BL80" s="17">
        <f t="shared" si="9"/>
        <v>5</v>
      </c>
      <c r="BM80" s="17">
        <f t="shared" si="9"/>
        <v>7</v>
      </c>
      <c r="BN80" s="17">
        <f t="shared" si="9"/>
        <v>7</v>
      </c>
      <c r="BO80" s="17">
        <f t="shared" si="9"/>
        <v>4</v>
      </c>
      <c r="BP80" s="17">
        <f t="shared" si="9"/>
        <v>6</v>
      </c>
      <c r="BQ80" s="17">
        <f t="shared" si="9"/>
        <v>8</v>
      </c>
      <c r="BR80" s="17">
        <f t="shared" si="9"/>
        <v>12</v>
      </c>
      <c r="BS80" s="17">
        <f t="shared" si="9"/>
        <v>6</v>
      </c>
      <c r="BT80" s="17">
        <f t="shared" si="9"/>
        <v>9</v>
      </c>
      <c r="BU80" s="17">
        <f t="shared" si="9"/>
        <v>8</v>
      </c>
      <c r="BV80" s="17">
        <f t="shared" si="9"/>
        <v>7</v>
      </c>
      <c r="BW80" s="17">
        <f t="shared" si="9"/>
        <v>4</v>
      </c>
      <c r="BX80" s="17">
        <f t="shared" si="9"/>
        <v>8</v>
      </c>
      <c r="BY80" s="17">
        <f t="shared" si="9"/>
        <v>4</v>
      </c>
      <c r="BZ80" s="17">
        <f t="shared" si="9"/>
        <v>8</v>
      </c>
      <c r="CA80" s="17">
        <f t="shared" si="9"/>
        <v>7</v>
      </c>
      <c r="CB80" s="17">
        <f t="shared" si="9"/>
        <v>3</v>
      </c>
      <c r="CC80" s="17">
        <f t="shared" si="9"/>
        <v>4</v>
      </c>
      <c r="CD80" s="17">
        <f t="shared" si="9"/>
        <v>4</v>
      </c>
      <c r="CE80" s="17">
        <f t="shared" si="9"/>
        <v>7</v>
      </c>
      <c r="CF80" s="17">
        <f t="shared" si="9"/>
        <v>5</v>
      </c>
      <c r="CG80" s="17">
        <f t="shared" si="9"/>
        <v>9</v>
      </c>
      <c r="CH80" s="17">
        <f t="shared" si="9"/>
        <v>9</v>
      </c>
      <c r="CI80" s="17"/>
      <c r="CJ80" s="17"/>
      <c r="CK80" s="17"/>
      <c r="CL80" s="17"/>
      <c r="CM80" s="17"/>
      <c r="CN80" s="17">
        <f t="shared" ref="CN80:CW80" si="10">COUNTIF(CN3:CN76,"*ASISTE GOLF*")</f>
        <v>0</v>
      </c>
      <c r="CO80" s="17">
        <f t="shared" si="10"/>
        <v>0</v>
      </c>
      <c r="CP80" s="17">
        <f t="shared" si="10"/>
        <v>0</v>
      </c>
      <c r="CQ80" s="17">
        <f t="shared" si="10"/>
        <v>0</v>
      </c>
      <c r="CR80" s="17">
        <f t="shared" si="10"/>
        <v>0</v>
      </c>
      <c r="CS80" s="17">
        <f t="shared" si="10"/>
        <v>0</v>
      </c>
      <c r="CT80" s="17">
        <f t="shared" si="10"/>
        <v>0</v>
      </c>
      <c r="CU80" s="17">
        <f t="shared" si="10"/>
        <v>0</v>
      </c>
      <c r="CV80" s="17">
        <f t="shared" si="10"/>
        <v>0</v>
      </c>
      <c r="CW80" s="17">
        <f t="shared" si="10"/>
        <v>0</v>
      </c>
    </row>
    <row r="81" ht="16.5" customHeight="1">
      <c r="A81" s="83"/>
      <c r="B81" s="56" t="s">
        <v>423</v>
      </c>
      <c r="C81" s="84"/>
      <c r="D81" s="84"/>
      <c r="E81" s="18">
        <v>0.0</v>
      </c>
      <c r="F81" s="18">
        <v>0.0</v>
      </c>
      <c r="G81" s="18">
        <v>0.0</v>
      </c>
      <c r="H81" s="18">
        <v>0.0</v>
      </c>
      <c r="I81" s="18">
        <v>0.0</v>
      </c>
      <c r="J81" s="18">
        <v>0.0</v>
      </c>
      <c r="K81" s="18">
        <v>0.0</v>
      </c>
      <c r="L81" s="18">
        <v>0.0</v>
      </c>
      <c r="M81" s="18">
        <v>0.0</v>
      </c>
      <c r="N81" s="18">
        <v>0.0</v>
      </c>
      <c r="O81" s="18">
        <f t="shared" ref="O81:CH81" si="11">COUNTIF(O3:O76,"*fijo g*")</f>
        <v>7</v>
      </c>
      <c r="P81" s="18">
        <f t="shared" si="11"/>
        <v>4</v>
      </c>
      <c r="Q81" s="18">
        <f t="shared" si="11"/>
        <v>7</v>
      </c>
      <c r="R81" s="18">
        <f t="shared" si="11"/>
        <v>4</v>
      </c>
      <c r="S81" s="18">
        <f t="shared" si="11"/>
        <v>7</v>
      </c>
      <c r="T81" s="18">
        <f t="shared" si="11"/>
        <v>4</v>
      </c>
      <c r="U81" s="18">
        <f t="shared" si="11"/>
        <v>7</v>
      </c>
      <c r="V81" s="18">
        <f t="shared" si="11"/>
        <v>4</v>
      </c>
      <c r="W81" s="18">
        <f t="shared" si="11"/>
        <v>0</v>
      </c>
      <c r="X81" s="18">
        <f t="shared" si="11"/>
        <v>4</v>
      </c>
      <c r="Y81" s="18">
        <f t="shared" si="11"/>
        <v>4</v>
      </c>
      <c r="Z81" s="18">
        <f t="shared" si="11"/>
        <v>7</v>
      </c>
      <c r="AA81" s="18">
        <f t="shared" si="11"/>
        <v>4</v>
      </c>
      <c r="AB81" s="42">
        <f t="shared" si="11"/>
        <v>7</v>
      </c>
      <c r="AC81" s="42">
        <f t="shared" si="11"/>
        <v>4</v>
      </c>
      <c r="AD81" s="42">
        <f t="shared" si="11"/>
        <v>6</v>
      </c>
      <c r="AE81" s="42">
        <f t="shared" si="11"/>
        <v>3</v>
      </c>
      <c r="AF81" s="42">
        <f t="shared" si="11"/>
        <v>3</v>
      </c>
      <c r="AG81" s="42">
        <f t="shared" si="11"/>
        <v>3</v>
      </c>
      <c r="AH81" s="58">
        <f t="shared" si="11"/>
        <v>7</v>
      </c>
      <c r="AI81" s="58">
        <f t="shared" si="11"/>
        <v>4</v>
      </c>
      <c r="AJ81" s="58">
        <f t="shared" si="11"/>
        <v>7</v>
      </c>
      <c r="AK81" s="58">
        <f t="shared" si="11"/>
        <v>3</v>
      </c>
      <c r="AL81" s="18">
        <f t="shared" si="11"/>
        <v>0</v>
      </c>
      <c r="AM81" s="42">
        <f t="shared" si="11"/>
        <v>2</v>
      </c>
      <c r="AN81" s="42">
        <f t="shared" si="11"/>
        <v>2</v>
      </c>
      <c r="AO81" s="58">
        <f t="shared" si="11"/>
        <v>0</v>
      </c>
      <c r="AP81" s="58">
        <f t="shared" si="11"/>
        <v>0</v>
      </c>
      <c r="AQ81" s="58">
        <f t="shared" si="11"/>
        <v>1</v>
      </c>
      <c r="AR81" s="58">
        <f t="shared" si="11"/>
        <v>1</v>
      </c>
      <c r="AS81" s="58">
        <f t="shared" si="11"/>
        <v>0</v>
      </c>
      <c r="AT81" s="17">
        <f t="shared" si="11"/>
        <v>0</v>
      </c>
      <c r="AU81" s="17">
        <f t="shared" si="11"/>
        <v>0</v>
      </c>
      <c r="AV81" s="17">
        <f t="shared" si="11"/>
        <v>0</v>
      </c>
      <c r="AW81" s="17">
        <f t="shared" si="11"/>
        <v>7</v>
      </c>
      <c r="AX81" s="17">
        <f t="shared" si="11"/>
        <v>2</v>
      </c>
      <c r="AY81" s="17">
        <f t="shared" si="11"/>
        <v>1</v>
      </c>
      <c r="AZ81" s="17">
        <f t="shared" si="11"/>
        <v>0</v>
      </c>
      <c r="BA81" s="17">
        <f t="shared" si="11"/>
        <v>1</v>
      </c>
      <c r="BB81" s="17">
        <f t="shared" si="11"/>
        <v>1</v>
      </c>
      <c r="BC81" s="17">
        <f t="shared" si="11"/>
        <v>3</v>
      </c>
      <c r="BD81" s="17">
        <f t="shared" si="11"/>
        <v>4</v>
      </c>
      <c r="BE81" s="17">
        <f t="shared" si="11"/>
        <v>0</v>
      </c>
      <c r="BF81" s="17">
        <f t="shared" si="11"/>
        <v>10</v>
      </c>
      <c r="BG81" s="17">
        <f t="shared" si="11"/>
        <v>5</v>
      </c>
      <c r="BH81" s="17">
        <f t="shared" si="11"/>
        <v>10</v>
      </c>
      <c r="BI81" s="17">
        <f t="shared" si="11"/>
        <v>5</v>
      </c>
      <c r="BJ81" s="17">
        <f t="shared" si="11"/>
        <v>2</v>
      </c>
      <c r="BK81" s="17">
        <f t="shared" si="11"/>
        <v>10</v>
      </c>
      <c r="BL81" s="17">
        <f t="shared" si="11"/>
        <v>5</v>
      </c>
      <c r="BM81" s="17">
        <f t="shared" si="11"/>
        <v>11</v>
      </c>
      <c r="BN81" s="17">
        <f t="shared" si="11"/>
        <v>6</v>
      </c>
      <c r="BO81" s="17">
        <f t="shared" si="11"/>
        <v>12</v>
      </c>
      <c r="BP81" s="17">
        <f t="shared" si="11"/>
        <v>5</v>
      </c>
      <c r="BQ81" s="17">
        <f t="shared" si="11"/>
        <v>11</v>
      </c>
      <c r="BR81" s="17">
        <f t="shared" si="11"/>
        <v>5</v>
      </c>
      <c r="BS81" s="17">
        <f t="shared" si="11"/>
        <v>11</v>
      </c>
      <c r="BT81" s="17">
        <f t="shared" si="11"/>
        <v>5</v>
      </c>
      <c r="BU81" s="17">
        <f t="shared" si="11"/>
        <v>10</v>
      </c>
      <c r="BV81" s="17">
        <f t="shared" si="11"/>
        <v>11</v>
      </c>
      <c r="BW81" s="17">
        <f t="shared" si="11"/>
        <v>14</v>
      </c>
      <c r="BX81" s="17">
        <f t="shared" si="11"/>
        <v>8</v>
      </c>
      <c r="BY81" s="17">
        <f t="shared" si="11"/>
        <v>14</v>
      </c>
      <c r="BZ81" s="17">
        <f t="shared" si="11"/>
        <v>8</v>
      </c>
      <c r="CA81" s="17">
        <f t="shared" si="11"/>
        <v>9</v>
      </c>
      <c r="CB81" s="17">
        <f t="shared" si="11"/>
        <v>15</v>
      </c>
      <c r="CC81" s="17">
        <f t="shared" si="11"/>
        <v>11</v>
      </c>
      <c r="CD81" s="17">
        <f t="shared" si="11"/>
        <v>14</v>
      </c>
      <c r="CE81" s="17">
        <f t="shared" si="11"/>
        <v>11</v>
      </c>
      <c r="CF81" s="17">
        <f t="shared" si="11"/>
        <v>13</v>
      </c>
      <c r="CG81" s="17">
        <f t="shared" si="11"/>
        <v>8</v>
      </c>
      <c r="CH81" s="17">
        <f t="shared" si="11"/>
        <v>8</v>
      </c>
      <c r="CI81" s="17"/>
      <c r="CJ81" s="17"/>
      <c r="CK81" s="17"/>
      <c r="CL81" s="17"/>
      <c r="CM81" s="17"/>
      <c r="CN81" s="17">
        <f t="shared" ref="CN81:CW81" si="12">COUNTIF(CN3:CN76,"*fijo g*")</f>
        <v>0</v>
      </c>
      <c r="CO81" s="17">
        <f t="shared" si="12"/>
        <v>0</v>
      </c>
      <c r="CP81" s="17">
        <f t="shared" si="12"/>
        <v>0</v>
      </c>
      <c r="CQ81" s="17">
        <f t="shared" si="12"/>
        <v>0</v>
      </c>
      <c r="CR81" s="17">
        <f t="shared" si="12"/>
        <v>0</v>
      </c>
      <c r="CS81" s="17">
        <f t="shared" si="12"/>
        <v>0</v>
      </c>
      <c r="CT81" s="17">
        <f t="shared" si="12"/>
        <v>0</v>
      </c>
      <c r="CU81" s="17">
        <f t="shared" si="12"/>
        <v>0</v>
      </c>
      <c r="CV81" s="17">
        <f t="shared" si="12"/>
        <v>0</v>
      </c>
      <c r="CW81" s="17">
        <f t="shared" si="12"/>
        <v>0</v>
      </c>
    </row>
    <row r="82" ht="16.5" customHeight="1">
      <c r="A82" s="83"/>
      <c r="B82" s="24" t="s">
        <v>428</v>
      </c>
      <c r="C82" s="84"/>
      <c r="D82" s="84"/>
      <c r="E82" s="18">
        <f t="shared" ref="E82:CH82" si="13">SUM(E77:E81)</f>
        <v>20</v>
      </c>
      <c r="F82" s="18">
        <f t="shared" si="13"/>
        <v>10</v>
      </c>
      <c r="G82" s="18">
        <f t="shared" si="13"/>
        <v>20</v>
      </c>
      <c r="H82" s="18">
        <f t="shared" si="13"/>
        <v>16</v>
      </c>
      <c r="I82" s="18">
        <f t="shared" si="13"/>
        <v>23</v>
      </c>
      <c r="J82" s="18">
        <f t="shared" si="13"/>
        <v>18</v>
      </c>
      <c r="K82" s="18">
        <f t="shared" si="13"/>
        <v>24</v>
      </c>
      <c r="L82" s="18">
        <f t="shared" si="13"/>
        <v>16</v>
      </c>
      <c r="M82" s="18">
        <f t="shared" si="13"/>
        <v>22</v>
      </c>
      <c r="N82" s="18">
        <f t="shared" si="13"/>
        <v>14</v>
      </c>
      <c r="O82" s="18">
        <f t="shared" si="13"/>
        <v>42</v>
      </c>
      <c r="P82" s="18">
        <f t="shared" si="13"/>
        <v>23</v>
      </c>
      <c r="Q82" s="18">
        <f t="shared" si="13"/>
        <v>30</v>
      </c>
      <c r="R82" s="18">
        <f t="shared" si="13"/>
        <v>23</v>
      </c>
      <c r="S82" s="18">
        <f t="shared" si="13"/>
        <v>30</v>
      </c>
      <c r="T82" s="18">
        <f t="shared" si="13"/>
        <v>24</v>
      </c>
      <c r="U82" s="18">
        <f t="shared" si="13"/>
        <v>27</v>
      </c>
      <c r="V82" s="18">
        <f t="shared" si="13"/>
        <v>21</v>
      </c>
      <c r="W82" s="18">
        <f t="shared" si="13"/>
        <v>22</v>
      </c>
      <c r="X82" s="18">
        <f t="shared" si="13"/>
        <v>29</v>
      </c>
      <c r="Y82" s="18">
        <f t="shared" si="13"/>
        <v>22</v>
      </c>
      <c r="Z82" s="18">
        <f t="shared" si="13"/>
        <v>47</v>
      </c>
      <c r="AA82" s="18">
        <f t="shared" si="13"/>
        <v>24</v>
      </c>
      <c r="AB82" s="42">
        <f t="shared" si="13"/>
        <v>26</v>
      </c>
      <c r="AC82" s="42">
        <f t="shared" si="13"/>
        <v>21</v>
      </c>
      <c r="AD82" s="42">
        <f t="shared" si="13"/>
        <v>22</v>
      </c>
      <c r="AE82" s="42">
        <f t="shared" si="13"/>
        <v>28</v>
      </c>
      <c r="AF82" s="42">
        <f t="shared" si="13"/>
        <v>20</v>
      </c>
      <c r="AG82" s="42">
        <f t="shared" si="13"/>
        <v>25</v>
      </c>
      <c r="AH82" s="58">
        <f t="shared" si="13"/>
        <v>28</v>
      </c>
      <c r="AI82" s="58">
        <f t="shared" si="13"/>
        <v>21</v>
      </c>
      <c r="AJ82" s="58">
        <f t="shared" si="13"/>
        <v>27</v>
      </c>
      <c r="AK82" s="58">
        <f t="shared" si="13"/>
        <v>19</v>
      </c>
      <c r="AL82" s="18">
        <f t="shared" si="13"/>
        <v>22</v>
      </c>
      <c r="AM82" s="42">
        <f t="shared" si="13"/>
        <v>35</v>
      </c>
      <c r="AN82" s="42">
        <f t="shared" si="13"/>
        <v>32</v>
      </c>
      <c r="AO82" s="58">
        <f t="shared" si="13"/>
        <v>27</v>
      </c>
      <c r="AP82" s="58">
        <f t="shared" si="13"/>
        <v>25</v>
      </c>
      <c r="AQ82" s="58">
        <f t="shared" si="13"/>
        <v>28</v>
      </c>
      <c r="AR82" s="58">
        <f t="shared" si="13"/>
        <v>24</v>
      </c>
      <c r="AS82" s="58">
        <f t="shared" si="13"/>
        <v>23</v>
      </c>
      <c r="AT82" s="17">
        <f t="shared" si="13"/>
        <v>20</v>
      </c>
      <c r="AU82" s="17">
        <f t="shared" si="13"/>
        <v>19</v>
      </c>
      <c r="AV82" s="17">
        <f t="shared" si="13"/>
        <v>24</v>
      </c>
      <c r="AW82" s="17">
        <f t="shared" si="13"/>
        <v>24</v>
      </c>
      <c r="AX82" s="17">
        <f t="shared" si="13"/>
        <v>32</v>
      </c>
      <c r="AY82" s="17">
        <f t="shared" si="13"/>
        <v>23</v>
      </c>
      <c r="AZ82" s="17">
        <f t="shared" si="13"/>
        <v>27</v>
      </c>
      <c r="BA82" s="17">
        <f t="shared" si="13"/>
        <v>20</v>
      </c>
      <c r="BB82" s="17">
        <f t="shared" si="13"/>
        <v>31</v>
      </c>
      <c r="BC82" s="17">
        <f t="shared" si="13"/>
        <v>20</v>
      </c>
      <c r="BD82" s="17">
        <f t="shared" si="13"/>
        <v>22</v>
      </c>
      <c r="BE82" s="17">
        <f t="shared" si="13"/>
        <v>20</v>
      </c>
      <c r="BF82" s="17">
        <f t="shared" si="13"/>
        <v>26</v>
      </c>
      <c r="BG82" s="17">
        <f t="shared" si="13"/>
        <v>21</v>
      </c>
      <c r="BH82" s="17">
        <f t="shared" si="13"/>
        <v>32</v>
      </c>
      <c r="BI82" s="17">
        <f t="shared" si="13"/>
        <v>28</v>
      </c>
      <c r="BJ82" s="17">
        <f t="shared" si="13"/>
        <v>24</v>
      </c>
      <c r="BK82" s="17">
        <f t="shared" si="13"/>
        <v>33</v>
      </c>
      <c r="BL82" s="17">
        <f t="shared" si="13"/>
        <v>28</v>
      </c>
      <c r="BM82" s="17">
        <f t="shared" si="13"/>
        <v>38</v>
      </c>
      <c r="BN82" s="17">
        <f t="shared" si="13"/>
        <v>30</v>
      </c>
      <c r="BO82" s="17">
        <f t="shared" si="13"/>
        <v>37</v>
      </c>
      <c r="BP82" s="17">
        <f t="shared" si="13"/>
        <v>30</v>
      </c>
      <c r="BQ82" s="17">
        <f t="shared" si="13"/>
        <v>40</v>
      </c>
      <c r="BR82" s="17">
        <f t="shared" si="13"/>
        <v>36</v>
      </c>
      <c r="BS82" s="17">
        <f t="shared" si="13"/>
        <v>37</v>
      </c>
      <c r="BT82" s="17">
        <f t="shared" si="13"/>
        <v>35</v>
      </c>
      <c r="BU82" s="17">
        <f t="shared" si="13"/>
        <v>48</v>
      </c>
      <c r="BV82" s="17">
        <f t="shared" si="13"/>
        <v>36</v>
      </c>
      <c r="BW82" s="17">
        <f t="shared" si="13"/>
        <v>37</v>
      </c>
      <c r="BX82" s="17">
        <f t="shared" si="13"/>
        <v>34</v>
      </c>
      <c r="BY82" s="17">
        <f t="shared" si="13"/>
        <v>41</v>
      </c>
      <c r="BZ82" s="17">
        <f t="shared" si="13"/>
        <v>36</v>
      </c>
      <c r="CA82" s="17">
        <f t="shared" si="13"/>
        <v>35</v>
      </c>
      <c r="CB82" s="17">
        <f t="shared" si="13"/>
        <v>41</v>
      </c>
      <c r="CC82" s="17">
        <f t="shared" si="13"/>
        <v>35</v>
      </c>
      <c r="CD82" s="17">
        <f t="shared" si="13"/>
        <v>40</v>
      </c>
      <c r="CE82" s="17">
        <f t="shared" si="13"/>
        <v>37</v>
      </c>
      <c r="CF82" s="17">
        <f t="shared" si="13"/>
        <v>37</v>
      </c>
      <c r="CG82" s="17">
        <f t="shared" si="13"/>
        <v>36</v>
      </c>
      <c r="CH82" s="17">
        <f t="shared" si="13"/>
        <v>37</v>
      </c>
      <c r="CI82" s="17"/>
      <c r="CJ82" s="17"/>
      <c r="CK82" s="17"/>
      <c r="CL82" s="17"/>
      <c r="CM82" s="17"/>
      <c r="CN82" s="17">
        <f t="shared" ref="CN82:CW82" si="14">SUM(CN77:CN81)</f>
        <v>0</v>
      </c>
      <c r="CO82" s="17">
        <f t="shared" si="14"/>
        <v>0</v>
      </c>
      <c r="CP82" s="17">
        <f t="shared" si="14"/>
        <v>0</v>
      </c>
      <c r="CQ82" s="17">
        <f t="shared" si="14"/>
        <v>0</v>
      </c>
      <c r="CR82" s="17">
        <f t="shared" si="14"/>
        <v>0</v>
      </c>
      <c r="CS82" s="17">
        <f t="shared" si="14"/>
        <v>0</v>
      </c>
      <c r="CT82" s="17">
        <f t="shared" si="14"/>
        <v>0</v>
      </c>
      <c r="CU82" s="17">
        <f t="shared" si="14"/>
        <v>0</v>
      </c>
      <c r="CV82" s="17">
        <f t="shared" si="14"/>
        <v>0</v>
      </c>
      <c r="CW82" s="17">
        <f t="shared" si="14"/>
        <v>0</v>
      </c>
    </row>
    <row r="83" ht="16.5" customHeight="1">
      <c r="A83" s="83"/>
      <c r="C83" s="84"/>
      <c r="D83" s="84"/>
      <c r="E83" s="84"/>
      <c r="F83" s="84"/>
      <c r="G83" s="84"/>
      <c r="H83" s="84"/>
      <c r="I83" s="84"/>
      <c r="J83" s="84"/>
      <c r="K83" s="84"/>
      <c r="L83" s="22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</row>
    <row r="84" ht="16.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</row>
    <row r="85" ht="16.5" customHeight="1">
      <c r="A85" s="90"/>
      <c r="B85" s="97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</row>
    <row r="86" ht="16.5" customHeight="1">
      <c r="A86" s="90"/>
      <c r="B86" s="97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</row>
    <row r="87" ht="16.5" customHeight="1">
      <c r="A87" s="90"/>
      <c r="B87" s="97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</row>
    <row r="88" ht="16.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</row>
    <row r="89" ht="16.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</row>
    <row r="90" ht="16.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</row>
    <row r="91" ht="16.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</row>
    <row r="92" ht="16.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</row>
    <row r="93" ht="16.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</row>
    <row r="94" ht="16.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</row>
    <row r="95" ht="16.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</row>
    <row r="96" ht="16.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</row>
    <row r="97" ht="16.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</row>
    <row r="98" ht="16.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</row>
    <row r="99" ht="16.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</row>
    <row r="100" ht="16.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</row>
    <row r="101" ht="16.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</row>
    <row r="102" ht="16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</row>
    <row r="103" ht="16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</row>
    <row r="104" ht="16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</row>
    <row r="105" ht="16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</row>
    <row r="106" ht="16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</row>
    <row r="107" ht="16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</row>
    <row r="108" ht="16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</row>
    <row r="109" ht="16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</row>
    <row r="110" ht="16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</row>
    <row r="111" ht="16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</row>
    <row r="112" ht="16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</row>
    <row r="113" ht="16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</row>
    <row r="114" ht="16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</row>
    <row r="115" ht="16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</row>
    <row r="116" ht="16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</row>
    <row r="117" ht="16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</row>
    <row r="118" ht="16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</row>
    <row r="119" ht="16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</row>
    <row r="120" ht="16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</row>
    <row r="121" ht="16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</row>
    <row r="122" ht="16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</row>
    <row r="123" ht="16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</row>
    <row r="124" ht="16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</row>
    <row r="125" ht="16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</row>
    <row r="126" ht="16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</row>
    <row r="127" ht="16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</row>
    <row r="128" ht="16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</row>
    <row r="129" ht="16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</row>
    <row r="130" ht="16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</row>
    <row r="131" ht="16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</row>
    <row r="132" ht="16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</row>
    <row r="133" ht="16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</row>
    <row r="134" ht="16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</row>
    <row r="135" ht="16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</row>
    <row r="136" ht="16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</row>
    <row r="137" ht="16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</row>
    <row r="138" ht="16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</row>
    <row r="139" ht="16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</row>
    <row r="140" ht="16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</row>
    <row r="141" ht="16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</row>
    <row r="142" ht="16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</row>
    <row r="143" ht="16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</row>
    <row r="144" ht="16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</row>
    <row r="145" ht="16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</row>
    <row r="146" ht="16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</row>
    <row r="147" ht="16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</row>
    <row r="148" ht="16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</row>
    <row r="149" ht="16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</row>
    <row r="150" ht="16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</row>
    <row r="151" ht="16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</row>
    <row r="152" ht="16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</row>
    <row r="153" ht="16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</row>
    <row r="154" ht="16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</row>
    <row r="155" ht="16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</row>
    <row r="156" ht="16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</row>
    <row r="157" ht="16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</row>
    <row r="158" ht="16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</row>
    <row r="159" ht="16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</row>
    <row r="160" ht="16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</row>
    <row r="161" ht="16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</row>
    <row r="162" ht="16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</row>
    <row r="163" ht="16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</row>
    <row r="164" ht="16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</row>
    <row r="165" ht="16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</row>
    <row r="166" ht="16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</row>
    <row r="167" ht="16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</row>
    <row r="168" ht="16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</row>
    <row r="169" ht="16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</row>
    <row r="170" ht="16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</row>
    <row r="171" ht="16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</row>
    <row r="172" ht="16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</row>
    <row r="173" ht="16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</row>
    <row r="174" ht="16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</row>
    <row r="175" ht="16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</row>
    <row r="176" ht="16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</row>
    <row r="177" ht="16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</row>
    <row r="178" ht="16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</row>
    <row r="179" ht="16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</row>
    <row r="180" ht="16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</row>
    <row r="181" ht="16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</row>
    <row r="182" ht="16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</row>
    <row r="183" ht="16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</row>
    <row r="184" ht="16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</row>
    <row r="185" ht="16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</row>
    <row r="186" ht="16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</row>
    <row r="187" ht="16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</row>
    <row r="188" ht="16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0"/>
      <c r="CR188" s="90"/>
      <c r="CS188" s="90"/>
      <c r="CT188" s="90"/>
      <c r="CU188" s="90"/>
      <c r="CV188" s="90"/>
      <c r="CW188" s="90"/>
    </row>
    <row r="189" ht="16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</row>
    <row r="190" ht="16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0"/>
      <c r="CR190" s="90"/>
      <c r="CS190" s="90"/>
      <c r="CT190" s="90"/>
      <c r="CU190" s="90"/>
      <c r="CV190" s="90"/>
      <c r="CW190" s="90"/>
    </row>
    <row r="191" ht="16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</row>
    <row r="192" ht="16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</row>
    <row r="193" ht="16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</row>
    <row r="194" ht="16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0"/>
      <c r="CR194" s="90"/>
      <c r="CS194" s="90"/>
      <c r="CT194" s="90"/>
      <c r="CU194" s="90"/>
      <c r="CV194" s="90"/>
      <c r="CW194" s="90"/>
    </row>
    <row r="195" ht="16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</row>
    <row r="196" ht="16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</row>
    <row r="197" ht="16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</row>
    <row r="198" ht="16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</row>
    <row r="199" ht="16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</row>
    <row r="200" ht="16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0"/>
      <c r="CR200" s="90"/>
      <c r="CS200" s="90"/>
      <c r="CT200" s="90"/>
      <c r="CU200" s="90"/>
      <c r="CV200" s="90"/>
      <c r="CW200" s="90"/>
    </row>
    <row r="201" ht="16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</row>
    <row r="202" ht="16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0"/>
      <c r="CR202" s="90"/>
      <c r="CS202" s="90"/>
      <c r="CT202" s="90"/>
      <c r="CU202" s="90"/>
      <c r="CV202" s="90"/>
      <c r="CW202" s="90"/>
    </row>
    <row r="203" ht="16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</row>
    <row r="204" ht="16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</row>
    <row r="205" ht="16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</row>
    <row r="206" ht="16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</row>
    <row r="207" ht="16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</row>
    <row r="208" ht="16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0"/>
      <c r="CR208" s="90"/>
      <c r="CS208" s="90"/>
      <c r="CT208" s="90"/>
      <c r="CU208" s="90"/>
      <c r="CV208" s="90"/>
      <c r="CW208" s="90"/>
    </row>
    <row r="209" ht="16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</row>
    <row r="210" ht="16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  <c r="CN210" s="90"/>
      <c r="CO210" s="90"/>
      <c r="CP210" s="90"/>
      <c r="CQ210" s="90"/>
      <c r="CR210" s="90"/>
      <c r="CS210" s="90"/>
      <c r="CT210" s="90"/>
      <c r="CU210" s="90"/>
      <c r="CV210" s="90"/>
      <c r="CW210" s="90"/>
    </row>
    <row r="211" ht="16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</row>
    <row r="212" ht="16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  <c r="CN212" s="90"/>
      <c r="CO212" s="90"/>
      <c r="CP212" s="90"/>
      <c r="CQ212" s="90"/>
      <c r="CR212" s="90"/>
      <c r="CS212" s="90"/>
      <c r="CT212" s="90"/>
      <c r="CU212" s="90"/>
      <c r="CV212" s="90"/>
      <c r="CW212" s="90"/>
    </row>
    <row r="213" ht="16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</row>
    <row r="214" ht="16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0"/>
      <c r="CR214" s="90"/>
      <c r="CS214" s="90"/>
      <c r="CT214" s="90"/>
      <c r="CU214" s="90"/>
      <c r="CV214" s="90"/>
      <c r="CW214" s="90"/>
    </row>
    <row r="215" ht="16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0"/>
      <c r="CR215" s="90"/>
      <c r="CS215" s="90"/>
      <c r="CT215" s="90"/>
      <c r="CU215" s="90"/>
      <c r="CV215" s="90"/>
      <c r="CW215" s="90"/>
    </row>
    <row r="216" ht="16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  <c r="CN216" s="90"/>
      <c r="CO216" s="90"/>
      <c r="CP216" s="90"/>
      <c r="CQ216" s="90"/>
      <c r="CR216" s="90"/>
      <c r="CS216" s="90"/>
      <c r="CT216" s="90"/>
      <c r="CU216" s="90"/>
      <c r="CV216" s="90"/>
      <c r="CW216" s="90"/>
    </row>
    <row r="217" ht="16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</row>
    <row r="218" ht="16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</row>
    <row r="219" ht="16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</row>
    <row r="220" ht="16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</row>
    <row r="221" ht="16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</row>
    <row r="222" ht="16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  <c r="CN222" s="90"/>
      <c r="CO222" s="90"/>
      <c r="CP222" s="90"/>
      <c r="CQ222" s="90"/>
      <c r="CR222" s="90"/>
      <c r="CS222" s="90"/>
      <c r="CT222" s="90"/>
      <c r="CU222" s="90"/>
      <c r="CV222" s="90"/>
      <c r="CW222" s="90"/>
    </row>
    <row r="223" ht="16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</row>
    <row r="224" ht="16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0"/>
      <c r="CV224" s="90"/>
      <c r="CW224" s="90"/>
    </row>
    <row r="225" ht="16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0"/>
      <c r="CR225" s="90"/>
      <c r="CS225" s="90"/>
      <c r="CT225" s="90"/>
      <c r="CU225" s="90"/>
      <c r="CV225" s="90"/>
      <c r="CW225" s="90"/>
    </row>
    <row r="226" ht="16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</row>
    <row r="227" ht="16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</row>
    <row r="228" ht="16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  <c r="CN228" s="90"/>
      <c r="CO228" s="90"/>
      <c r="CP228" s="90"/>
      <c r="CQ228" s="90"/>
      <c r="CR228" s="90"/>
      <c r="CS228" s="90"/>
      <c r="CT228" s="90"/>
      <c r="CU228" s="90"/>
      <c r="CV228" s="90"/>
      <c r="CW228" s="90"/>
    </row>
    <row r="229" ht="16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</row>
    <row r="230" ht="16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</row>
    <row r="231" ht="16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</row>
    <row r="232" ht="16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K232" s="90"/>
      <c r="CL232" s="90"/>
      <c r="CM232" s="90"/>
      <c r="CN232" s="90"/>
      <c r="CO232" s="90"/>
      <c r="CP232" s="90"/>
      <c r="CQ232" s="90"/>
      <c r="CR232" s="90"/>
      <c r="CS232" s="90"/>
      <c r="CT232" s="90"/>
      <c r="CU232" s="90"/>
      <c r="CV232" s="90"/>
      <c r="CW232" s="90"/>
    </row>
    <row r="233" ht="16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</row>
    <row r="234" ht="16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0"/>
      <c r="CR234" s="90"/>
      <c r="CS234" s="90"/>
      <c r="CT234" s="90"/>
      <c r="CU234" s="90"/>
      <c r="CV234" s="90"/>
      <c r="CW234" s="90"/>
    </row>
    <row r="235" ht="16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0"/>
      <c r="CR235" s="90"/>
      <c r="CS235" s="90"/>
      <c r="CT235" s="90"/>
      <c r="CU235" s="90"/>
      <c r="CV235" s="90"/>
      <c r="CW235" s="90"/>
    </row>
    <row r="236" ht="16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0"/>
      <c r="CR236" s="90"/>
      <c r="CS236" s="90"/>
      <c r="CT236" s="90"/>
      <c r="CU236" s="90"/>
      <c r="CV236" s="90"/>
      <c r="CW236" s="90"/>
    </row>
    <row r="237" ht="16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</row>
    <row r="238" ht="16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K238" s="90"/>
      <c r="CL238" s="90"/>
      <c r="CM238" s="90"/>
      <c r="CN238" s="90"/>
      <c r="CO238" s="90"/>
      <c r="CP238" s="90"/>
      <c r="CQ238" s="90"/>
      <c r="CR238" s="90"/>
      <c r="CS238" s="90"/>
      <c r="CT238" s="90"/>
      <c r="CU238" s="90"/>
      <c r="CV238" s="90"/>
      <c r="CW238" s="90"/>
    </row>
    <row r="239" ht="16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</row>
    <row r="240" ht="16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  <c r="CN240" s="90"/>
      <c r="CO240" s="90"/>
      <c r="CP240" s="90"/>
      <c r="CQ240" s="90"/>
      <c r="CR240" s="90"/>
      <c r="CS240" s="90"/>
      <c r="CT240" s="90"/>
      <c r="CU240" s="90"/>
      <c r="CV240" s="90"/>
      <c r="CW240" s="90"/>
    </row>
    <row r="241" ht="16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0"/>
      <c r="CR241" s="90"/>
      <c r="CS241" s="90"/>
      <c r="CT241" s="90"/>
      <c r="CU241" s="90"/>
      <c r="CV241" s="90"/>
      <c r="CW241" s="90"/>
    </row>
    <row r="242" ht="16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K242" s="90"/>
      <c r="CL242" s="90"/>
      <c r="CM242" s="90"/>
      <c r="CN242" s="90"/>
      <c r="CO242" s="90"/>
      <c r="CP242" s="90"/>
      <c r="CQ242" s="90"/>
      <c r="CR242" s="90"/>
      <c r="CS242" s="90"/>
      <c r="CT242" s="90"/>
      <c r="CU242" s="90"/>
      <c r="CV242" s="90"/>
      <c r="CW242" s="90"/>
    </row>
    <row r="243" ht="16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</row>
    <row r="244" ht="16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K244" s="90"/>
      <c r="CL244" s="90"/>
      <c r="CM244" s="90"/>
      <c r="CN244" s="90"/>
      <c r="CO244" s="90"/>
      <c r="CP244" s="90"/>
      <c r="CQ244" s="90"/>
      <c r="CR244" s="90"/>
      <c r="CS244" s="90"/>
      <c r="CT244" s="90"/>
      <c r="CU244" s="90"/>
      <c r="CV244" s="90"/>
      <c r="CW244" s="90"/>
    </row>
    <row r="245" ht="16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0"/>
      <c r="CR245" s="90"/>
      <c r="CS245" s="90"/>
      <c r="CT245" s="90"/>
      <c r="CU245" s="90"/>
      <c r="CV245" s="90"/>
      <c r="CW245" s="90"/>
    </row>
    <row r="246" ht="16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  <c r="CN246" s="90"/>
      <c r="CO246" s="90"/>
      <c r="CP246" s="90"/>
      <c r="CQ246" s="90"/>
      <c r="CR246" s="90"/>
      <c r="CS246" s="90"/>
      <c r="CT246" s="90"/>
      <c r="CU246" s="90"/>
      <c r="CV246" s="90"/>
      <c r="CW246" s="90"/>
    </row>
    <row r="247" ht="16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</row>
    <row r="248" ht="16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  <c r="CN248" s="90"/>
      <c r="CO248" s="90"/>
      <c r="CP248" s="90"/>
      <c r="CQ248" s="90"/>
      <c r="CR248" s="90"/>
      <c r="CS248" s="90"/>
      <c r="CT248" s="90"/>
      <c r="CU248" s="90"/>
      <c r="CV248" s="90"/>
      <c r="CW248" s="90"/>
    </row>
    <row r="249" ht="16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</row>
    <row r="250" ht="16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  <c r="CN250" s="90"/>
      <c r="CO250" s="90"/>
      <c r="CP250" s="90"/>
      <c r="CQ250" s="90"/>
      <c r="CR250" s="90"/>
      <c r="CS250" s="90"/>
      <c r="CT250" s="90"/>
      <c r="CU250" s="90"/>
      <c r="CV250" s="90"/>
      <c r="CW250" s="90"/>
    </row>
    <row r="251" ht="16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</row>
    <row r="252" ht="16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  <c r="CN252" s="90"/>
      <c r="CO252" s="90"/>
      <c r="CP252" s="90"/>
      <c r="CQ252" s="90"/>
      <c r="CR252" s="90"/>
      <c r="CS252" s="90"/>
      <c r="CT252" s="90"/>
      <c r="CU252" s="90"/>
      <c r="CV252" s="90"/>
      <c r="CW252" s="90"/>
    </row>
    <row r="253" ht="16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0"/>
      <c r="CR253" s="90"/>
      <c r="CS253" s="90"/>
      <c r="CT253" s="90"/>
      <c r="CU253" s="90"/>
      <c r="CV253" s="90"/>
      <c r="CW253" s="90"/>
    </row>
    <row r="254" ht="16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K254" s="90"/>
      <c r="CL254" s="90"/>
      <c r="CM254" s="90"/>
      <c r="CN254" s="90"/>
      <c r="CO254" s="90"/>
      <c r="CP254" s="90"/>
      <c r="CQ254" s="90"/>
      <c r="CR254" s="90"/>
      <c r="CS254" s="90"/>
      <c r="CT254" s="90"/>
      <c r="CU254" s="90"/>
      <c r="CV254" s="90"/>
      <c r="CW254" s="90"/>
    </row>
    <row r="255" ht="16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0"/>
      <c r="CR255" s="90"/>
      <c r="CS255" s="90"/>
      <c r="CT255" s="90"/>
      <c r="CU255" s="90"/>
      <c r="CV255" s="90"/>
      <c r="CW255" s="90"/>
    </row>
    <row r="256" ht="16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K256" s="90"/>
      <c r="CL256" s="90"/>
      <c r="CM256" s="90"/>
      <c r="CN256" s="90"/>
      <c r="CO256" s="90"/>
      <c r="CP256" s="90"/>
      <c r="CQ256" s="90"/>
      <c r="CR256" s="90"/>
      <c r="CS256" s="90"/>
      <c r="CT256" s="90"/>
      <c r="CU256" s="90"/>
      <c r="CV256" s="90"/>
      <c r="CW256" s="90"/>
    </row>
    <row r="257" ht="16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0"/>
      <c r="CR257" s="90"/>
      <c r="CS257" s="90"/>
      <c r="CT257" s="90"/>
      <c r="CU257" s="90"/>
      <c r="CV257" s="90"/>
      <c r="CW257" s="90"/>
    </row>
    <row r="258" ht="16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K258" s="90"/>
      <c r="CL258" s="90"/>
      <c r="CM258" s="90"/>
      <c r="CN258" s="90"/>
      <c r="CO258" s="90"/>
      <c r="CP258" s="90"/>
      <c r="CQ258" s="90"/>
      <c r="CR258" s="90"/>
      <c r="CS258" s="90"/>
      <c r="CT258" s="90"/>
      <c r="CU258" s="90"/>
      <c r="CV258" s="90"/>
      <c r="CW258" s="90"/>
    </row>
    <row r="259" ht="16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0"/>
      <c r="CR259" s="90"/>
      <c r="CS259" s="90"/>
      <c r="CT259" s="90"/>
      <c r="CU259" s="90"/>
      <c r="CV259" s="90"/>
      <c r="CW259" s="90"/>
    </row>
    <row r="260" ht="16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K260" s="90"/>
      <c r="CL260" s="90"/>
      <c r="CM260" s="90"/>
      <c r="CN260" s="90"/>
      <c r="CO260" s="90"/>
      <c r="CP260" s="90"/>
      <c r="CQ260" s="90"/>
      <c r="CR260" s="90"/>
      <c r="CS260" s="90"/>
      <c r="CT260" s="90"/>
      <c r="CU260" s="90"/>
      <c r="CV260" s="90"/>
      <c r="CW260" s="90"/>
    </row>
    <row r="261" ht="16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0"/>
      <c r="CR261" s="90"/>
      <c r="CS261" s="90"/>
      <c r="CT261" s="90"/>
      <c r="CU261" s="90"/>
      <c r="CV261" s="90"/>
      <c r="CW261" s="90"/>
    </row>
    <row r="262" ht="16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  <c r="CN262" s="90"/>
      <c r="CO262" s="90"/>
      <c r="CP262" s="90"/>
      <c r="CQ262" s="90"/>
      <c r="CR262" s="90"/>
      <c r="CS262" s="90"/>
      <c r="CT262" s="90"/>
      <c r="CU262" s="90"/>
      <c r="CV262" s="90"/>
      <c r="CW262" s="90"/>
    </row>
    <row r="263" ht="16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0"/>
      <c r="CR263" s="90"/>
      <c r="CS263" s="90"/>
      <c r="CT263" s="90"/>
      <c r="CU263" s="90"/>
      <c r="CV263" s="90"/>
      <c r="CW263" s="90"/>
    </row>
    <row r="264" ht="16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K264" s="90"/>
      <c r="CL264" s="90"/>
      <c r="CM264" s="90"/>
      <c r="CN264" s="90"/>
      <c r="CO264" s="90"/>
      <c r="CP264" s="90"/>
      <c r="CQ264" s="90"/>
      <c r="CR264" s="90"/>
      <c r="CS264" s="90"/>
      <c r="CT264" s="90"/>
      <c r="CU264" s="90"/>
      <c r="CV264" s="90"/>
      <c r="CW264" s="90"/>
    </row>
    <row r="265" ht="16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0"/>
      <c r="CR265" s="90"/>
      <c r="CS265" s="90"/>
      <c r="CT265" s="90"/>
      <c r="CU265" s="90"/>
      <c r="CV265" s="90"/>
      <c r="CW265" s="90"/>
    </row>
    <row r="266" ht="16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K266" s="90"/>
      <c r="CL266" s="90"/>
      <c r="CM266" s="90"/>
      <c r="CN266" s="90"/>
      <c r="CO266" s="90"/>
      <c r="CP266" s="90"/>
      <c r="CQ266" s="90"/>
      <c r="CR266" s="90"/>
      <c r="CS266" s="90"/>
      <c r="CT266" s="90"/>
      <c r="CU266" s="90"/>
      <c r="CV266" s="90"/>
      <c r="CW266" s="90"/>
    </row>
    <row r="267" ht="16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0"/>
      <c r="CR267" s="90"/>
      <c r="CS267" s="90"/>
      <c r="CT267" s="90"/>
      <c r="CU267" s="90"/>
      <c r="CV267" s="90"/>
      <c r="CW267" s="90"/>
    </row>
    <row r="268" ht="16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K268" s="90"/>
      <c r="CL268" s="90"/>
      <c r="CM268" s="90"/>
      <c r="CN268" s="90"/>
      <c r="CO268" s="90"/>
      <c r="CP268" s="90"/>
      <c r="CQ268" s="90"/>
      <c r="CR268" s="90"/>
      <c r="CS268" s="90"/>
      <c r="CT268" s="90"/>
      <c r="CU268" s="90"/>
      <c r="CV268" s="90"/>
      <c r="CW268" s="90"/>
    </row>
    <row r="269" ht="16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  <c r="CN269" s="90"/>
      <c r="CO269" s="90"/>
      <c r="CP269" s="90"/>
      <c r="CQ269" s="90"/>
      <c r="CR269" s="90"/>
      <c r="CS269" s="90"/>
      <c r="CT269" s="90"/>
      <c r="CU269" s="90"/>
      <c r="CV269" s="90"/>
      <c r="CW269" s="90"/>
    </row>
    <row r="270" ht="16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K270" s="90"/>
      <c r="CL270" s="90"/>
      <c r="CM270" s="90"/>
      <c r="CN270" s="90"/>
      <c r="CO270" s="90"/>
      <c r="CP270" s="90"/>
      <c r="CQ270" s="90"/>
      <c r="CR270" s="90"/>
      <c r="CS270" s="90"/>
      <c r="CT270" s="90"/>
      <c r="CU270" s="90"/>
      <c r="CV270" s="90"/>
      <c r="CW270" s="90"/>
    </row>
    <row r="271" ht="16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0"/>
      <c r="CR271" s="90"/>
      <c r="CS271" s="90"/>
      <c r="CT271" s="90"/>
      <c r="CU271" s="90"/>
      <c r="CV271" s="90"/>
      <c r="CW271" s="90"/>
    </row>
    <row r="272" ht="16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K272" s="90"/>
      <c r="CL272" s="90"/>
      <c r="CM272" s="90"/>
      <c r="CN272" s="90"/>
      <c r="CO272" s="90"/>
      <c r="CP272" s="90"/>
      <c r="CQ272" s="90"/>
      <c r="CR272" s="90"/>
      <c r="CS272" s="90"/>
      <c r="CT272" s="90"/>
      <c r="CU272" s="90"/>
      <c r="CV272" s="90"/>
      <c r="CW272" s="90"/>
    </row>
    <row r="273" ht="16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0"/>
      <c r="CR273" s="90"/>
      <c r="CS273" s="90"/>
      <c r="CT273" s="90"/>
      <c r="CU273" s="90"/>
      <c r="CV273" s="90"/>
      <c r="CW273" s="90"/>
    </row>
    <row r="274" ht="16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K274" s="90"/>
      <c r="CL274" s="90"/>
      <c r="CM274" s="90"/>
      <c r="CN274" s="90"/>
      <c r="CO274" s="90"/>
      <c r="CP274" s="90"/>
      <c r="CQ274" s="90"/>
      <c r="CR274" s="90"/>
      <c r="CS274" s="90"/>
      <c r="CT274" s="90"/>
      <c r="CU274" s="90"/>
      <c r="CV274" s="90"/>
      <c r="CW274" s="90"/>
    </row>
    <row r="275" ht="16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0"/>
      <c r="CR275" s="90"/>
      <c r="CS275" s="90"/>
      <c r="CT275" s="90"/>
      <c r="CU275" s="90"/>
      <c r="CV275" s="90"/>
      <c r="CW275" s="90"/>
    </row>
    <row r="276" ht="16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K276" s="90"/>
      <c r="CL276" s="90"/>
      <c r="CM276" s="90"/>
      <c r="CN276" s="90"/>
      <c r="CO276" s="90"/>
      <c r="CP276" s="90"/>
      <c r="CQ276" s="90"/>
      <c r="CR276" s="90"/>
      <c r="CS276" s="90"/>
      <c r="CT276" s="90"/>
      <c r="CU276" s="90"/>
      <c r="CV276" s="90"/>
      <c r="CW276" s="90"/>
    </row>
    <row r="277" ht="16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0"/>
      <c r="CR277" s="90"/>
      <c r="CS277" s="90"/>
      <c r="CT277" s="90"/>
      <c r="CU277" s="90"/>
      <c r="CV277" s="90"/>
      <c r="CW277" s="90"/>
    </row>
    <row r="278" ht="16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K278" s="90"/>
      <c r="CL278" s="90"/>
      <c r="CM278" s="90"/>
      <c r="CN278" s="90"/>
      <c r="CO278" s="90"/>
      <c r="CP278" s="90"/>
      <c r="CQ278" s="90"/>
      <c r="CR278" s="90"/>
      <c r="CS278" s="90"/>
      <c r="CT278" s="90"/>
      <c r="CU278" s="90"/>
      <c r="CV278" s="90"/>
      <c r="CW278" s="90"/>
    </row>
    <row r="279" ht="16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0"/>
      <c r="CR279" s="90"/>
      <c r="CS279" s="90"/>
      <c r="CT279" s="90"/>
      <c r="CU279" s="90"/>
      <c r="CV279" s="90"/>
      <c r="CW279" s="90"/>
    </row>
    <row r="280" ht="16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K280" s="90"/>
      <c r="CL280" s="90"/>
      <c r="CM280" s="90"/>
      <c r="CN280" s="90"/>
      <c r="CO280" s="90"/>
      <c r="CP280" s="90"/>
      <c r="CQ280" s="90"/>
      <c r="CR280" s="90"/>
      <c r="CS280" s="90"/>
      <c r="CT280" s="90"/>
      <c r="CU280" s="90"/>
      <c r="CV280" s="90"/>
      <c r="CW280" s="90"/>
    </row>
    <row r="281" ht="16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0"/>
      <c r="CR281" s="90"/>
      <c r="CS281" s="90"/>
      <c r="CT281" s="90"/>
      <c r="CU281" s="90"/>
      <c r="CV281" s="90"/>
      <c r="CW281" s="90"/>
    </row>
    <row r="282" ht="16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K282" s="90"/>
      <c r="CL282" s="90"/>
      <c r="CM282" s="90"/>
      <c r="CN282" s="90"/>
      <c r="CO282" s="90"/>
      <c r="CP282" s="90"/>
      <c r="CQ282" s="90"/>
      <c r="CR282" s="90"/>
      <c r="CS282" s="90"/>
      <c r="CT282" s="90"/>
      <c r="CU282" s="90"/>
      <c r="CV282" s="90"/>
      <c r="CW282" s="90"/>
    </row>
    <row r="283" ht="16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0"/>
      <c r="CR283" s="90"/>
      <c r="CS283" s="90"/>
      <c r="CT283" s="90"/>
      <c r="CU283" s="90"/>
      <c r="CV283" s="90"/>
      <c r="CW283" s="90"/>
    </row>
    <row r="284" ht="16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K284" s="90"/>
      <c r="CL284" s="90"/>
      <c r="CM284" s="90"/>
      <c r="CN284" s="90"/>
      <c r="CO284" s="90"/>
      <c r="CP284" s="90"/>
      <c r="CQ284" s="90"/>
      <c r="CR284" s="90"/>
      <c r="CS284" s="90"/>
      <c r="CT284" s="90"/>
      <c r="CU284" s="90"/>
      <c r="CV284" s="90"/>
      <c r="CW284" s="90"/>
    </row>
    <row r="285" ht="16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0"/>
      <c r="CR285" s="90"/>
      <c r="CS285" s="90"/>
      <c r="CT285" s="90"/>
      <c r="CU285" s="90"/>
      <c r="CV285" s="90"/>
      <c r="CW285" s="90"/>
    </row>
    <row r="286" ht="16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K286" s="90"/>
      <c r="CL286" s="90"/>
      <c r="CM286" s="90"/>
      <c r="CN286" s="90"/>
      <c r="CO286" s="90"/>
      <c r="CP286" s="90"/>
      <c r="CQ286" s="90"/>
      <c r="CR286" s="90"/>
      <c r="CS286" s="90"/>
      <c r="CT286" s="90"/>
      <c r="CU286" s="90"/>
      <c r="CV286" s="90"/>
      <c r="CW286" s="90"/>
    </row>
    <row r="287" ht="16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0"/>
      <c r="CR287" s="90"/>
      <c r="CS287" s="90"/>
      <c r="CT287" s="90"/>
      <c r="CU287" s="90"/>
      <c r="CV287" s="90"/>
      <c r="CW287" s="90"/>
    </row>
    <row r="288" ht="16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K288" s="90"/>
      <c r="CL288" s="90"/>
      <c r="CM288" s="90"/>
      <c r="CN288" s="90"/>
      <c r="CO288" s="90"/>
      <c r="CP288" s="90"/>
      <c r="CQ288" s="90"/>
      <c r="CR288" s="90"/>
      <c r="CS288" s="90"/>
      <c r="CT288" s="90"/>
      <c r="CU288" s="90"/>
      <c r="CV288" s="90"/>
      <c r="CW288" s="90"/>
    </row>
    <row r="289" ht="16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0"/>
      <c r="CR289" s="90"/>
      <c r="CS289" s="90"/>
      <c r="CT289" s="90"/>
      <c r="CU289" s="90"/>
      <c r="CV289" s="90"/>
      <c r="CW289" s="90"/>
    </row>
    <row r="290" ht="16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K290" s="90"/>
      <c r="CL290" s="90"/>
      <c r="CM290" s="90"/>
      <c r="CN290" s="90"/>
      <c r="CO290" s="90"/>
      <c r="CP290" s="90"/>
      <c r="CQ290" s="90"/>
      <c r="CR290" s="90"/>
      <c r="CS290" s="90"/>
      <c r="CT290" s="90"/>
      <c r="CU290" s="90"/>
      <c r="CV290" s="90"/>
      <c r="CW290" s="90"/>
    </row>
    <row r="291" ht="16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0"/>
      <c r="CR291" s="90"/>
      <c r="CS291" s="90"/>
      <c r="CT291" s="90"/>
      <c r="CU291" s="90"/>
      <c r="CV291" s="90"/>
      <c r="CW291" s="90"/>
    </row>
    <row r="292" ht="16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K292" s="90"/>
      <c r="CL292" s="90"/>
      <c r="CM292" s="90"/>
      <c r="CN292" s="90"/>
      <c r="CO292" s="90"/>
      <c r="CP292" s="90"/>
      <c r="CQ292" s="90"/>
      <c r="CR292" s="90"/>
      <c r="CS292" s="90"/>
      <c r="CT292" s="90"/>
      <c r="CU292" s="90"/>
      <c r="CV292" s="90"/>
      <c r="CW292" s="90"/>
    </row>
    <row r="293" ht="16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  <c r="CN293" s="90"/>
      <c r="CO293" s="90"/>
      <c r="CP293" s="90"/>
      <c r="CQ293" s="90"/>
      <c r="CR293" s="90"/>
      <c r="CS293" s="90"/>
      <c r="CT293" s="90"/>
      <c r="CU293" s="90"/>
      <c r="CV293" s="90"/>
      <c r="CW293" s="90"/>
    </row>
    <row r="294" ht="16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K294" s="90"/>
      <c r="CL294" s="90"/>
      <c r="CM294" s="90"/>
      <c r="CN294" s="90"/>
      <c r="CO294" s="90"/>
      <c r="CP294" s="90"/>
      <c r="CQ294" s="90"/>
      <c r="CR294" s="90"/>
      <c r="CS294" s="90"/>
      <c r="CT294" s="90"/>
      <c r="CU294" s="90"/>
      <c r="CV294" s="90"/>
      <c r="CW294" s="90"/>
    </row>
    <row r="295" ht="16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0"/>
      <c r="CR295" s="90"/>
      <c r="CS295" s="90"/>
      <c r="CT295" s="90"/>
      <c r="CU295" s="90"/>
      <c r="CV295" s="90"/>
      <c r="CW295" s="90"/>
    </row>
    <row r="296" ht="16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K296" s="90"/>
      <c r="CL296" s="90"/>
      <c r="CM296" s="90"/>
      <c r="CN296" s="90"/>
      <c r="CO296" s="90"/>
      <c r="CP296" s="90"/>
      <c r="CQ296" s="90"/>
      <c r="CR296" s="90"/>
      <c r="CS296" s="90"/>
      <c r="CT296" s="90"/>
      <c r="CU296" s="90"/>
      <c r="CV296" s="90"/>
      <c r="CW296" s="90"/>
    </row>
    <row r="297" ht="16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0"/>
      <c r="CR297" s="90"/>
      <c r="CS297" s="90"/>
      <c r="CT297" s="90"/>
      <c r="CU297" s="90"/>
      <c r="CV297" s="90"/>
      <c r="CW297" s="90"/>
    </row>
    <row r="298" ht="16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K298" s="90"/>
      <c r="CL298" s="90"/>
      <c r="CM298" s="90"/>
      <c r="CN298" s="90"/>
      <c r="CO298" s="90"/>
      <c r="CP298" s="90"/>
      <c r="CQ298" s="90"/>
      <c r="CR298" s="90"/>
      <c r="CS298" s="90"/>
      <c r="CT298" s="90"/>
      <c r="CU298" s="90"/>
      <c r="CV298" s="90"/>
      <c r="CW298" s="90"/>
    </row>
    <row r="299" ht="16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0"/>
      <c r="CR299" s="90"/>
      <c r="CS299" s="90"/>
      <c r="CT299" s="90"/>
      <c r="CU299" s="90"/>
      <c r="CV299" s="90"/>
      <c r="CW299" s="90"/>
    </row>
    <row r="300" ht="16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K300" s="90"/>
      <c r="CL300" s="90"/>
      <c r="CM300" s="90"/>
      <c r="CN300" s="90"/>
      <c r="CO300" s="90"/>
      <c r="CP300" s="90"/>
      <c r="CQ300" s="90"/>
      <c r="CR300" s="90"/>
      <c r="CS300" s="90"/>
      <c r="CT300" s="90"/>
      <c r="CU300" s="90"/>
      <c r="CV300" s="90"/>
      <c r="CW300" s="90"/>
    </row>
    <row r="301" ht="16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  <c r="CN301" s="90"/>
      <c r="CO301" s="90"/>
      <c r="CP301" s="90"/>
      <c r="CQ301" s="90"/>
      <c r="CR301" s="90"/>
      <c r="CS301" s="90"/>
      <c r="CT301" s="90"/>
      <c r="CU301" s="90"/>
      <c r="CV301" s="90"/>
      <c r="CW301" s="90"/>
    </row>
    <row r="302" ht="16.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K302" s="90"/>
      <c r="CL302" s="90"/>
      <c r="CM302" s="90"/>
      <c r="CN302" s="90"/>
      <c r="CO302" s="90"/>
      <c r="CP302" s="90"/>
      <c r="CQ302" s="90"/>
      <c r="CR302" s="90"/>
      <c r="CS302" s="90"/>
      <c r="CT302" s="90"/>
      <c r="CU302" s="90"/>
      <c r="CV302" s="90"/>
      <c r="CW302" s="90"/>
    </row>
    <row r="303" ht="16.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  <c r="CN303" s="90"/>
      <c r="CO303" s="90"/>
      <c r="CP303" s="90"/>
      <c r="CQ303" s="90"/>
      <c r="CR303" s="90"/>
      <c r="CS303" s="90"/>
      <c r="CT303" s="90"/>
      <c r="CU303" s="90"/>
      <c r="CV303" s="90"/>
      <c r="CW303" s="90"/>
    </row>
    <row r="304" ht="16.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K304" s="90"/>
      <c r="CL304" s="90"/>
      <c r="CM304" s="90"/>
      <c r="CN304" s="90"/>
      <c r="CO304" s="90"/>
      <c r="CP304" s="90"/>
      <c r="CQ304" s="90"/>
      <c r="CR304" s="90"/>
      <c r="CS304" s="90"/>
      <c r="CT304" s="90"/>
      <c r="CU304" s="90"/>
      <c r="CV304" s="90"/>
      <c r="CW304" s="90"/>
    </row>
    <row r="305" ht="16.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</row>
    <row r="306" ht="16.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K306" s="90"/>
      <c r="CL306" s="90"/>
      <c r="CM306" s="90"/>
      <c r="CN306" s="90"/>
      <c r="CO306" s="90"/>
      <c r="CP306" s="90"/>
      <c r="CQ306" s="90"/>
      <c r="CR306" s="90"/>
      <c r="CS306" s="90"/>
      <c r="CT306" s="90"/>
      <c r="CU306" s="90"/>
      <c r="CV306" s="90"/>
      <c r="CW306" s="90"/>
    </row>
    <row r="307" ht="16.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  <c r="CN307" s="90"/>
      <c r="CO307" s="90"/>
      <c r="CP307" s="90"/>
      <c r="CQ307" s="90"/>
      <c r="CR307" s="90"/>
      <c r="CS307" s="90"/>
      <c r="CT307" s="90"/>
      <c r="CU307" s="90"/>
      <c r="CV307" s="90"/>
      <c r="CW307" s="90"/>
    </row>
    <row r="308" ht="16.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K308" s="90"/>
      <c r="CL308" s="90"/>
      <c r="CM308" s="90"/>
      <c r="CN308" s="90"/>
      <c r="CO308" s="90"/>
      <c r="CP308" s="90"/>
      <c r="CQ308" s="90"/>
      <c r="CR308" s="90"/>
      <c r="CS308" s="90"/>
      <c r="CT308" s="90"/>
      <c r="CU308" s="90"/>
      <c r="CV308" s="90"/>
      <c r="CW308" s="90"/>
    </row>
    <row r="309" ht="16.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  <c r="CN309" s="90"/>
      <c r="CO309" s="90"/>
      <c r="CP309" s="90"/>
      <c r="CQ309" s="90"/>
      <c r="CR309" s="90"/>
      <c r="CS309" s="90"/>
      <c r="CT309" s="90"/>
      <c r="CU309" s="90"/>
      <c r="CV309" s="90"/>
      <c r="CW309" s="90"/>
    </row>
    <row r="310" ht="16.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  <c r="CN310" s="90"/>
      <c r="CO310" s="90"/>
      <c r="CP310" s="90"/>
      <c r="CQ310" s="90"/>
      <c r="CR310" s="90"/>
      <c r="CS310" s="90"/>
      <c r="CT310" s="90"/>
      <c r="CU310" s="90"/>
      <c r="CV310" s="90"/>
      <c r="CW310" s="90"/>
    </row>
    <row r="311" ht="16.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0"/>
      <c r="CR311" s="90"/>
      <c r="CS311" s="90"/>
      <c r="CT311" s="90"/>
      <c r="CU311" s="90"/>
      <c r="CV311" s="90"/>
      <c r="CW311" s="90"/>
    </row>
    <row r="312" ht="16.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K312" s="90"/>
      <c r="CL312" s="90"/>
      <c r="CM312" s="90"/>
      <c r="CN312" s="90"/>
      <c r="CO312" s="90"/>
      <c r="CP312" s="90"/>
      <c r="CQ312" s="90"/>
      <c r="CR312" s="90"/>
      <c r="CS312" s="90"/>
      <c r="CT312" s="90"/>
      <c r="CU312" s="90"/>
      <c r="CV312" s="90"/>
      <c r="CW312" s="90"/>
    </row>
    <row r="313" ht="16.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0"/>
      <c r="CR313" s="90"/>
      <c r="CS313" s="90"/>
      <c r="CT313" s="90"/>
      <c r="CU313" s="90"/>
      <c r="CV313" s="90"/>
      <c r="CW313" s="90"/>
    </row>
    <row r="314" ht="16.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K314" s="90"/>
      <c r="CL314" s="90"/>
      <c r="CM314" s="90"/>
      <c r="CN314" s="90"/>
      <c r="CO314" s="90"/>
      <c r="CP314" s="90"/>
      <c r="CQ314" s="90"/>
      <c r="CR314" s="90"/>
      <c r="CS314" s="90"/>
      <c r="CT314" s="90"/>
      <c r="CU314" s="90"/>
      <c r="CV314" s="90"/>
      <c r="CW314" s="90"/>
    </row>
    <row r="315" ht="16.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</row>
    <row r="316" ht="16.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0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K316" s="90"/>
      <c r="CL316" s="90"/>
      <c r="CM316" s="90"/>
      <c r="CN316" s="90"/>
      <c r="CO316" s="90"/>
      <c r="CP316" s="90"/>
      <c r="CQ316" s="90"/>
      <c r="CR316" s="90"/>
      <c r="CS316" s="90"/>
      <c r="CT316" s="90"/>
      <c r="CU316" s="90"/>
      <c r="CV316" s="90"/>
      <c r="CW316" s="90"/>
    </row>
    <row r="317" ht="16.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0"/>
      <c r="CR317" s="90"/>
      <c r="CS317" s="90"/>
      <c r="CT317" s="90"/>
      <c r="CU317" s="90"/>
      <c r="CV317" s="90"/>
      <c r="CW317" s="90"/>
    </row>
    <row r="318" ht="16.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0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K318" s="90"/>
      <c r="CL318" s="90"/>
      <c r="CM318" s="90"/>
      <c r="CN318" s="90"/>
      <c r="CO318" s="90"/>
      <c r="CP318" s="90"/>
      <c r="CQ318" s="90"/>
      <c r="CR318" s="90"/>
      <c r="CS318" s="90"/>
      <c r="CT318" s="90"/>
      <c r="CU318" s="90"/>
      <c r="CV318" s="90"/>
      <c r="CW318" s="90"/>
    </row>
    <row r="319" ht="16.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0"/>
      <c r="CR319" s="90"/>
      <c r="CS319" s="90"/>
      <c r="CT319" s="90"/>
      <c r="CU319" s="90"/>
      <c r="CV319" s="90"/>
      <c r="CW319" s="90"/>
    </row>
    <row r="320" ht="16.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0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K320" s="90"/>
      <c r="CL320" s="90"/>
      <c r="CM320" s="90"/>
      <c r="CN320" s="90"/>
      <c r="CO320" s="90"/>
      <c r="CP320" s="90"/>
      <c r="CQ320" s="90"/>
      <c r="CR320" s="90"/>
      <c r="CS320" s="90"/>
      <c r="CT320" s="90"/>
      <c r="CU320" s="90"/>
      <c r="CV320" s="90"/>
      <c r="CW320" s="90"/>
    </row>
    <row r="321" ht="16.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0"/>
      <c r="CR321" s="90"/>
      <c r="CS321" s="90"/>
      <c r="CT321" s="90"/>
      <c r="CU321" s="90"/>
      <c r="CV321" s="90"/>
      <c r="CW321" s="90"/>
    </row>
    <row r="322" ht="16.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0"/>
      <c r="BS322" s="90"/>
      <c r="BT322" s="90"/>
      <c r="BU322" s="90"/>
      <c r="BV322" s="90"/>
      <c r="BW322" s="90"/>
      <c r="BX322" s="90"/>
      <c r="BY322" s="90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K322" s="90"/>
      <c r="CL322" s="90"/>
      <c r="CM322" s="90"/>
      <c r="CN322" s="90"/>
      <c r="CO322" s="90"/>
      <c r="CP322" s="90"/>
      <c r="CQ322" s="90"/>
      <c r="CR322" s="90"/>
      <c r="CS322" s="90"/>
      <c r="CT322" s="90"/>
      <c r="CU322" s="90"/>
      <c r="CV322" s="90"/>
      <c r="CW322" s="90"/>
    </row>
    <row r="323" ht="16.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  <c r="CN323" s="90"/>
      <c r="CO323" s="90"/>
      <c r="CP323" s="90"/>
      <c r="CQ323" s="90"/>
      <c r="CR323" s="90"/>
      <c r="CS323" s="90"/>
      <c r="CT323" s="90"/>
      <c r="CU323" s="90"/>
      <c r="CV323" s="90"/>
      <c r="CW323" s="90"/>
    </row>
    <row r="324" ht="16.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0"/>
      <c r="BS324" s="90"/>
      <c r="BT324" s="90"/>
      <c r="BU324" s="90"/>
      <c r="BV324" s="90"/>
      <c r="BW324" s="90"/>
      <c r="BX324" s="90"/>
      <c r="BY324" s="90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K324" s="90"/>
      <c r="CL324" s="90"/>
      <c r="CM324" s="90"/>
      <c r="CN324" s="90"/>
      <c r="CO324" s="90"/>
      <c r="CP324" s="90"/>
      <c r="CQ324" s="90"/>
      <c r="CR324" s="90"/>
      <c r="CS324" s="90"/>
      <c r="CT324" s="90"/>
      <c r="CU324" s="90"/>
      <c r="CV324" s="90"/>
      <c r="CW324" s="90"/>
    </row>
    <row r="325" ht="16.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  <c r="CN325" s="90"/>
      <c r="CO325" s="90"/>
      <c r="CP325" s="90"/>
      <c r="CQ325" s="90"/>
      <c r="CR325" s="90"/>
      <c r="CS325" s="90"/>
      <c r="CT325" s="90"/>
      <c r="CU325" s="90"/>
      <c r="CV325" s="90"/>
      <c r="CW325" s="90"/>
    </row>
    <row r="326" ht="16.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0"/>
      <c r="BS326" s="90"/>
      <c r="BT326" s="90"/>
      <c r="BU326" s="90"/>
      <c r="BV326" s="90"/>
      <c r="BW326" s="90"/>
      <c r="BX326" s="90"/>
      <c r="BY326" s="90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K326" s="90"/>
      <c r="CL326" s="90"/>
      <c r="CM326" s="90"/>
      <c r="CN326" s="90"/>
      <c r="CO326" s="90"/>
      <c r="CP326" s="90"/>
      <c r="CQ326" s="90"/>
      <c r="CR326" s="90"/>
      <c r="CS326" s="90"/>
      <c r="CT326" s="90"/>
      <c r="CU326" s="90"/>
      <c r="CV326" s="90"/>
      <c r="CW326" s="90"/>
    </row>
    <row r="327" ht="16.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  <c r="CN327" s="90"/>
      <c r="CO327" s="90"/>
      <c r="CP327" s="90"/>
      <c r="CQ327" s="90"/>
      <c r="CR327" s="90"/>
      <c r="CS327" s="90"/>
      <c r="CT327" s="90"/>
      <c r="CU327" s="90"/>
      <c r="CV327" s="90"/>
      <c r="CW327" s="90"/>
    </row>
    <row r="328" ht="16.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0"/>
      <c r="BS328" s="90"/>
      <c r="BT328" s="90"/>
      <c r="BU328" s="90"/>
      <c r="BV328" s="90"/>
      <c r="BW328" s="90"/>
      <c r="BX328" s="90"/>
      <c r="BY328" s="90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K328" s="90"/>
      <c r="CL328" s="90"/>
      <c r="CM328" s="90"/>
      <c r="CN328" s="90"/>
      <c r="CO328" s="90"/>
      <c r="CP328" s="90"/>
      <c r="CQ328" s="90"/>
      <c r="CR328" s="90"/>
      <c r="CS328" s="90"/>
      <c r="CT328" s="90"/>
      <c r="CU328" s="90"/>
      <c r="CV328" s="90"/>
      <c r="CW328" s="90"/>
    </row>
    <row r="329" ht="16.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  <c r="CN329" s="90"/>
      <c r="CO329" s="90"/>
      <c r="CP329" s="90"/>
      <c r="CQ329" s="90"/>
      <c r="CR329" s="90"/>
      <c r="CS329" s="90"/>
      <c r="CT329" s="90"/>
      <c r="CU329" s="90"/>
      <c r="CV329" s="90"/>
      <c r="CW329" s="90"/>
    </row>
    <row r="330" ht="16.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0"/>
      <c r="BS330" s="90"/>
      <c r="BT330" s="90"/>
      <c r="BU330" s="90"/>
      <c r="BV330" s="90"/>
      <c r="BW330" s="90"/>
      <c r="BX330" s="90"/>
      <c r="BY330" s="90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K330" s="90"/>
      <c r="CL330" s="90"/>
      <c r="CM330" s="90"/>
      <c r="CN330" s="90"/>
      <c r="CO330" s="90"/>
      <c r="CP330" s="90"/>
      <c r="CQ330" s="90"/>
      <c r="CR330" s="90"/>
      <c r="CS330" s="90"/>
      <c r="CT330" s="90"/>
      <c r="CU330" s="90"/>
      <c r="CV330" s="90"/>
      <c r="CW330" s="90"/>
    </row>
    <row r="331" ht="16.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  <c r="CN331" s="90"/>
      <c r="CO331" s="90"/>
      <c r="CP331" s="90"/>
      <c r="CQ331" s="90"/>
      <c r="CR331" s="90"/>
      <c r="CS331" s="90"/>
      <c r="CT331" s="90"/>
      <c r="CU331" s="90"/>
      <c r="CV331" s="90"/>
      <c r="CW331" s="90"/>
    </row>
    <row r="332" ht="16.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90"/>
      <c r="BR332" s="90"/>
      <c r="BS332" s="90"/>
      <c r="BT332" s="90"/>
      <c r="BU332" s="90"/>
      <c r="BV332" s="90"/>
      <c r="BW332" s="90"/>
      <c r="BX332" s="90"/>
      <c r="BY332" s="90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K332" s="90"/>
      <c r="CL332" s="90"/>
      <c r="CM332" s="90"/>
      <c r="CN332" s="90"/>
      <c r="CO332" s="90"/>
      <c r="CP332" s="90"/>
      <c r="CQ332" s="90"/>
      <c r="CR332" s="90"/>
      <c r="CS332" s="90"/>
      <c r="CT332" s="90"/>
      <c r="CU332" s="90"/>
      <c r="CV332" s="90"/>
      <c r="CW332" s="90"/>
    </row>
    <row r="333" ht="16.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90"/>
      <c r="BR333" s="90"/>
      <c r="BS333" s="90"/>
      <c r="BT333" s="90"/>
      <c r="BU333" s="90"/>
      <c r="BV333" s="90"/>
      <c r="BW333" s="90"/>
      <c r="BX333" s="90"/>
      <c r="BY333" s="90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K333" s="90"/>
      <c r="CL333" s="90"/>
      <c r="CM333" s="90"/>
      <c r="CN333" s="90"/>
      <c r="CO333" s="90"/>
      <c r="CP333" s="90"/>
      <c r="CQ333" s="90"/>
      <c r="CR333" s="90"/>
      <c r="CS333" s="90"/>
      <c r="CT333" s="90"/>
      <c r="CU333" s="90"/>
      <c r="CV333" s="90"/>
      <c r="CW333" s="90"/>
    </row>
    <row r="334" ht="16.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  <c r="CN334" s="90"/>
      <c r="CO334" s="90"/>
      <c r="CP334" s="90"/>
      <c r="CQ334" s="90"/>
      <c r="CR334" s="90"/>
      <c r="CS334" s="90"/>
      <c r="CT334" s="90"/>
      <c r="CU334" s="90"/>
      <c r="CV334" s="90"/>
      <c r="CW334" s="90"/>
    </row>
    <row r="335" ht="16.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  <c r="BO335" s="90"/>
      <c r="BP335" s="90"/>
      <c r="BQ335" s="90"/>
      <c r="BR335" s="90"/>
      <c r="BS335" s="90"/>
      <c r="BT335" s="90"/>
      <c r="BU335" s="90"/>
      <c r="BV335" s="90"/>
      <c r="BW335" s="90"/>
      <c r="BX335" s="90"/>
      <c r="BY335" s="90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K335" s="90"/>
      <c r="CL335" s="90"/>
      <c r="CM335" s="90"/>
      <c r="CN335" s="90"/>
      <c r="CO335" s="90"/>
      <c r="CP335" s="90"/>
      <c r="CQ335" s="90"/>
      <c r="CR335" s="90"/>
      <c r="CS335" s="90"/>
      <c r="CT335" s="90"/>
      <c r="CU335" s="90"/>
      <c r="CV335" s="90"/>
      <c r="CW335" s="90"/>
    </row>
    <row r="336" ht="16.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90"/>
      <c r="BR336" s="90"/>
      <c r="BS336" s="90"/>
      <c r="BT336" s="90"/>
      <c r="BU336" s="90"/>
      <c r="BV336" s="90"/>
      <c r="BW336" s="90"/>
      <c r="BX336" s="90"/>
      <c r="BY336" s="90"/>
      <c r="BZ336" s="90"/>
      <c r="CA336" s="90"/>
      <c r="CB336" s="90"/>
      <c r="CC336" s="90"/>
      <c r="CD336" s="90"/>
      <c r="CE336" s="90"/>
      <c r="CF336" s="90"/>
      <c r="CG336" s="90"/>
      <c r="CH336" s="90"/>
      <c r="CI336" s="90"/>
      <c r="CJ336" s="90"/>
      <c r="CK336" s="90"/>
      <c r="CL336" s="90"/>
      <c r="CM336" s="90"/>
      <c r="CN336" s="90"/>
      <c r="CO336" s="90"/>
      <c r="CP336" s="90"/>
      <c r="CQ336" s="90"/>
      <c r="CR336" s="90"/>
      <c r="CS336" s="90"/>
      <c r="CT336" s="90"/>
      <c r="CU336" s="90"/>
      <c r="CV336" s="90"/>
      <c r="CW336" s="90"/>
    </row>
    <row r="337" ht="16.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90"/>
      <c r="BR337" s="90"/>
      <c r="BS337" s="90"/>
      <c r="BT337" s="90"/>
      <c r="BU337" s="90"/>
      <c r="BV337" s="90"/>
      <c r="BW337" s="90"/>
      <c r="BX337" s="90"/>
      <c r="BY337" s="90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K337" s="90"/>
      <c r="CL337" s="90"/>
      <c r="CM337" s="90"/>
      <c r="CN337" s="90"/>
      <c r="CO337" s="90"/>
      <c r="CP337" s="90"/>
      <c r="CQ337" s="90"/>
      <c r="CR337" s="90"/>
      <c r="CS337" s="90"/>
      <c r="CT337" s="90"/>
      <c r="CU337" s="90"/>
      <c r="CV337" s="90"/>
      <c r="CW337" s="90"/>
    </row>
    <row r="338" ht="16.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  <c r="CN338" s="90"/>
      <c r="CO338" s="90"/>
      <c r="CP338" s="90"/>
      <c r="CQ338" s="90"/>
      <c r="CR338" s="90"/>
      <c r="CS338" s="90"/>
      <c r="CT338" s="90"/>
      <c r="CU338" s="90"/>
      <c r="CV338" s="90"/>
      <c r="CW338" s="90"/>
    </row>
    <row r="339" ht="16.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</row>
    <row r="340" ht="16.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0"/>
      <c r="BQ340" s="90"/>
      <c r="BR340" s="90"/>
      <c r="BS340" s="90"/>
      <c r="BT340" s="90"/>
      <c r="BU340" s="90"/>
      <c r="BV340" s="90"/>
      <c r="BW340" s="90"/>
      <c r="BX340" s="90"/>
      <c r="BY340" s="90"/>
      <c r="BZ340" s="90"/>
      <c r="CA340" s="90"/>
      <c r="CB340" s="90"/>
      <c r="CC340" s="90"/>
      <c r="CD340" s="90"/>
      <c r="CE340" s="90"/>
      <c r="CF340" s="90"/>
      <c r="CG340" s="90"/>
      <c r="CH340" s="90"/>
      <c r="CI340" s="90"/>
      <c r="CJ340" s="90"/>
      <c r="CK340" s="90"/>
      <c r="CL340" s="90"/>
      <c r="CM340" s="90"/>
      <c r="CN340" s="90"/>
      <c r="CO340" s="90"/>
      <c r="CP340" s="90"/>
      <c r="CQ340" s="90"/>
      <c r="CR340" s="90"/>
      <c r="CS340" s="90"/>
      <c r="CT340" s="90"/>
      <c r="CU340" s="90"/>
      <c r="CV340" s="90"/>
      <c r="CW340" s="90"/>
    </row>
    <row r="341" ht="16.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  <c r="BO341" s="90"/>
      <c r="BP341" s="90"/>
      <c r="BQ341" s="90"/>
      <c r="BR341" s="90"/>
      <c r="BS341" s="90"/>
      <c r="BT341" s="90"/>
      <c r="BU341" s="90"/>
      <c r="BV341" s="90"/>
      <c r="BW341" s="90"/>
      <c r="BX341" s="90"/>
      <c r="BY341" s="90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K341" s="90"/>
      <c r="CL341" s="90"/>
      <c r="CM341" s="90"/>
      <c r="CN341" s="90"/>
      <c r="CO341" s="90"/>
      <c r="CP341" s="90"/>
      <c r="CQ341" s="90"/>
      <c r="CR341" s="90"/>
      <c r="CS341" s="90"/>
      <c r="CT341" s="90"/>
      <c r="CU341" s="90"/>
      <c r="CV341" s="90"/>
      <c r="CW341" s="90"/>
    </row>
    <row r="342" ht="16.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0"/>
      <c r="BQ342" s="90"/>
      <c r="BR342" s="90"/>
      <c r="BS342" s="90"/>
      <c r="BT342" s="90"/>
      <c r="BU342" s="90"/>
      <c r="BV342" s="90"/>
      <c r="BW342" s="90"/>
      <c r="BX342" s="90"/>
      <c r="BY342" s="90"/>
      <c r="BZ342" s="90"/>
      <c r="CA342" s="90"/>
      <c r="CB342" s="90"/>
      <c r="CC342" s="90"/>
      <c r="CD342" s="90"/>
      <c r="CE342" s="90"/>
      <c r="CF342" s="90"/>
      <c r="CG342" s="90"/>
      <c r="CH342" s="90"/>
      <c r="CI342" s="90"/>
      <c r="CJ342" s="90"/>
      <c r="CK342" s="90"/>
      <c r="CL342" s="90"/>
      <c r="CM342" s="90"/>
      <c r="CN342" s="90"/>
      <c r="CO342" s="90"/>
      <c r="CP342" s="90"/>
      <c r="CQ342" s="90"/>
      <c r="CR342" s="90"/>
      <c r="CS342" s="90"/>
      <c r="CT342" s="90"/>
      <c r="CU342" s="90"/>
      <c r="CV342" s="90"/>
      <c r="CW342" s="90"/>
    </row>
    <row r="343" ht="16.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</row>
    <row r="344" ht="16.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  <c r="CN344" s="90"/>
      <c r="CO344" s="90"/>
      <c r="CP344" s="90"/>
      <c r="CQ344" s="90"/>
      <c r="CR344" s="90"/>
      <c r="CS344" s="90"/>
      <c r="CT344" s="90"/>
      <c r="CU344" s="90"/>
      <c r="CV344" s="90"/>
      <c r="CW344" s="90"/>
    </row>
    <row r="345" ht="16.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  <c r="BO345" s="90"/>
      <c r="BP345" s="90"/>
      <c r="BQ345" s="90"/>
      <c r="BR345" s="90"/>
      <c r="BS345" s="90"/>
      <c r="BT345" s="90"/>
      <c r="BU345" s="90"/>
      <c r="BV345" s="90"/>
      <c r="BW345" s="90"/>
      <c r="BX345" s="90"/>
      <c r="BY345" s="90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K345" s="90"/>
      <c r="CL345" s="90"/>
      <c r="CM345" s="90"/>
      <c r="CN345" s="90"/>
      <c r="CO345" s="90"/>
      <c r="CP345" s="90"/>
      <c r="CQ345" s="90"/>
      <c r="CR345" s="90"/>
      <c r="CS345" s="90"/>
      <c r="CT345" s="90"/>
      <c r="CU345" s="90"/>
      <c r="CV345" s="90"/>
      <c r="CW345" s="90"/>
    </row>
    <row r="346" ht="16.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0"/>
      <c r="BQ346" s="90"/>
      <c r="BR346" s="90"/>
      <c r="BS346" s="90"/>
      <c r="BT346" s="90"/>
      <c r="BU346" s="90"/>
      <c r="BV346" s="90"/>
      <c r="BW346" s="90"/>
      <c r="BX346" s="90"/>
      <c r="BY346" s="90"/>
      <c r="BZ346" s="90"/>
      <c r="CA346" s="90"/>
      <c r="CB346" s="90"/>
      <c r="CC346" s="90"/>
      <c r="CD346" s="90"/>
      <c r="CE346" s="90"/>
      <c r="CF346" s="90"/>
      <c r="CG346" s="90"/>
      <c r="CH346" s="90"/>
      <c r="CI346" s="90"/>
      <c r="CJ346" s="90"/>
      <c r="CK346" s="90"/>
      <c r="CL346" s="90"/>
      <c r="CM346" s="90"/>
      <c r="CN346" s="90"/>
      <c r="CO346" s="90"/>
      <c r="CP346" s="90"/>
      <c r="CQ346" s="90"/>
      <c r="CR346" s="90"/>
      <c r="CS346" s="90"/>
      <c r="CT346" s="90"/>
      <c r="CU346" s="90"/>
      <c r="CV346" s="90"/>
      <c r="CW346" s="90"/>
    </row>
    <row r="347" ht="16.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  <c r="BO347" s="90"/>
      <c r="BP347" s="90"/>
      <c r="BQ347" s="90"/>
      <c r="BR347" s="90"/>
      <c r="BS347" s="90"/>
      <c r="BT347" s="90"/>
      <c r="BU347" s="90"/>
      <c r="BV347" s="90"/>
      <c r="BW347" s="90"/>
      <c r="BX347" s="90"/>
      <c r="BY347" s="90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K347" s="90"/>
      <c r="CL347" s="90"/>
      <c r="CM347" s="90"/>
      <c r="CN347" s="90"/>
      <c r="CO347" s="90"/>
      <c r="CP347" s="90"/>
      <c r="CQ347" s="90"/>
      <c r="CR347" s="90"/>
      <c r="CS347" s="90"/>
      <c r="CT347" s="90"/>
      <c r="CU347" s="90"/>
      <c r="CV347" s="90"/>
      <c r="CW347" s="90"/>
    </row>
    <row r="348" ht="16.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0"/>
      <c r="BQ348" s="90"/>
      <c r="BR348" s="90"/>
      <c r="BS348" s="90"/>
      <c r="BT348" s="90"/>
      <c r="BU348" s="90"/>
      <c r="BV348" s="90"/>
      <c r="BW348" s="90"/>
      <c r="BX348" s="90"/>
      <c r="BY348" s="90"/>
      <c r="BZ348" s="90"/>
      <c r="CA348" s="90"/>
      <c r="CB348" s="90"/>
      <c r="CC348" s="90"/>
      <c r="CD348" s="90"/>
      <c r="CE348" s="90"/>
      <c r="CF348" s="90"/>
      <c r="CG348" s="90"/>
      <c r="CH348" s="90"/>
      <c r="CI348" s="90"/>
      <c r="CJ348" s="90"/>
      <c r="CK348" s="90"/>
      <c r="CL348" s="90"/>
      <c r="CM348" s="90"/>
      <c r="CN348" s="90"/>
      <c r="CO348" s="90"/>
      <c r="CP348" s="90"/>
      <c r="CQ348" s="90"/>
      <c r="CR348" s="90"/>
      <c r="CS348" s="90"/>
      <c r="CT348" s="90"/>
      <c r="CU348" s="90"/>
      <c r="CV348" s="90"/>
      <c r="CW348" s="90"/>
    </row>
    <row r="349" ht="16.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90"/>
      <c r="BP349" s="90"/>
      <c r="BQ349" s="90"/>
      <c r="BR349" s="90"/>
      <c r="BS349" s="90"/>
      <c r="BT349" s="90"/>
      <c r="BU349" s="90"/>
      <c r="BV349" s="90"/>
      <c r="BW349" s="90"/>
      <c r="BX349" s="90"/>
      <c r="BY349" s="90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K349" s="90"/>
      <c r="CL349" s="90"/>
      <c r="CM349" s="90"/>
      <c r="CN349" s="90"/>
      <c r="CO349" s="90"/>
      <c r="CP349" s="90"/>
      <c r="CQ349" s="90"/>
      <c r="CR349" s="90"/>
      <c r="CS349" s="90"/>
      <c r="CT349" s="90"/>
      <c r="CU349" s="90"/>
      <c r="CV349" s="90"/>
      <c r="CW349" s="90"/>
    </row>
    <row r="350" ht="16.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0"/>
      <c r="BQ350" s="90"/>
      <c r="BR350" s="90"/>
      <c r="BS350" s="90"/>
      <c r="BT350" s="90"/>
      <c r="BU350" s="90"/>
      <c r="BV350" s="90"/>
      <c r="BW350" s="90"/>
      <c r="BX350" s="90"/>
      <c r="BY350" s="90"/>
      <c r="BZ350" s="90"/>
      <c r="CA350" s="90"/>
      <c r="CB350" s="90"/>
      <c r="CC350" s="90"/>
      <c r="CD350" s="90"/>
      <c r="CE350" s="90"/>
      <c r="CF350" s="90"/>
      <c r="CG350" s="90"/>
      <c r="CH350" s="90"/>
      <c r="CI350" s="90"/>
      <c r="CJ350" s="90"/>
      <c r="CK350" s="90"/>
      <c r="CL350" s="90"/>
      <c r="CM350" s="90"/>
      <c r="CN350" s="90"/>
      <c r="CO350" s="90"/>
      <c r="CP350" s="90"/>
      <c r="CQ350" s="90"/>
      <c r="CR350" s="90"/>
      <c r="CS350" s="90"/>
      <c r="CT350" s="90"/>
      <c r="CU350" s="90"/>
      <c r="CV350" s="90"/>
      <c r="CW350" s="90"/>
    </row>
    <row r="351" ht="16.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90"/>
      <c r="BP351" s="90"/>
      <c r="BQ351" s="90"/>
      <c r="BR351" s="90"/>
      <c r="BS351" s="90"/>
      <c r="BT351" s="90"/>
      <c r="BU351" s="90"/>
      <c r="BV351" s="90"/>
      <c r="BW351" s="90"/>
      <c r="BX351" s="90"/>
      <c r="BY351" s="90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K351" s="90"/>
      <c r="CL351" s="90"/>
      <c r="CM351" s="90"/>
      <c r="CN351" s="90"/>
      <c r="CO351" s="90"/>
      <c r="CP351" s="90"/>
      <c r="CQ351" s="90"/>
      <c r="CR351" s="90"/>
      <c r="CS351" s="90"/>
      <c r="CT351" s="90"/>
      <c r="CU351" s="90"/>
      <c r="CV351" s="90"/>
      <c r="CW351" s="90"/>
    </row>
    <row r="352" ht="16.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0"/>
      <c r="BQ352" s="90"/>
      <c r="BR352" s="90"/>
      <c r="BS352" s="90"/>
      <c r="BT352" s="90"/>
      <c r="BU352" s="90"/>
      <c r="BV352" s="90"/>
      <c r="BW352" s="90"/>
      <c r="BX352" s="90"/>
      <c r="BY352" s="90"/>
      <c r="BZ352" s="90"/>
      <c r="CA352" s="90"/>
      <c r="CB352" s="90"/>
      <c r="CC352" s="90"/>
      <c r="CD352" s="90"/>
      <c r="CE352" s="90"/>
      <c r="CF352" s="90"/>
      <c r="CG352" s="90"/>
      <c r="CH352" s="90"/>
      <c r="CI352" s="90"/>
      <c r="CJ352" s="90"/>
      <c r="CK352" s="90"/>
      <c r="CL352" s="90"/>
      <c r="CM352" s="90"/>
      <c r="CN352" s="90"/>
      <c r="CO352" s="90"/>
      <c r="CP352" s="90"/>
      <c r="CQ352" s="90"/>
      <c r="CR352" s="90"/>
      <c r="CS352" s="90"/>
      <c r="CT352" s="90"/>
      <c r="CU352" s="90"/>
      <c r="CV352" s="90"/>
      <c r="CW352" s="90"/>
    </row>
    <row r="353" ht="16.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  <c r="BO353" s="90"/>
      <c r="BP353" s="90"/>
      <c r="BQ353" s="90"/>
      <c r="BR353" s="90"/>
      <c r="BS353" s="90"/>
      <c r="BT353" s="90"/>
      <c r="BU353" s="90"/>
      <c r="BV353" s="90"/>
      <c r="BW353" s="90"/>
      <c r="BX353" s="90"/>
      <c r="BY353" s="90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K353" s="90"/>
      <c r="CL353" s="90"/>
      <c r="CM353" s="90"/>
      <c r="CN353" s="90"/>
      <c r="CO353" s="90"/>
      <c r="CP353" s="90"/>
      <c r="CQ353" s="90"/>
      <c r="CR353" s="90"/>
      <c r="CS353" s="90"/>
      <c r="CT353" s="90"/>
      <c r="CU353" s="90"/>
      <c r="CV353" s="90"/>
      <c r="CW353" s="90"/>
    </row>
    <row r="354" ht="16.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0"/>
      <c r="BQ354" s="90"/>
      <c r="BR354" s="90"/>
      <c r="BS354" s="90"/>
      <c r="BT354" s="90"/>
      <c r="BU354" s="90"/>
      <c r="BV354" s="90"/>
      <c r="BW354" s="90"/>
      <c r="BX354" s="90"/>
      <c r="BY354" s="90"/>
      <c r="BZ354" s="90"/>
      <c r="CA354" s="90"/>
      <c r="CB354" s="90"/>
      <c r="CC354" s="90"/>
      <c r="CD354" s="90"/>
      <c r="CE354" s="90"/>
      <c r="CF354" s="90"/>
      <c r="CG354" s="90"/>
      <c r="CH354" s="90"/>
      <c r="CI354" s="90"/>
      <c r="CJ354" s="90"/>
      <c r="CK354" s="90"/>
      <c r="CL354" s="90"/>
      <c r="CM354" s="90"/>
      <c r="CN354" s="90"/>
      <c r="CO354" s="90"/>
      <c r="CP354" s="90"/>
      <c r="CQ354" s="90"/>
      <c r="CR354" s="90"/>
      <c r="CS354" s="90"/>
      <c r="CT354" s="90"/>
      <c r="CU354" s="90"/>
      <c r="CV354" s="90"/>
      <c r="CW354" s="90"/>
    </row>
    <row r="355" ht="16.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  <c r="BO355" s="90"/>
      <c r="BP355" s="90"/>
      <c r="BQ355" s="90"/>
      <c r="BR355" s="90"/>
      <c r="BS355" s="90"/>
      <c r="BT355" s="90"/>
      <c r="BU355" s="90"/>
      <c r="BV355" s="90"/>
      <c r="BW355" s="90"/>
      <c r="BX355" s="90"/>
      <c r="BY355" s="90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K355" s="90"/>
      <c r="CL355" s="90"/>
      <c r="CM355" s="90"/>
      <c r="CN355" s="90"/>
      <c r="CO355" s="90"/>
      <c r="CP355" s="90"/>
      <c r="CQ355" s="90"/>
      <c r="CR355" s="90"/>
      <c r="CS355" s="90"/>
      <c r="CT355" s="90"/>
      <c r="CU355" s="90"/>
      <c r="CV355" s="90"/>
      <c r="CW355" s="90"/>
    </row>
    <row r="356" ht="16.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0"/>
      <c r="BQ356" s="90"/>
      <c r="BR356" s="90"/>
      <c r="BS356" s="90"/>
      <c r="BT356" s="90"/>
      <c r="BU356" s="90"/>
      <c r="BV356" s="90"/>
      <c r="BW356" s="90"/>
      <c r="BX356" s="90"/>
      <c r="BY356" s="90"/>
      <c r="BZ356" s="90"/>
      <c r="CA356" s="90"/>
      <c r="CB356" s="90"/>
      <c r="CC356" s="90"/>
      <c r="CD356" s="90"/>
      <c r="CE356" s="90"/>
      <c r="CF356" s="90"/>
      <c r="CG356" s="90"/>
      <c r="CH356" s="90"/>
      <c r="CI356" s="90"/>
      <c r="CJ356" s="90"/>
      <c r="CK356" s="90"/>
      <c r="CL356" s="90"/>
      <c r="CM356" s="90"/>
      <c r="CN356" s="90"/>
      <c r="CO356" s="90"/>
      <c r="CP356" s="90"/>
      <c r="CQ356" s="90"/>
      <c r="CR356" s="90"/>
      <c r="CS356" s="90"/>
      <c r="CT356" s="90"/>
      <c r="CU356" s="90"/>
      <c r="CV356" s="90"/>
      <c r="CW356" s="90"/>
    </row>
    <row r="357" ht="16.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  <c r="BO357" s="90"/>
      <c r="BP357" s="90"/>
      <c r="BQ357" s="90"/>
      <c r="BR357" s="90"/>
      <c r="BS357" s="90"/>
      <c r="BT357" s="90"/>
      <c r="BU357" s="90"/>
      <c r="BV357" s="90"/>
      <c r="BW357" s="90"/>
      <c r="BX357" s="90"/>
      <c r="BY357" s="90"/>
      <c r="BZ357" s="90"/>
      <c r="CA357" s="90"/>
      <c r="CB357" s="90"/>
      <c r="CC357" s="90"/>
      <c r="CD357" s="90"/>
      <c r="CE357" s="90"/>
      <c r="CF357" s="90"/>
      <c r="CG357" s="90"/>
      <c r="CH357" s="90"/>
      <c r="CI357" s="90"/>
      <c r="CJ357" s="90"/>
      <c r="CK357" s="90"/>
      <c r="CL357" s="90"/>
      <c r="CM357" s="90"/>
      <c r="CN357" s="90"/>
      <c r="CO357" s="90"/>
      <c r="CP357" s="90"/>
      <c r="CQ357" s="90"/>
      <c r="CR357" s="90"/>
      <c r="CS357" s="90"/>
      <c r="CT357" s="90"/>
      <c r="CU357" s="90"/>
      <c r="CV357" s="90"/>
      <c r="CW357" s="90"/>
    </row>
    <row r="358" ht="16.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0"/>
      <c r="BR358" s="90"/>
      <c r="BS358" s="90"/>
      <c r="BT358" s="90"/>
      <c r="BU358" s="90"/>
      <c r="BV358" s="90"/>
      <c r="BW358" s="90"/>
      <c r="BX358" s="90"/>
      <c r="BY358" s="90"/>
      <c r="BZ358" s="90"/>
      <c r="CA358" s="90"/>
      <c r="CB358" s="90"/>
      <c r="CC358" s="90"/>
      <c r="CD358" s="90"/>
      <c r="CE358" s="90"/>
      <c r="CF358" s="90"/>
      <c r="CG358" s="90"/>
      <c r="CH358" s="90"/>
      <c r="CI358" s="90"/>
      <c r="CJ358" s="90"/>
      <c r="CK358" s="90"/>
      <c r="CL358" s="90"/>
      <c r="CM358" s="90"/>
      <c r="CN358" s="90"/>
      <c r="CO358" s="90"/>
      <c r="CP358" s="90"/>
      <c r="CQ358" s="90"/>
      <c r="CR358" s="90"/>
      <c r="CS358" s="90"/>
      <c r="CT358" s="90"/>
      <c r="CU358" s="90"/>
      <c r="CV358" s="90"/>
      <c r="CW358" s="90"/>
    </row>
    <row r="359" ht="16.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  <c r="BO359" s="90"/>
      <c r="BP359" s="90"/>
      <c r="BQ359" s="90"/>
      <c r="BR359" s="90"/>
      <c r="BS359" s="90"/>
      <c r="BT359" s="90"/>
      <c r="BU359" s="90"/>
      <c r="BV359" s="90"/>
      <c r="BW359" s="90"/>
      <c r="BX359" s="90"/>
      <c r="BY359" s="90"/>
      <c r="BZ359" s="90"/>
      <c r="CA359" s="90"/>
      <c r="CB359" s="90"/>
      <c r="CC359" s="90"/>
      <c r="CD359" s="90"/>
      <c r="CE359" s="90"/>
      <c r="CF359" s="90"/>
      <c r="CG359" s="90"/>
      <c r="CH359" s="90"/>
      <c r="CI359" s="90"/>
      <c r="CJ359" s="90"/>
      <c r="CK359" s="90"/>
      <c r="CL359" s="90"/>
      <c r="CM359" s="90"/>
      <c r="CN359" s="90"/>
      <c r="CO359" s="90"/>
      <c r="CP359" s="90"/>
      <c r="CQ359" s="90"/>
      <c r="CR359" s="90"/>
      <c r="CS359" s="90"/>
      <c r="CT359" s="90"/>
      <c r="CU359" s="90"/>
      <c r="CV359" s="90"/>
      <c r="CW359" s="90"/>
    </row>
    <row r="360" ht="16.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0"/>
      <c r="BQ360" s="90"/>
      <c r="BR360" s="90"/>
      <c r="BS360" s="90"/>
      <c r="BT360" s="90"/>
      <c r="BU360" s="90"/>
      <c r="BV360" s="90"/>
      <c r="BW360" s="90"/>
      <c r="BX360" s="90"/>
      <c r="BY360" s="90"/>
      <c r="BZ360" s="90"/>
      <c r="CA360" s="90"/>
      <c r="CB360" s="90"/>
      <c r="CC360" s="90"/>
      <c r="CD360" s="90"/>
      <c r="CE360" s="90"/>
      <c r="CF360" s="90"/>
      <c r="CG360" s="90"/>
      <c r="CH360" s="90"/>
      <c r="CI360" s="90"/>
      <c r="CJ360" s="90"/>
      <c r="CK360" s="90"/>
      <c r="CL360" s="90"/>
      <c r="CM360" s="90"/>
      <c r="CN360" s="90"/>
      <c r="CO360" s="90"/>
      <c r="CP360" s="90"/>
      <c r="CQ360" s="90"/>
      <c r="CR360" s="90"/>
      <c r="CS360" s="90"/>
      <c r="CT360" s="90"/>
      <c r="CU360" s="90"/>
      <c r="CV360" s="90"/>
      <c r="CW360" s="90"/>
    </row>
    <row r="361" ht="16.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  <c r="BO361" s="90"/>
      <c r="BP361" s="90"/>
      <c r="BQ361" s="90"/>
      <c r="BR361" s="90"/>
      <c r="BS361" s="90"/>
      <c r="BT361" s="90"/>
      <c r="BU361" s="90"/>
      <c r="BV361" s="90"/>
      <c r="BW361" s="90"/>
      <c r="BX361" s="90"/>
      <c r="BY361" s="90"/>
      <c r="BZ361" s="90"/>
      <c r="CA361" s="90"/>
      <c r="CB361" s="90"/>
      <c r="CC361" s="90"/>
      <c r="CD361" s="90"/>
      <c r="CE361" s="90"/>
      <c r="CF361" s="90"/>
      <c r="CG361" s="90"/>
      <c r="CH361" s="90"/>
      <c r="CI361" s="90"/>
      <c r="CJ361" s="90"/>
      <c r="CK361" s="90"/>
      <c r="CL361" s="90"/>
      <c r="CM361" s="90"/>
      <c r="CN361" s="90"/>
      <c r="CO361" s="90"/>
      <c r="CP361" s="90"/>
      <c r="CQ361" s="90"/>
      <c r="CR361" s="90"/>
      <c r="CS361" s="90"/>
      <c r="CT361" s="90"/>
      <c r="CU361" s="90"/>
      <c r="CV361" s="90"/>
      <c r="CW361" s="90"/>
    </row>
    <row r="362" ht="16.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0"/>
      <c r="BQ362" s="90"/>
      <c r="BR362" s="90"/>
      <c r="BS362" s="90"/>
      <c r="BT362" s="90"/>
      <c r="BU362" s="90"/>
      <c r="BV362" s="90"/>
      <c r="BW362" s="90"/>
      <c r="BX362" s="90"/>
      <c r="BY362" s="90"/>
      <c r="BZ362" s="90"/>
      <c r="CA362" s="90"/>
      <c r="CB362" s="90"/>
      <c r="CC362" s="90"/>
      <c r="CD362" s="90"/>
      <c r="CE362" s="90"/>
      <c r="CF362" s="90"/>
      <c r="CG362" s="90"/>
      <c r="CH362" s="90"/>
      <c r="CI362" s="90"/>
      <c r="CJ362" s="90"/>
      <c r="CK362" s="90"/>
      <c r="CL362" s="90"/>
      <c r="CM362" s="90"/>
      <c r="CN362" s="90"/>
      <c r="CO362" s="90"/>
      <c r="CP362" s="90"/>
      <c r="CQ362" s="90"/>
      <c r="CR362" s="90"/>
      <c r="CS362" s="90"/>
      <c r="CT362" s="90"/>
      <c r="CU362" s="90"/>
      <c r="CV362" s="90"/>
      <c r="CW362" s="90"/>
    </row>
    <row r="363" ht="16.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  <c r="BO363" s="90"/>
      <c r="BP363" s="90"/>
      <c r="BQ363" s="90"/>
      <c r="BR363" s="90"/>
      <c r="BS363" s="90"/>
      <c r="BT363" s="90"/>
      <c r="BU363" s="90"/>
      <c r="BV363" s="90"/>
      <c r="BW363" s="90"/>
      <c r="BX363" s="90"/>
      <c r="BY363" s="90"/>
      <c r="BZ363" s="90"/>
      <c r="CA363" s="90"/>
      <c r="CB363" s="90"/>
      <c r="CC363" s="90"/>
      <c r="CD363" s="90"/>
      <c r="CE363" s="90"/>
      <c r="CF363" s="90"/>
      <c r="CG363" s="90"/>
      <c r="CH363" s="90"/>
      <c r="CI363" s="90"/>
      <c r="CJ363" s="90"/>
      <c r="CK363" s="90"/>
      <c r="CL363" s="90"/>
      <c r="CM363" s="90"/>
      <c r="CN363" s="90"/>
      <c r="CO363" s="90"/>
      <c r="CP363" s="90"/>
      <c r="CQ363" s="90"/>
      <c r="CR363" s="90"/>
      <c r="CS363" s="90"/>
      <c r="CT363" s="90"/>
      <c r="CU363" s="90"/>
      <c r="CV363" s="90"/>
      <c r="CW363" s="90"/>
    </row>
    <row r="364" ht="16.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0"/>
      <c r="BQ364" s="90"/>
      <c r="BR364" s="90"/>
      <c r="BS364" s="90"/>
      <c r="BT364" s="90"/>
      <c r="BU364" s="90"/>
      <c r="BV364" s="90"/>
      <c r="BW364" s="90"/>
      <c r="BX364" s="90"/>
      <c r="BY364" s="90"/>
      <c r="BZ364" s="90"/>
      <c r="CA364" s="90"/>
      <c r="CB364" s="90"/>
      <c r="CC364" s="90"/>
      <c r="CD364" s="90"/>
      <c r="CE364" s="90"/>
      <c r="CF364" s="90"/>
      <c r="CG364" s="90"/>
      <c r="CH364" s="90"/>
      <c r="CI364" s="90"/>
      <c r="CJ364" s="90"/>
      <c r="CK364" s="90"/>
      <c r="CL364" s="90"/>
      <c r="CM364" s="90"/>
      <c r="CN364" s="90"/>
      <c r="CO364" s="90"/>
      <c r="CP364" s="90"/>
      <c r="CQ364" s="90"/>
      <c r="CR364" s="90"/>
      <c r="CS364" s="90"/>
      <c r="CT364" s="90"/>
      <c r="CU364" s="90"/>
      <c r="CV364" s="90"/>
      <c r="CW364" s="90"/>
    </row>
    <row r="365" ht="16.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  <c r="BO365" s="90"/>
      <c r="BP365" s="90"/>
      <c r="BQ365" s="90"/>
      <c r="BR365" s="90"/>
      <c r="BS365" s="90"/>
      <c r="BT365" s="90"/>
      <c r="BU365" s="90"/>
      <c r="BV365" s="90"/>
      <c r="BW365" s="90"/>
      <c r="BX365" s="90"/>
      <c r="BY365" s="90"/>
      <c r="BZ365" s="90"/>
      <c r="CA365" s="90"/>
      <c r="CB365" s="90"/>
      <c r="CC365" s="90"/>
      <c r="CD365" s="90"/>
      <c r="CE365" s="90"/>
      <c r="CF365" s="90"/>
      <c r="CG365" s="90"/>
      <c r="CH365" s="90"/>
      <c r="CI365" s="90"/>
      <c r="CJ365" s="90"/>
      <c r="CK365" s="90"/>
      <c r="CL365" s="90"/>
      <c r="CM365" s="90"/>
      <c r="CN365" s="90"/>
      <c r="CO365" s="90"/>
      <c r="CP365" s="90"/>
      <c r="CQ365" s="90"/>
      <c r="CR365" s="90"/>
      <c r="CS365" s="90"/>
      <c r="CT365" s="90"/>
      <c r="CU365" s="90"/>
      <c r="CV365" s="90"/>
      <c r="CW365" s="90"/>
    </row>
    <row r="366" ht="16.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0"/>
      <c r="BQ366" s="90"/>
      <c r="BR366" s="90"/>
      <c r="BS366" s="90"/>
      <c r="BT366" s="90"/>
      <c r="BU366" s="90"/>
      <c r="BV366" s="90"/>
      <c r="BW366" s="90"/>
      <c r="BX366" s="90"/>
      <c r="BY366" s="90"/>
      <c r="BZ366" s="90"/>
      <c r="CA366" s="90"/>
      <c r="CB366" s="90"/>
      <c r="CC366" s="90"/>
      <c r="CD366" s="90"/>
      <c r="CE366" s="90"/>
      <c r="CF366" s="90"/>
      <c r="CG366" s="90"/>
      <c r="CH366" s="90"/>
      <c r="CI366" s="90"/>
      <c r="CJ366" s="90"/>
      <c r="CK366" s="90"/>
      <c r="CL366" s="90"/>
      <c r="CM366" s="90"/>
      <c r="CN366" s="90"/>
      <c r="CO366" s="90"/>
      <c r="CP366" s="90"/>
      <c r="CQ366" s="90"/>
      <c r="CR366" s="90"/>
      <c r="CS366" s="90"/>
      <c r="CT366" s="90"/>
      <c r="CU366" s="90"/>
      <c r="CV366" s="90"/>
      <c r="CW366" s="90"/>
    </row>
    <row r="367" ht="16.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  <c r="BO367" s="90"/>
      <c r="BP367" s="90"/>
      <c r="BQ367" s="90"/>
      <c r="BR367" s="90"/>
      <c r="BS367" s="90"/>
      <c r="BT367" s="90"/>
      <c r="BU367" s="90"/>
      <c r="BV367" s="90"/>
      <c r="BW367" s="90"/>
      <c r="BX367" s="90"/>
      <c r="BY367" s="90"/>
      <c r="BZ367" s="90"/>
      <c r="CA367" s="90"/>
      <c r="CB367" s="90"/>
      <c r="CC367" s="90"/>
      <c r="CD367" s="90"/>
      <c r="CE367" s="90"/>
      <c r="CF367" s="90"/>
      <c r="CG367" s="90"/>
      <c r="CH367" s="90"/>
      <c r="CI367" s="90"/>
      <c r="CJ367" s="90"/>
      <c r="CK367" s="90"/>
      <c r="CL367" s="90"/>
      <c r="CM367" s="90"/>
      <c r="CN367" s="90"/>
      <c r="CO367" s="90"/>
      <c r="CP367" s="90"/>
      <c r="CQ367" s="90"/>
      <c r="CR367" s="90"/>
      <c r="CS367" s="90"/>
      <c r="CT367" s="90"/>
      <c r="CU367" s="90"/>
      <c r="CV367" s="90"/>
      <c r="CW367" s="90"/>
    </row>
    <row r="368" ht="16.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0"/>
      <c r="BQ368" s="90"/>
      <c r="BR368" s="90"/>
      <c r="BS368" s="90"/>
      <c r="BT368" s="90"/>
      <c r="BU368" s="90"/>
      <c r="BV368" s="90"/>
      <c r="BW368" s="90"/>
      <c r="BX368" s="90"/>
      <c r="BY368" s="90"/>
      <c r="BZ368" s="90"/>
      <c r="CA368" s="90"/>
      <c r="CB368" s="90"/>
      <c r="CC368" s="90"/>
      <c r="CD368" s="90"/>
      <c r="CE368" s="90"/>
      <c r="CF368" s="90"/>
      <c r="CG368" s="90"/>
      <c r="CH368" s="90"/>
      <c r="CI368" s="90"/>
      <c r="CJ368" s="90"/>
      <c r="CK368" s="90"/>
      <c r="CL368" s="90"/>
      <c r="CM368" s="90"/>
      <c r="CN368" s="90"/>
      <c r="CO368" s="90"/>
      <c r="CP368" s="90"/>
      <c r="CQ368" s="90"/>
      <c r="CR368" s="90"/>
      <c r="CS368" s="90"/>
      <c r="CT368" s="90"/>
      <c r="CU368" s="90"/>
      <c r="CV368" s="90"/>
      <c r="CW368" s="90"/>
    </row>
    <row r="369" ht="16.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  <c r="BO369" s="90"/>
      <c r="BP369" s="90"/>
      <c r="BQ369" s="90"/>
      <c r="BR369" s="90"/>
      <c r="BS369" s="90"/>
      <c r="BT369" s="90"/>
      <c r="BU369" s="90"/>
      <c r="BV369" s="90"/>
      <c r="BW369" s="90"/>
      <c r="BX369" s="90"/>
      <c r="BY369" s="90"/>
      <c r="BZ369" s="90"/>
      <c r="CA369" s="90"/>
      <c r="CB369" s="90"/>
      <c r="CC369" s="90"/>
      <c r="CD369" s="90"/>
      <c r="CE369" s="90"/>
      <c r="CF369" s="90"/>
      <c r="CG369" s="90"/>
      <c r="CH369" s="90"/>
      <c r="CI369" s="90"/>
      <c r="CJ369" s="90"/>
      <c r="CK369" s="90"/>
      <c r="CL369" s="90"/>
      <c r="CM369" s="90"/>
      <c r="CN369" s="90"/>
      <c r="CO369" s="90"/>
      <c r="CP369" s="90"/>
      <c r="CQ369" s="90"/>
      <c r="CR369" s="90"/>
      <c r="CS369" s="90"/>
      <c r="CT369" s="90"/>
      <c r="CU369" s="90"/>
      <c r="CV369" s="90"/>
      <c r="CW369" s="90"/>
    </row>
    <row r="370" ht="16.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0"/>
      <c r="BQ370" s="90"/>
      <c r="BR370" s="90"/>
      <c r="BS370" s="90"/>
      <c r="BT370" s="90"/>
      <c r="BU370" s="90"/>
      <c r="BV370" s="90"/>
      <c r="BW370" s="90"/>
      <c r="BX370" s="90"/>
      <c r="BY370" s="90"/>
      <c r="BZ370" s="90"/>
      <c r="CA370" s="90"/>
      <c r="CB370" s="90"/>
      <c r="CC370" s="90"/>
      <c r="CD370" s="90"/>
      <c r="CE370" s="90"/>
      <c r="CF370" s="90"/>
      <c r="CG370" s="90"/>
      <c r="CH370" s="90"/>
      <c r="CI370" s="90"/>
      <c r="CJ370" s="90"/>
      <c r="CK370" s="90"/>
      <c r="CL370" s="90"/>
      <c r="CM370" s="90"/>
      <c r="CN370" s="90"/>
      <c r="CO370" s="90"/>
      <c r="CP370" s="90"/>
      <c r="CQ370" s="90"/>
      <c r="CR370" s="90"/>
      <c r="CS370" s="90"/>
      <c r="CT370" s="90"/>
      <c r="CU370" s="90"/>
      <c r="CV370" s="90"/>
      <c r="CW370" s="90"/>
    </row>
    <row r="371" ht="16.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  <c r="BO371" s="90"/>
      <c r="BP371" s="90"/>
      <c r="BQ371" s="90"/>
      <c r="BR371" s="90"/>
      <c r="BS371" s="90"/>
      <c r="BT371" s="90"/>
      <c r="BU371" s="90"/>
      <c r="BV371" s="90"/>
      <c r="BW371" s="90"/>
      <c r="BX371" s="90"/>
      <c r="BY371" s="90"/>
      <c r="BZ371" s="90"/>
      <c r="CA371" s="90"/>
      <c r="CB371" s="90"/>
      <c r="CC371" s="90"/>
      <c r="CD371" s="90"/>
      <c r="CE371" s="90"/>
      <c r="CF371" s="90"/>
      <c r="CG371" s="90"/>
      <c r="CH371" s="90"/>
      <c r="CI371" s="90"/>
      <c r="CJ371" s="90"/>
      <c r="CK371" s="90"/>
      <c r="CL371" s="90"/>
      <c r="CM371" s="90"/>
      <c r="CN371" s="90"/>
      <c r="CO371" s="90"/>
      <c r="CP371" s="90"/>
      <c r="CQ371" s="90"/>
      <c r="CR371" s="90"/>
      <c r="CS371" s="90"/>
      <c r="CT371" s="90"/>
      <c r="CU371" s="90"/>
      <c r="CV371" s="90"/>
      <c r="CW371" s="90"/>
    </row>
    <row r="372" ht="16.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0"/>
      <c r="BQ372" s="90"/>
      <c r="BR372" s="90"/>
      <c r="BS372" s="90"/>
      <c r="BT372" s="90"/>
      <c r="BU372" s="90"/>
      <c r="BV372" s="90"/>
      <c r="BW372" s="90"/>
      <c r="BX372" s="90"/>
      <c r="BY372" s="90"/>
      <c r="BZ372" s="90"/>
      <c r="CA372" s="90"/>
      <c r="CB372" s="90"/>
      <c r="CC372" s="90"/>
      <c r="CD372" s="90"/>
      <c r="CE372" s="90"/>
      <c r="CF372" s="90"/>
      <c r="CG372" s="90"/>
      <c r="CH372" s="90"/>
      <c r="CI372" s="90"/>
      <c r="CJ372" s="90"/>
      <c r="CK372" s="90"/>
      <c r="CL372" s="90"/>
      <c r="CM372" s="90"/>
      <c r="CN372" s="90"/>
      <c r="CO372" s="90"/>
      <c r="CP372" s="90"/>
      <c r="CQ372" s="90"/>
      <c r="CR372" s="90"/>
      <c r="CS372" s="90"/>
      <c r="CT372" s="90"/>
      <c r="CU372" s="90"/>
      <c r="CV372" s="90"/>
      <c r="CW372" s="90"/>
    </row>
    <row r="373" ht="16.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  <c r="BO373" s="90"/>
      <c r="BP373" s="90"/>
      <c r="BQ373" s="90"/>
      <c r="BR373" s="90"/>
      <c r="BS373" s="90"/>
      <c r="BT373" s="90"/>
      <c r="BU373" s="90"/>
      <c r="BV373" s="90"/>
      <c r="BW373" s="90"/>
      <c r="BX373" s="90"/>
      <c r="BY373" s="90"/>
      <c r="BZ373" s="90"/>
      <c r="CA373" s="90"/>
      <c r="CB373" s="90"/>
      <c r="CC373" s="90"/>
      <c r="CD373" s="90"/>
      <c r="CE373" s="90"/>
      <c r="CF373" s="90"/>
      <c r="CG373" s="90"/>
      <c r="CH373" s="90"/>
      <c r="CI373" s="90"/>
      <c r="CJ373" s="90"/>
      <c r="CK373" s="90"/>
      <c r="CL373" s="90"/>
      <c r="CM373" s="90"/>
      <c r="CN373" s="90"/>
      <c r="CO373" s="90"/>
      <c r="CP373" s="90"/>
      <c r="CQ373" s="90"/>
      <c r="CR373" s="90"/>
      <c r="CS373" s="90"/>
      <c r="CT373" s="90"/>
      <c r="CU373" s="90"/>
      <c r="CV373" s="90"/>
      <c r="CW373" s="90"/>
    </row>
    <row r="374" ht="16.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0"/>
      <c r="BQ374" s="90"/>
      <c r="BR374" s="90"/>
      <c r="BS374" s="90"/>
      <c r="BT374" s="90"/>
      <c r="BU374" s="90"/>
      <c r="BV374" s="90"/>
      <c r="BW374" s="90"/>
      <c r="BX374" s="90"/>
      <c r="BY374" s="90"/>
      <c r="BZ374" s="90"/>
      <c r="CA374" s="90"/>
      <c r="CB374" s="90"/>
      <c r="CC374" s="90"/>
      <c r="CD374" s="90"/>
      <c r="CE374" s="90"/>
      <c r="CF374" s="90"/>
      <c r="CG374" s="90"/>
      <c r="CH374" s="90"/>
      <c r="CI374" s="90"/>
      <c r="CJ374" s="90"/>
      <c r="CK374" s="90"/>
      <c r="CL374" s="90"/>
      <c r="CM374" s="90"/>
      <c r="CN374" s="90"/>
      <c r="CO374" s="90"/>
      <c r="CP374" s="90"/>
      <c r="CQ374" s="90"/>
      <c r="CR374" s="90"/>
      <c r="CS374" s="90"/>
      <c r="CT374" s="90"/>
      <c r="CU374" s="90"/>
      <c r="CV374" s="90"/>
      <c r="CW374" s="90"/>
    </row>
    <row r="375" ht="16.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  <c r="BO375" s="90"/>
      <c r="BP375" s="90"/>
      <c r="BQ375" s="90"/>
      <c r="BR375" s="90"/>
      <c r="BS375" s="90"/>
      <c r="BT375" s="90"/>
      <c r="BU375" s="90"/>
      <c r="BV375" s="90"/>
      <c r="BW375" s="90"/>
      <c r="BX375" s="90"/>
      <c r="BY375" s="90"/>
      <c r="BZ375" s="90"/>
      <c r="CA375" s="90"/>
      <c r="CB375" s="90"/>
      <c r="CC375" s="90"/>
      <c r="CD375" s="90"/>
      <c r="CE375" s="90"/>
      <c r="CF375" s="90"/>
      <c r="CG375" s="90"/>
      <c r="CH375" s="90"/>
      <c r="CI375" s="90"/>
      <c r="CJ375" s="90"/>
      <c r="CK375" s="90"/>
      <c r="CL375" s="90"/>
      <c r="CM375" s="90"/>
      <c r="CN375" s="90"/>
      <c r="CO375" s="90"/>
      <c r="CP375" s="90"/>
      <c r="CQ375" s="90"/>
      <c r="CR375" s="90"/>
      <c r="CS375" s="90"/>
      <c r="CT375" s="90"/>
      <c r="CU375" s="90"/>
      <c r="CV375" s="90"/>
      <c r="CW375" s="90"/>
    </row>
    <row r="376" ht="16.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0"/>
      <c r="BQ376" s="90"/>
      <c r="BR376" s="90"/>
      <c r="BS376" s="90"/>
      <c r="BT376" s="90"/>
      <c r="BU376" s="90"/>
      <c r="BV376" s="90"/>
      <c r="BW376" s="90"/>
      <c r="BX376" s="90"/>
      <c r="BY376" s="90"/>
      <c r="BZ376" s="90"/>
      <c r="CA376" s="90"/>
      <c r="CB376" s="90"/>
      <c r="CC376" s="90"/>
      <c r="CD376" s="90"/>
      <c r="CE376" s="90"/>
      <c r="CF376" s="90"/>
      <c r="CG376" s="90"/>
      <c r="CH376" s="90"/>
      <c r="CI376" s="90"/>
      <c r="CJ376" s="90"/>
      <c r="CK376" s="90"/>
      <c r="CL376" s="90"/>
      <c r="CM376" s="90"/>
      <c r="CN376" s="90"/>
      <c r="CO376" s="90"/>
      <c r="CP376" s="90"/>
      <c r="CQ376" s="90"/>
      <c r="CR376" s="90"/>
      <c r="CS376" s="90"/>
      <c r="CT376" s="90"/>
      <c r="CU376" s="90"/>
      <c r="CV376" s="90"/>
      <c r="CW376" s="90"/>
    </row>
    <row r="377" ht="16.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  <c r="BO377" s="90"/>
      <c r="BP377" s="90"/>
      <c r="BQ377" s="90"/>
      <c r="BR377" s="90"/>
      <c r="BS377" s="90"/>
      <c r="BT377" s="90"/>
      <c r="BU377" s="90"/>
      <c r="BV377" s="90"/>
      <c r="BW377" s="90"/>
      <c r="BX377" s="90"/>
      <c r="BY377" s="90"/>
      <c r="BZ377" s="90"/>
      <c r="CA377" s="90"/>
      <c r="CB377" s="90"/>
      <c r="CC377" s="90"/>
      <c r="CD377" s="90"/>
      <c r="CE377" s="90"/>
      <c r="CF377" s="90"/>
      <c r="CG377" s="90"/>
      <c r="CH377" s="90"/>
      <c r="CI377" s="90"/>
      <c r="CJ377" s="90"/>
      <c r="CK377" s="90"/>
      <c r="CL377" s="90"/>
      <c r="CM377" s="90"/>
      <c r="CN377" s="90"/>
      <c r="CO377" s="90"/>
      <c r="CP377" s="90"/>
      <c r="CQ377" s="90"/>
      <c r="CR377" s="90"/>
      <c r="CS377" s="90"/>
      <c r="CT377" s="90"/>
      <c r="CU377" s="90"/>
      <c r="CV377" s="90"/>
      <c r="CW377" s="90"/>
    </row>
    <row r="378" ht="16.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0"/>
      <c r="BQ378" s="90"/>
      <c r="BR378" s="90"/>
      <c r="BS378" s="90"/>
      <c r="BT378" s="90"/>
      <c r="BU378" s="90"/>
      <c r="BV378" s="90"/>
      <c r="BW378" s="90"/>
      <c r="BX378" s="90"/>
      <c r="BY378" s="90"/>
      <c r="BZ378" s="90"/>
      <c r="CA378" s="90"/>
      <c r="CB378" s="90"/>
      <c r="CC378" s="90"/>
      <c r="CD378" s="90"/>
      <c r="CE378" s="90"/>
      <c r="CF378" s="90"/>
      <c r="CG378" s="90"/>
      <c r="CH378" s="90"/>
      <c r="CI378" s="90"/>
      <c r="CJ378" s="90"/>
      <c r="CK378" s="90"/>
      <c r="CL378" s="90"/>
      <c r="CM378" s="90"/>
      <c r="CN378" s="90"/>
      <c r="CO378" s="90"/>
      <c r="CP378" s="90"/>
      <c r="CQ378" s="90"/>
      <c r="CR378" s="90"/>
      <c r="CS378" s="90"/>
      <c r="CT378" s="90"/>
      <c r="CU378" s="90"/>
      <c r="CV378" s="90"/>
      <c r="CW378" s="90"/>
    </row>
    <row r="379" ht="16.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  <c r="BO379" s="90"/>
      <c r="BP379" s="90"/>
      <c r="BQ379" s="90"/>
      <c r="BR379" s="90"/>
      <c r="BS379" s="90"/>
      <c r="BT379" s="90"/>
      <c r="BU379" s="90"/>
      <c r="BV379" s="90"/>
      <c r="BW379" s="90"/>
      <c r="BX379" s="90"/>
      <c r="BY379" s="90"/>
      <c r="BZ379" s="90"/>
      <c r="CA379" s="90"/>
      <c r="CB379" s="90"/>
      <c r="CC379" s="90"/>
      <c r="CD379" s="90"/>
      <c r="CE379" s="90"/>
      <c r="CF379" s="90"/>
      <c r="CG379" s="90"/>
      <c r="CH379" s="90"/>
      <c r="CI379" s="90"/>
      <c r="CJ379" s="90"/>
      <c r="CK379" s="90"/>
      <c r="CL379" s="90"/>
      <c r="CM379" s="90"/>
      <c r="CN379" s="90"/>
      <c r="CO379" s="90"/>
      <c r="CP379" s="90"/>
      <c r="CQ379" s="90"/>
      <c r="CR379" s="90"/>
      <c r="CS379" s="90"/>
      <c r="CT379" s="90"/>
      <c r="CU379" s="90"/>
      <c r="CV379" s="90"/>
      <c r="CW379" s="90"/>
    </row>
    <row r="380" ht="16.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0"/>
      <c r="BQ380" s="90"/>
      <c r="BR380" s="90"/>
      <c r="BS380" s="90"/>
      <c r="BT380" s="90"/>
      <c r="BU380" s="90"/>
      <c r="BV380" s="90"/>
      <c r="BW380" s="90"/>
      <c r="BX380" s="90"/>
      <c r="BY380" s="90"/>
      <c r="BZ380" s="90"/>
      <c r="CA380" s="90"/>
      <c r="CB380" s="90"/>
      <c r="CC380" s="90"/>
      <c r="CD380" s="90"/>
      <c r="CE380" s="90"/>
      <c r="CF380" s="90"/>
      <c r="CG380" s="90"/>
      <c r="CH380" s="90"/>
      <c r="CI380" s="90"/>
      <c r="CJ380" s="90"/>
      <c r="CK380" s="90"/>
      <c r="CL380" s="90"/>
      <c r="CM380" s="90"/>
      <c r="CN380" s="90"/>
      <c r="CO380" s="90"/>
      <c r="CP380" s="90"/>
      <c r="CQ380" s="90"/>
      <c r="CR380" s="90"/>
      <c r="CS380" s="90"/>
      <c r="CT380" s="90"/>
      <c r="CU380" s="90"/>
      <c r="CV380" s="90"/>
      <c r="CW380" s="90"/>
    </row>
    <row r="381" ht="16.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  <c r="BO381" s="90"/>
      <c r="BP381" s="90"/>
      <c r="BQ381" s="90"/>
      <c r="BR381" s="90"/>
      <c r="BS381" s="90"/>
      <c r="BT381" s="90"/>
      <c r="BU381" s="90"/>
      <c r="BV381" s="90"/>
      <c r="BW381" s="90"/>
      <c r="BX381" s="90"/>
      <c r="BY381" s="90"/>
      <c r="BZ381" s="90"/>
      <c r="CA381" s="90"/>
      <c r="CB381" s="90"/>
      <c r="CC381" s="90"/>
      <c r="CD381" s="90"/>
      <c r="CE381" s="90"/>
      <c r="CF381" s="90"/>
      <c r="CG381" s="90"/>
      <c r="CH381" s="90"/>
      <c r="CI381" s="90"/>
      <c r="CJ381" s="90"/>
      <c r="CK381" s="90"/>
      <c r="CL381" s="90"/>
      <c r="CM381" s="90"/>
      <c r="CN381" s="90"/>
      <c r="CO381" s="90"/>
      <c r="CP381" s="90"/>
      <c r="CQ381" s="90"/>
      <c r="CR381" s="90"/>
      <c r="CS381" s="90"/>
      <c r="CT381" s="90"/>
      <c r="CU381" s="90"/>
      <c r="CV381" s="90"/>
      <c r="CW381" s="90"/>
    </row>
    <row r="382" ht="16.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0"/>
      <c r="BQ382" s="90"/>
      <c r="BR382" s="90"/>
      <c r="BS382" s="90"/>
      <c r="BT382" s="90"/>
      <c r="BU382" s="90"/>
      <c r="BV382" s="90"/>
      <c r="BW382" s="90"/>
      <c r="BX382" s="90"/>
      <c r="BY382" s="90"/>
      <c r="BZ382" s="90"/>
      <c r="CA382" s="90"/>
      <c r="CB382" s="90"/>
      <c r="CC382" s="90"/>
      <c r="CD382" s="90"/>
      <c r="CE382" s="90"/>
      <c r="CF382" s="90"/>
      <c r="CG382" s="90"/>
      <c r="CH382" s="90"/>
      <c r="CI382" s="90"/>
      <c r="CJ382" s="90"/>
      <c r="CK382" s="90"/>
      <c r="CL382" s="90"/>
      <c r="CM382" s="90"/>
      <c r="CN382" s="90"/>
      <c r="CO382" s="90"/>
      <c r="CP382" s="90"/>
      <c r="CQ382" s="90"/>
      <c r="CR382" s="90"/>
      <c r="CS382" s="90"/>
      <c r="CT382" s="90"/>
      <c r="CU382" s="90"/>
      <c r="CV382" s="90"/>
      <c r="CW382" s="90"/>
    </row>
    <row r="383" ht="16.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  <c r="BO383" s="90"/>
      <c r="BP383" s="90"/>
      <c r="BQ383" s="90"/>
      <c r="BR383" s="90"/>
      <c r="BS383" s="90"/>
      <c r="BT383" s="90"/>
      <c r="BU383" s="90"/>
      <c r="BV383" s="90"/>
      <c r="BW383" s="90"/>
      <c r="BX383" s="90"/>
      <c r="BY383" s="90"/>
      <c r="BZ383" s="90"/>
      <c r="CA383" s="90"/>
      <c r="CB383" s="90"/>
      <c r="CC383" s="90"/>
      <c r="CD383" s="90"/>
      <c r="CE383" s="90"/>
      <c r="CF383" s="90"/>
      <c r="CG383" s="90"/>
      <c r="CH383" s="90"/>
      <c r="CI383" s="90"/>
      <c r="CJ383" s="90"/>
      <c r="CK383" s="90"/>
      <c r="CL383" s="90"/>
      <c r="CM383" s="90"/>
      <c r="CN383" s="90"/>
      <c r="CO383" s="90"/>
      <c r="CP383" s="90"/>
      <c r="CQ383" s="90"/>
      <c r="CR383" s="90"/>
      <c r="CS383" s="90"/>
      <c r="CT383" s="90"/>
      <c r="CU383" s="90"/>
      <c r="CV383" s="90"/>
      <c r="CW383" s="90"/>
    </row>
    <row r="384" ht="16.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0"/>
      <c r="BQ384" s="90"/>
      <c r="BR384" s="90"/>
      <c r="BS384" s="90"/>
      <c r="BT384" s="90"/>
      <c r="BU384" s="90"/>
      <c r="BV384" s="90"/>
      <c r="BW384" s="90"/>
      <c r="BX384" s="90"/>
      <c r="BY384" s="90"/>
      <c r="BZ384" s="90"/>
      <c r="CA384" s="90"/>
      <c r="CB384" s="90"/>
      <c r="CC384" s="90"/>
      <c r="CD384" s="90"/>
      <c r="CE384" s="90"/>
      <c r="CF384" s="90"/>
      <c r="CG384" s="90"/>
      <c r="CH384" s="90"/>
      <c r="CI384" s="90"/>
      <c r="CJ384" s="90"/>
      <c r="CK384" s="90"/>
      <c r="CL384" s="90"/>
      <c r="CM384" s="90"/>
      <c r="CN384" s="90"/>
      <c r="CO384" s="90"/>
      <c r="CP384" s="90"/>
      <c r="CQ384" s="90"/>
      <c r="CR384" s="90"/>
      <c r="CS384" s="90"/>
      <c r="CT384" s="90"/>
      <c r="CU384" s="90"/>
      <c r="CV384" s="90"/>
      <c r="CW384" s="90"/>
    </row>
    <row r="385" ht="16.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  <c r="BO385" s="90"/>
      <c r="BP385" s="90"/>
      <c r="BQ385" s="90"/>
      <c r="BR385" s="90"/>
      <c r="BS385" s="90"/>
      <c r="BT385" s="90"/>
      <c r="BU385" s="90"/>
      <c r="BV385" s="90"/>
      <c r="BW385" s="90"/>
      <c r="BX385" s="90"/>
      <c r="BY385" s="90"/>
      <c r="BZ385" s="90"/>
      <c r="CA385" s="90"/>
      <c r="CB385" s="90"/>
      <c r="CC385" s="90"/>
      <c r="CD385" s="90"/>
      <c r="CE385" s="90"/>
      <c r="CF385" s="90"/>
      <c r="CG385" s="90"/>
      <c r="CH385" s="90"/>
      <c r="CI385" s="90"/>
      <c r="CJ385" s="90"/>
      <c r="CK385" s="90"/>
      <c r="CL385" s="90"/>
      <c r="CM385" s="90"/>
      <c r="CN385" s="90"/>
      <c r="CO385" s="90"/>
      <c r="CP385" s="90"/>
      <c r="CQ385" s="90"/>
      <c r="CR385" s="90"/>
      <c r="CS385" s="90"/>
      <c r="CT385" s="90"/>
      <c r="CU385" s="90"/>
      <c r="CV385" s="90"/>
      <c r="CW385" s="90"/>
    </row>
    <row r="386" ht="16.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0"/>
      <c r="BQ386" s="90"/>
      <c r="BR386" s="90"/>
      <c r="BS386" s="90"/>
      <c r="BT386" s="90"/>
      <c r="BU386" s="90"/>
      <c r="BV386" s="90"/>
      <c r="BW386" s="90"/>
      <c r="BX386" s="90"/>
      <c r="BY386" s="90"/>
      <c r="BZ386" s="90"/>
      <c r="CA386" s="90"/>
      <c r="CB386" s="90"/>
      <c r="CC386" s="90"/>
      <c r="CD386" s="90"/>
      <c r="CE386" s="90"/>
      <c r="CF386" s="90"/>
      <c r="CG386" s="90"/>
      <c r="CH386" s="90"/>
      <c r="CI386" s="90"/>
      <c r="CJ386" s="90"/>
      <c r="CK386" s="90"/>
      <c r="CL386" s="90"/>
      <c r="CM386" s="90"/>
      <c r="CN386" s="90"/>
      <c r="CO386" s="90"/>
      <c r="CP386" s="90"/>
      <c r="CQ386" s="90"/>
      <c r="CR386" s="90"/>
      <c r="CS386" s="90"/>
      <c r="CT386" s="90"/>
      <c r="CU386" s="90"/>
      <c r="CV386" s="90"/>
      <c r="CW386" s="90"/>
    </row>
    <row r="387" ht="16.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  <c r="BO387" s="90"/>
      <c r="BP387" s="90"/>
      <c r="BQ387" s="90"/>
      <c r="BR387" s="90"/>
      <c r="BS387" s="90"/>
      <c r="BT387" s="90"/>
      <c r="BU387" s="90"/>
      <c r="BV387" s="90"/>
      <c r="BW387" s="90"/>
      <c r="BX387" s="90"/>
      <c r="BY387" s="90"/>
      <c r="BZ387" s="90"/>
      <c r="CA387" s="90"/>
      <c r="CB387" s="90"/>
      <c r="CC387" s="90"/>
      <c r="CD387" s="90"/>
      <c r="CE387" s="90"/>
      <c r="CF387" s="90"/>
      <c r="CG387" s="90"/>
      <c r="CH387" s="90"/>
      <c r="CI387" s="90"/>
      <c r="CJ387" s="90"/>
      <c r="CK387" s="90"/>
      <c r="CL387" s="90"/>
      <c r="CM387" s="90"/>
      <c r="CN387" s="90"/>
      <c r="CO387" s="90"/>
      <c r="CP387" s="90"/>
      <c r="CQ387" s="90"/>
      <c r="CR387" s="90"/>
      <c r="CS387" s="90"/>
      <c r="CT387" s="90"/>
      <c r="CU387" s="90"/>
      <c r="CV387" s="90"/>
      <c r="CW387" s="90"/>
    </row>
    <row r="388" ht="16.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0"/>
      <c r="BQ388" s="90"/>
      <c r="BR388" s="90"/>
      <c r="BS388" s="90"/>
      <c r="BT388" s="90"/>
      <c r="BU388" s="90"/>
      <c r="BV388" s="90"/>
      <c r="BW388" s="90"/>
      <c r="BX388" s="90"/>
      <c r="BY388" s="90"/>
      <c r="BZ388" s="90"/>
      <c r="CA388" s="90"/>
      <c r="CB388" s="90"/>
      <c r="CC388" s="90"/>
      <c r="CD388" s="90"/>
      <c r="CE388" s="90"/>
      <c r="CF388" s="90"/>
      <c r="CG388" s="90"/>
      <c r="CH388" s="90"/>
      <c r="CI388" s="90"/>
      <c r="CJ388" s="90"/>
      <c r="CK388" s="90"/>
      <c r="CL388" s="90"/>
      <c r="CM388" s="90"/>
      <c r="CN388" s="90"/>
      <c r="CO388" s="90"/>
      <c r="CP388" s="90"/>
      <c r="CQ388" s="90"/>
      <c r="CR388" s="90"/>
      <c r="CS388" s="90"/>
      <c r="CT388" s="90"/>
      <c r="CU388" s="90"/>
      <c r="CV388" s="90"/>
      <c r="CW388" s="90"/>
    </row>
    <row r="389" ht="16.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  <c r="BO389" s="90"/>
      <c r="BP389" s="90"/>
      <c r="BQ389" s="90"/>
      <c r="BR389" s="90"/>
      <c r="BS389" s="90"/>
      <c r="BT389" s="90"/>
      <c r="BU389" s="90"/>
      <c r="BV389" s="90"/>
      <c r="BW389" s="90"/>
      <c r="BX389" s="90"/>
      <c r="BY389" s="90"/>
      <c r="BZ389" s="90"/>
      <c r="CA389" s="90"/>
      <c r="CB389" s="90"/>
      <c r="CC389" s="90"/>
      <c r="CD389" s="90"/>
      <c r="CE389" s="90"/>
      <c r="CF389" s="90"/>
      <c r="CG389" s="90"/>
      <c r="CH389" s="90"/>
      <c r="CI389" s="90"/>
      <c r="CJ389" s="90"/>
      <c r="CK389" s="90"/>
      <c r="CL389" s="90"/>
      <c r="CM389" s="90"/>
      <c r="CN389" s="90"/>
      <c r="CO389" s="90"/>
      <c r="CP389" s="90"/>
      <c r="CQ389" s="90"/>
      <c r="CR389" s="90"/>
      <c r="CS389" s="90"/>
      <c r="CT389" s="90"/>
      <c r="CU389" s="90"/>
      <c r="CV389" s="90"/>
      <c r="CW389" s="90"/>
    </row>
    <row r="390" ht="16.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0"/>
      <c r="BQ390" s="90"/>
      <c r="BR390" s="90"/>
      <c r="BS390" s="90"/>
      <c r="BT390" s="90"/>
      <c r="BU390" s="90"/>
      <c r="BV390" s="90"/>
      <c r="BW390" s="90"/>
      <c r="BX390" s="90"/>
      <c r="BY390" s="90"/>
      <c r="BZ390" s="90"/>
      <c r="CA390" s="90"/>
      <c r="CB390" s="90"/>
      <c r="CC390" s="90"/>
      <c r="CD390" s="90"/>
      <c r="CE390" s="90"/>
      <c r="CF390" s="90"/>
      <c r="CG390" s="90"/>
      <c r="CH390" s="90"/>
      <c r="CI390" s="90"/>
      <c r="CJ390" s="90"/>
      <c r="CK390" s="90"/>
      <c r="CL390" s="90"/>
      <c r="CM390" s="90"/>
      <c r="CN390" s="90"/>
      <c r="CO390" s="90"/>
      <c r="CP390" s="90"/>
      <c r="CQ390" s="90"/>
      <c r="CR390" s="90"/>
      <c r="CS390" s="90"/>
      <c r="CT390" s="90"/>
      <c r="CU390" s="90"/>
      <c r="CV390" s="90"/>
      <c r="CW390" s="90"/>
    </row>
    <row r="391" ht="16.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  <c r="BO391" s="90"/>
      <c r="BP391" s="90"/>
      <c r="BQ391" s="90"/>
      <c r="BR391" s="90"/>
      <c r="BS391" s="90"/>
      <c r="BT391" s="90"/>
      <c r="BU391" s="90"/>
      <c r="BV391" s="90"/>
      <c r="BW391" s="90"/>
      <c r="BX391" s="90"/>
      <c r="BY391" s="90"/>
      <c r="BZ391" s="90"/>
      <c r="CA391" s="90"/>
      <c r="CB391" s="90"/>
      <c r="CC391" s="90"/>
      <c r="CD391" s="90"/>
      <c r="CE391" s="90"/>
      <c r="CF391" s="90"/>
      <c r="CG391" s="90"/>
      <c r="CH391" s="90"/>
      <c r="CI391" s="90"/>
      <c r="CJ391" s="90"/>
      <c r="CK391" s="90"/>
      <c r="CL391" s="90"/>
      <c r="CM391" s="90"/>
      <c r="CN391" s="90"/>
      <c r="CO391" s="90"/>
      <c r="CP391" s="90"/>
      <c r="CQ391" s="90"/>
      <c r="CR391" s="90"/>
      <c r="CS391" s="90"/>
      <c r="CT391" s="90"/>
      <c r="CU391" s="90"/>
      <c r="CV391" s="90"/>
      <c r="CW391" s="90"/>
    </row>
    <row r="392" ht="16.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0"/>
      <c r="BQ392" s="90"/>
      <c r="BR392" s="90"/>
      <c r="BS392" s="90"/>
      <c r="BT392" s="90"/>
      <c r="BU392" s="90"/>
      <c r="BV392" s="90"/>
      <c r="BW392" s="90"/>
      <c r="BX392" s="90"/>
      <c r="BY392" s="90"/>
      <c r="BZ392" s="90"/>
      <c r="CA392" s="90"/>
      <c r="CB392" s="90"/>
      <c r="CC392" s="90"/>
      <c r="CD392" s="90"/>
      <c r="CE392" s="90"/>
      <c r="CF392" s="90"/>
      <c r="CG392" s="90"/>
      <c r="CH392" s="90"/>
      <c r="CI392" s="90"/>
      <c r="CJ392" s="90"/>
      <c r="CK392" s="90"/>
      <c r="CL392" s="90"/>
      <c r="CM392" s="90"/>
      <c r="CN392" s="90"/>
      <c r="CO392" s="90"/>
      <c r="CP392" s="90"/>
      <c r="CQ392" s="90"/>
      <c r="CR392" s="90"/>
      <c r="CS392" s="90"/>
      <c r="CT392" s="90"/>
      <c r="CU392" s="90"/>
      <c r="CV392" s="90"/>
      <c r="CW392" s="90"/>
    </row>
    <row r="393" ht="16.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  <c r="BO393" s="90"/>
      <c r="BP393" s="90"/>
      <c r="BQ393" s="90"/>
      <c r="BR393" s="90"/>
      <c r="BS393" s="90"/>
      <c r="BT393" s="90"/>
      <c r="BU393" s="90"/>
      <c r="BV393" s="90"/>
      <c r="BW393" s="90"/>
      <c r="BX393" s="90"/>
      <c r="BY393" s="90"/>
      <c r="BZ393" s="90"/>
      <c r="CA393" s="90"/>
      <c r="CB393" s="90"/>
      <c r="CC393" s="90"/>
      <c r="CD393" s="90"/>
      <c r="CE393" s="90"/>
      <c r="CF393" s="90"/>
      <c r="CG393" s="90"/>
      <c r="CH393" s="90"/>
      <c r="CI393" s="90"/>
      <c r="CJ393" s="90"/>
      <c r="CK393" s="90"/>
      <c r="CL393" s="90"/>
      <c r="CM393" s="90"/>
      <c r="CN393" s="90"/>
      <c r="CO393" s="90"/>
      <c r="CP393" s="90"/>
      <c r="CQ393" s="90"/>
      <c r="CR393" s="90"/>
      <c r="CS393" s="90"/>
      <c r="CT393" s="90"/>
      <c r="CU393" s="90"/>
      <c r="CV393" s="90"/>
      <c r="CW393" s="90"/>
    </row>
    <row r="394" ht="16.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0"/>
      <c r="BQ394" s="90"/>
      <c r="BR394" s="90"/>
      <c r="BS394" s="90"/>
      <c r="BT394" s="90"/>
      <c r="BU394" s="90"/>
      <c r="BV394" s="90"/>
      <c r="BW394" s="90"/>
      <c r="BX394" s="90"/>
      <c r="BY394" s="90"/>
      <c r="BZ394" s="90"/>
      <c r="CA394" s="90"/>
      <c r="CB394" s="90"/>
      <c r="CC394" s="90"/>
      <c r="CD394" s="90"/>
      <c r="CE394" s="90"/>
      <c r="CF394" s="90"/>
      <c r="CG394" s="90"/>
      <c r="CH394" s="90"/>
      <c r="CI394" s="90"/>
      <c r="CJ394" s="90"/>
      <c r="CK394" s="90"/>
      <c r="CL394" s="90"/>
      <c r="CM394" s="90"/>
      <c r="CN394" s="90"/>
      <c r="CO394" s="90"/>
      <c r="CP394" s="90"/>
      <c r="CQ394" s="90"/>
      <c r="CR394" s="90"/>
      <c r="CS394" s="90"/>
      <c r="CT394" s="90"/>
      <c r="CU394" s="90"/>
      <c r="CV394" s="90"/>
      <c r="CW394" s="90"/>
    </row>
    <row r="395" ht="16.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  <c r="BO395" s="90"/>
      <c r="BP395" s="90"/>
      <c r="BQ395" s="90"/>
      <c r="BR395" s="90"/>
      <c r="BS395" s="90"/>
      <c r="BT395" s="90"/>
      <c r="BU395" s="90"/>
      <c r="BV395" s="90"/>
      <c r="BW395" s="90"/>
      <c r="BX395" s="90"/>
      <c r="BY395" s="90"/>
      <c r="BZ395" s="90"/>
      <c r="CA395" s="90"/>
      <c r="CB395" s="90"/>
      <c r="CC395" s="90"/>
      <c r="CD395" s="90"/>
      <c r="CE395" s="90"/>
      <c r="CF395" s="90"/>
      <c r="CG395" s="90"/>
      <c r="CH395" s="90"/>
      <c r="CI395" s="90"/>
      <c r="CJ395" s="90"/>
      <c r="CK395" s="90"/>
      <c r="CL395" s="90"/>
      <c r="CM395" s="90"/>
      <c r="CN395" s="90"/>
      <c r="CO395" s="90"/>
      <c r="CP395" s="90"/>
      <c r="CQ395" s="90"/>
      <c r="CR395" s="90"/>
      <c r="CS395" s="90"/>
      <c r="CT395" s="90"/>
      <c r="CU395" s="90"/>
      <c r="CV395" s="90"/>
      <c r="CW395" s="90"/>
    </row>
    <row r="396" ht="16.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0"/>
      <c r="BQ396" s="90"/>
      <c r="BR396" s="90"/>
      <c r="BS396" s="90"/>
      <c r="BT396" s="90"/>
      <c r="BU396" s="90"/>
      <c r="BV396" s="90"/>
      <c r="BW396" s="90"/>
      <c r="BX396" s="90"/>
      <c r="BY396" s="90"/>
      <c r="BZ396" s="90"/>
      <c r="CA396" s="90"/>
      <c r="CB396" s="90"/>
      <c r="CC396" s="90"/>
      <c r="CD396" s="90"/>
      <c r="CE396" s="90"/>
      <c r="CF396" s="90"/>
      <c r="CG396" s="90"/>
      <c r="CH396" s="90"/>
      <c r="CI396" s="90"/>
      <c r="CJ396" s="90"/>
      <c r="CK396" s="90"/>
      <c r="CL396" s="90"/>
      <c r="CM396" s="90"/>
      <c r="CN396" s="90"/>
      <c r="CO396" s="90"/>
      <c r="CP396" s="90"/>
      <c r="CQ396" s="90"/>
      <c r="CR396" s="90"/>
      <c r="CS396" s="90"/>
      <c r="CT396" s="90"/>
      <c r="CU396" s="90"/>
      <c r="CV396" s="90"/>
      <c r="CW396" s="90"/>
    </row>
    <row r="397" ht="16.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  <c r="BO397" s="90"/>
      <c r="BP397" s="90"/>
      <c r="BQ397" s="90"/>
      <c r="BR397" s="90"/>
      <c r="BS397" s="90"/>
      <c r="BT397" s="90"/>
      <c r="BU397" s="90"/>
      <c r="BV397" s="90"/>
      <c r="BW397" s="90"/>
      <c r="BX397" s="90"/>
      <c r="BY397" s="90"/>
      <c r="BZ397" s="90"/>
      <c r="CA397" s="90"/>
      <c r="CB397" s="90"/>
      <c r="CC397" s="90"/>
      <c r="CD397" s="90"/>
      <c r="CE397" s="90"/>
      <c r="CF397" s="90"/>
      <c r="CG397" s="90"/>
      <c r="CH397" s="90"/>
      <c r="CI397" s="90"/>
      <c r="CJ397" s="90"/>
      <c r="CK397" s="90"/>
      <c r="CL397" s="90"/>
      <c r="CM397" s="90"/>
      <c r="CN397" s="90"/>
      <c r="CO397" s="90"/>
      <c r="CP397" s="90"/>
      <c r="CQ397" s="90"/>
      <c r="CR397" s="90"/>
      <c r="CS397" s="90"/>
      <c r="CT397" s="90"/>
      <c r="CU397" s="90"/>
      <c r="CV397" s="90"/>
      <c r="CW397" s="90"/>
    </row>
    <row r="398" ht="16.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0"/>
      <c r="BQ398" s="90"/>
      <c r="BR398" s="90"/>
      <c r="BS398" s="90"/>
      <c r="BT398" s="90"/>
      <c r="BU398" s="90"/>
      <c r="BV398" s="90"/>
      <c r="BW398" s="90"/>
      <c r="BX398" s="90"/>
      <c r="BY398" s="90"/>
      <c r="BZ398" s="90"/>
      <c r="CA398" s="90"/>
      <c r="CB398" s="90"/>
      <c r="CC398" s="90"/>
      <c r="CD398" s="90"/>
      <c r="CE398" s="90"/>
      <c r="CF398" s="90"/>
      <c r="CG398" s="90"/>
      <c r="CH398" s="90"/>
      <c r="CI398" s="90"/>
      <c r="CJ398" s="90"/>
      <c r="CK398" s="90"/>
      <c r="CL398" s="90"/>
      <c r="CM398" s="90"/>
      <c r="CN398" s="90"/>
      <c r="CO398" s="90"/>
      <c r="CP398" s="90"/>
      <c r="CQ398" s="90"/>
      <c r="CR398" s="90"/>
      <c r="CS398" s="90"/>
      <c r="CT398" s="90"/>
      <c r="CU398" s="90"/>
      <c r="CV398" s="90"/>
      <c r="CW398" s="90"/>
    </row>
    <row r="399" ht="16.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  <c r="BO399" s="90"/>
      <c r="BP399" s="90"/>
      <c r="BQ399" s="90"/>
      <c r="BR399" s="90"/>
      <c r="BS399" s="90"/>
      <c r="BT399" s="90"/>
      <c r="BU399" s="90"/>
      <c r="BV399" s="90"/>
      <c r="BW399" s="90"/>
      <c r="BX399" s="90"/>
      <c r="BY399" s="90"/>
      <c r="BZ399" s="90"/>
      <c r="CA399" s="90"/>
      <c r="CB399" s="90"/>
      <c r="CC399" s="90"/>
      <c r="CD399" s="90"/>
      <c r="CE399" s="90"/>
      <c r="CF399" s="90"/>
      <c r="CG399" s="90"/>
      <c r="CH399" s="90"/>
      <c r="CI399" s="90"/>
      <c r="CJ399" s="90"/>
      <c r="CK399" s="90"/>
      <c r="CL399" s="90"/>
      <c r="CM399" s="90"/>
      <c r="CN399" s="90"/>
      <c r="CO399" s="90"/>
      <c r="CP399" s="90"/>
      <c r="CQ399" s="90"/>
      <c r="CR399" s="90"/>
      <c r="CS399" s="90"/>
      <c r="CT399" s="90"/>
      <c r="CU399" s="90"/>
      <c r="CV399" s="90"/>
      <c r="CW399" s="90"/>
    </row>
    <row r="400" ht="16.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0"/>
      <c r="BQ400" s="90"/>
      <c r="BR400" s="90"/>
      <c r="BS400" s="90"/>
      <c r="BT400" s="90"/>
      <c r="BU400" s="90"/>
      <c r="BV400" s="90"/>
      <c r="BW400" s="90"/>
      <c r="BX400" s="90"/>
      <c r="BY400" s="90"/>
      <c r="BZ400" s="90"/>
      <c r="CA400" s="90"/>
      <c r="CB400" s="90"/>
      <c r="CC400" s="90"/>
      <c r="CD400" s="90"/>
      <c r="CE400" s="90"/>
      <c r="CF400" s="90"/>
      <c r="CG400" s="90"/>
      <c r="CH400" s="90"/>
      <c r="CI400" s="90"/>
      <c r="CJ400" s="90"/>
      <c r="CK400" s="90"/>
      <c r="CL400" s="90"/>
      <c r="CM400" s="90"/>
      <c r="CN400" s="90"/>
      <c r="CO400" s="90"/>
      <c r="CP400" s="90"/>
      <c r="CQ400" s="90"/>
      <c r="CR400" s="90"/>
      <c r="CS400" s="90"/>
      <c r="CT400" s="90"/>
      <c r="CU400" s="90"/>
      <c r="CV400" s="90"/>
      <c r="CW400" s="90"/>
    </row>
    <row r="401" ht="16.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  <c r="BO401" s="90"/>
      <c r="BP401" s="90"/>
      <c r="BQ401" s="90"/>
      <c r="BR401" s="90"/>
      <c r="BS401" s="90"/>
      <c r="BT401" s="90"/>
      <c r="BU401" s="90"/>
      <c r="BV401" s="90"/>
      <c r="BW401" s="90"/>
      <c r="BX401" s="90"/>
      <c r="BY401" s="90"/>
      <c r="BZ401" s="90"/>
      <c r="CA401" s="90"/>
      <c r="CB401" s="90"/>
      <c r="CC401" s="90"/>
      <c r="CD401" s="90"/>
      <c r="CE401" s="90"/>
      <c r="CF401" s="90"/>
      <c r="CG401" s="90"/>
      <c r="CH401" s="90"/>
      <c r="CI401" s="90"/>
      <c r="CJ401" s="90"/>
      <c r="CK401" s="90"/>
      <c r="CL401" s="90"/>
      <c r="CM401" s="90"/>
      <c r="CN401" s="90"/>
      <c r="CO401" s="90"/>
      <c r="CP401" s="90"/>
      <c r="CQ401" s="90"/>
      <c r="CR401" s="90"/>
      <c r="CS401" s="90"/>
      <c r="CT401" s="90"/>
      <c r="CU401" s="90"/>
      <c r="CV401" s="90"/>
      <c r="CW401" s="90"/>
    </row>
    <row r="402" ht="16.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0"/>
      <c r="BQ402" s="90"/>
      <c r="BR402" s="90"/>
      <c r="BS402" s="90"/>
      <c r="BT402" s="90"/>
      <c r="BU402" s="90"/>
      <c r="BV402" s="90"/>
      <c r="BW402" s="90"/>
      <c r="BX402" s="90"/>
      <c r="BY402" s="90"/>
      <c r="BZ402" s="90"/>
      <c r="CA402" s="90"/>
      <c r="CB402" s="90"/>
      <c r="CC402" s="90"/>
      <c r="CD402" s="90"/>
      <c r="CE402" s="90"/>
      <c r="CF402" s="90"/>
      <c r="CG402" s="90"/>
      <c r="CH402" s="90"/>
      <c r="CI402" s="90"/>
      <c r="CJ402" s="90"/>
      <c r="CK402" s="90"/>
      <c r="CL402" s="90"/>
      <c r="CM402" s="90"/>
      <c r="CN402" s="90"/>
      <c r="CO402" s="90"/>
      <c r="CP402" s="90"/>
      <c r="CQ402" s="90"/>
      <c r="CR402" s="90"/>
      <c r="CS402" s="90"/>
      <c r="CT402" s="90"/>
      <c r="CU402" s="90"/>
      <c r="CV402" s="90"/>
      <c r="CW402" s="90"/>
    </row>
    <row r="403" ht="16.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  <c r="BO403" s="90"/>
      <c r="BP403" s="90"/>
      <c r="BQ403" s="90"/>
      <c r="BR403" s="90"/>
      <c r="BS403" s="90"/>
      <c r="BT403" s="90"/>
      <c r="BU403" s="90"/>
      <c r="BV403" s="90"/>
      <c r="BW403" s="90"/>
      <c r="BX403" s="90"/>
      <c r="BY403" s="90"/>
      <c r="BZ403" s="90"/>
      <c r="CA403" s="90"/>
      <c r="CB403" s="90"/>
      <c r="CC403" s="90"/>
      <c r="CD403" s="90"/>
      <c r="CE403" s="90"/>
      <c r="CF403" s="90"/>
      <c r="CG403" s="90"/>
      <c r="CH403" s="90"/>
      <c r="CI403" s="90"/>
      <c r="CJ403" s="90"/>
      <c r="CK403" s="90"/>
      <c r="CL403" s="90"/>
      <c r="CM403" s="90"/>
      <c r="CN403" s="90"/>
      <c r="CO403" s="90"/>
      <c r="CP403" s="90"/>
      <c r="CQ403" s="90"/>
      <c r="CR403" s="90"/>
      <c r="CS403" s="90"/>
      <c r="CT403" s="90"/>
      <c r="CU403" s="90"/>
      <c r="CV403" s="90"/>
      <c r="CW403" s="90"/>
    </row>
    <row r="404" ht="16.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0"/>
      <c r="BQ404" s="90"/>
      <c r="BR404" s="90"/>
      <c r="BS404" s="90"/>
      <c r="BT404" s="90"/>
      <c r="BU404" s="90"/>
      <c r="BV404" s="90"/>
      <c r="BW404" s="90"/>
      <c r="BX404" s="90"/>
      <c r="BY404" s="90"/>
      <c r="BZ404" s="90"/>
      <c r="CA404" s="90"/>
      <c r="CB404" s="90"/>
      <c r="CC404" s="90"/>
      <c r="CD404" s="90"/>
      <c r="CE404" s="90"/>
      <c r="CF404" s="90"/>
      <c r="CG404" s="90"/>
      <c r="CH404" s="90"/>
      <c r="CI404" s="90"/>
      <c r="CJ404" s="90"/>
      <c r="CK404" s="90"/>
      <c r="CL404" s="90"/>
      <c r="CM404" s="90"/>
      <c r="CN404" s="90"/>
      <c r="CO404" s="90"/>
      <c r="CP404" s="90"/>
      <c r="CQ404" s="90"/>
      <c r="CR404" s="90"/>
      <c r="CS404" s="90"/>
      <c r="CT404" s="90"/>
      <c r="CU404" s="90"/>
      <c r="CV404" s="90"/>
      <c r="CW404" s="90"/>
    </row>
    <row r="405" ht="16.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  <c r="CN405" s="90"/>
      <c r="CO405" s="90"/>
      <c r="CP405" s="90"/>
      <c r="CQ405" s="90"/>
      <c r="CR405" s="90"/>
      <c r="CS405" s="90"/>
      <c r="CT405" s="90"/>
      <c r="CU405" s="90"/>
      <c r="CV405" s="90"/>
      <c r="CW405" s="90"/>
    </row>
    <row r="406" ht="16.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0"/>
      <c r="BQ406" s="90"/>
      <c r="BR406" s="90"/>
      <c r="BS406" s="90"/>
      <c r="BT406" s="90"/>
      <c r="BU406" s="90"/>
      <c r="BV406" s="90"/>
      <c r="BW406" s="90"/>
      <c r="BX406" s="90"/>
      <c r="BY406" s="90"/>
      <c r="BZ406" s="90"/>
      <c r="CA406" s="90"/>
      <c r="CB406" s="90"/>
      <c r="CC406" s="90"/>
      <c r="CD406" s="90"/>
      <c r="CE406" s="90"/>
      <c r="CF406" s="90"/>
      <c r="CG406" s="90"/>
      <c r="CH406" s="90"/>
      <c r="CI406" s="90"/>
      <c r="CJ406" s="90"/>
      <c r="CK406" s="90"/>
      <c r="CL406" s="90"/>
      <c r="CM406" s="90"/>
      <c r="CN406" s="90"/>
      <c r="CO406" s="90"/>
      <c r="CP406" s="90"/>
      <c r="CQ406" s="90"/>
      <c r="CR406" s="90"/>
      <c r="CS406" s="90"/>
      <c r="CT406" s="90"/>
      <c r="CU406" s="90"/>
      <c r="CV406" s="90"/>
      <c r="CW406" s="90"/>
    </row>
    <row r="407" ht="16.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  <c r="BO407" s="90"/>
      <c r="BP407" s="90"/>
      <c r="BQ407" s="90"/>
      <c r="BR407" s="90"/>
      <c r="BS407" s="90"/>
      <c r="BT407" s="90"/>
      <c r="BU407" s="90"/>
      <c r="BV407" s="90"/>
      <c r="BW407" s="90"/>
      <c r="BX407" s="90"/>
      <c r="BY407" s="90"/>
      <c r="BZ407" s="90"/>
      <c r="CA407" s="90"/>
      <c r="CB407" s="90"/>
      <c r="CC407" s="90"/>
      <c r="CD407" s="90"/>
      <c r="CE407" s="90"/>
      <c r="CF407" s="90"/>
      <c r="CG407" s="90"/>
      <c r="CH407" s="90"/>
      <c r="CI407" s="90"/>
      <c r="CJ407" s="90"/>
      <c r="CK407" s="90"/>
      <c r="CL407" s="90"/>
      <c r="CM407" s="90"/>
      <c r="CN407" s="90"/>
      <c r="CO407" s="90"/>
      <c r="CP407" s="90"/>
      <c r="CQ407" s="90"/>
      <c r="CR407" s="90"/>
      <c r="CS407" s="90"/>
      <c r="CT407" s="90"/>
      <c r="CU407" s="90"/>
      <c r="CV407" s="90"/>
      <c r="CW407" s="90"/>
    </row>
    <row r="408" ht="16.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0"/>
      <c r="BQ408" s="90"/>
      <c r="BR408" s="90"/>
      <c r="BS408" s="90"/>
      <c r="BT408" s="90"/>
      <c r="BU408" s="90"/>
      <c r="BV408" s="90"/>
      <c r="BW408" s="90"/>
      <c r="BX408" s="90"/>
      <c r="BY408" s="90"/>
      <c r="BZ408" s="90"/>
      <c r="CA408" s="90"/>
      <c r="CB408" s="90"/>
      <c r="CC408" s="90"/>
      <c r="CD408" s="90"/>
      <c r="CE408" s="90"/>
      <c r="CF408" s="90"/>
      <c r="CG408" s="90"/>
      <c r="CH408" s="90"/>
      <c r="CI408" s="90"/>
      <c r="CJ408" s="90"/>
      <c r="CK408" s="90"/>
      <c r="CL408" s="90"/>
      <c r="CM408" s="90"/>
      <c r="CN408" s="90"/>
      <c r="CO408" s="90"/>
      <c r="CP408" s="90"/>
      <c r="CQ408" s="90"/>
      <c r="CR408" s="90"/>
      <c r="CS408" s="90"/>
      <c r="CT408" s="90"/>
      <c r="CU408" s="90"/>
      <c r="CV408" s="90"/>
      <c r="CW408" s="90"/>
    </row>
    <row r="409" ht="16.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  <c r="BO409" s="90"/>
      <c r="BP409" s="90"/>
      <c r="BQ409" s="90"/>
      <c r="BR409" s="90"/>
      <c r="BS409" s="90"/>
      <c r="BT409" s="90"/>
      <c r="BU409" s="90"/>
      <c r="BV409" s="90"/>
      <c r="BW409" s="90"/>
      <c r="BX409" s="90"/>
      <c r="BY409" s="90"/>
      <c r="BZ409" s="90"/>
      <c r="CA409" s="90"/>
      <c r="CB409" s="90"/>
      <c r="CC409" s="90"/>
      <c r="CD409" s="90"/>
      <c r="CE409" s="90"/>
      <c r="CF409" s="90"/>
      <c r="CG409" s="90"/>
      <c r="CH409" s="90"/>
      <c r="CI409" s="90"/>
      <c r="CJ409" s="90"/>
      <c r="CK409" s="90"/>
      <c r="CL409" s="90"/>
      <c r="CM409" s="90"/>
      <c r="CN409" s="90"/>
      <c r="CO409" s="90"/>
      <c r="CP409" s="90"/>
      <c r="CQ409" s="90"/>
      <c r="CR409" s="90"/>
      <c r="CS409" s="90"/>
      <c r="CT409" s="90"/>
      <c r="CU409" s="90"/>
      <c r="CV409" s="90"/>
      <c r="CW409" s="90"/>
    </row>
    <row r="410" ht="16.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0"/>
      <c r="BQ410" s="90"/>
      <c r="BR410" s="90"/>
      <c r="BS410" s="90"/>
      <c r="BT410" s="90"/>
      <c r="BU410" s="90"/>
      <c r="BV410" s="90"/>
      <c r="BW410" s="90"/>
      <c r="BX410" s="90"/>
      <c r="BY410" s="90"/>
      <c r="BZ410" s="90"/>
      <c r="CA410" s="90"/>
      <c r="CB410" s="90"/>
      <c r="CC410" s="90"/>
      <c r="CD410" s="90"/>
      <c r="CE410" s="90"/>
      <c r="CF410" s="90"/>
      <c r="CG410" s="90"/>
      <c r="CH410" s="90"/>
      <c r="CI410" s="90"/>
      <c r="CJ410" s="90"/>
      <c r="CK410" s="90"/>
      <c r="CL410" s="90"/>
      <c r="CM410" s="90"/>
      <c r="CN410" s="90"/>
      <c r="CO410" s="90"/>
      <c r="CP410" s="90"/>
      <c r="CQ410" s="90"/>
      <c r="CR410" s="90"/>
      <c r="CS410" s="90"/>
      <c r="CT410" s="90"/>
      <c r="CU410" s="90"/>
      <c r="CV410" s="90"/>
      <c r="CW410" s="90"/>
    </row>
    <row r="411" ht="16.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  <c r="BO411" s="90"/>
      <c r="BP411" s="90"/>
      <c r="BQ411" s="90"/>
      <c r="BR411" s="90"/>
      <c r="BS411" s="90"/>
      <c r="BT411" s="90"/>
      <c r="BU411" s="90"/>
      <c r="BV411" s="90"/>
      <c r="BW411" s="90"/>
      <c r="BX411" s="90"/>
      <c r="BY411" s="90"/>
      <c r="BZ411" s="90"/>
      <c r="CA411" s="90"/>
      <c r="CB411" s="90"/>
      <c r="CC411" s="90"/>
      <c r="CD411" s="90"/>
      <c r="CE411" s="90"/>
      <c r="CF411" s="90"/>
      <c r="CG411" s="90"/>
      <c r="CH411" s="90"/>
      <c r="CI411" s="90"/>
      <c r="CJ411" s="90"/>
      <c r="CK411" s="90"/>
      <c r="CL411" s="90"/>
      <c r="CM411" s="90"/>
      <c r="CN411" s="90"/>
      <c r="CO411" s="90"/>
      <c r="CP411" s="90"/>
      <c r="CQ411" s="90"/>
      <c r="CR411" s="90"/>
      <c r="CS411" s="90"/>
      <c r="CT411" s="90"/>
      <c r="CU411" s="90"/>
      <c r="CV411" s="90"/>
      <c r="CW411" s="90"/>
    </row>
    <row r="412" ht="16.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0"/>
      <c r="BQ412" s="90"/>
      <c r="BR412" s="90"/>
      <c r="BS412" s="90"/>
      <c r="BT412" s="90"/>
      <c r="BU412" s="90"/>
      <c r="BV412" s="90"/>
      <c r="BW412" s="90"/>
      <c r="BX412" s="90"/>
      <c r="BY412" s="90"/>
      <c r="BZ412" s="90"/>
      <c r="CA412" s="90"/>
      <c r="CB412" s="90"/>
      <c r="CC412" s="90"/>
      <c r="CD412" s="90"/>
      <c r="CE412" s="90"/>
      <c r="CF412" s="90"/>
      <c r="CG412" s="90"/>
      <c r="CH412" s="90"/>
      <c r="CI412" s="90"/>
      <c r="CJ412" s="90"/>
      <c r="CK412" s="90"/>
      <c r="CL412" s="90"/>
      <c r="CM412" s="90"/>
      <c r="CN412" s="90"/>
      <c r="CO412" s="90"/>
      <c r="CP412" s="90"/>
      <c r="CQ412" s="90"/>
      <c r="CR412" s="90"/>
      <c r="CS412" s="90"/>
      <c r="CT412" s="90"/>
      <c r="CU412" s="90"/>
      <c r="CV412" s="90"/>
      <c r="CW412" s="90"/>
    </row>
    <row r="413" ht="16.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  <c r="BO413" s="90"/>
      <c r="BP413" s="90"/>
      <c r="BQ413" s="90"/>
      <c r="BR413" s="90"/>
      <c r="BS413" s="90"/>
      <c r="BT413" s="90"/>
      <c r="BU413" s="90"/>
      <c r="BV413" s="90"/>
      <c r="BW413" s="90"/>
      <c r="BX413" s="90"/>
      <c r="BY413" s="90"/>
      <c r="BZ413" s="90"/>
      <c r="CA413" s="90"/>
      <c r="CB413" s="90"/>
      <c r="CC413" s="90"/>
      <c r="CD413" s="90"/>
      <c r="CE413" s="90"/>
      <c r="CF413" s="90"/>
      <c r="CG413" s="90"/>
      <c r="CH413" s="90"/>
      <c r="CI413" s="90"/>
      <c r="CJ413" s="90"/>
      <c r="CK413" s="90"/>
      <c r="CL413" s="90"/>
      <c r="CM413" s="90"/>
      <c r="CN413" s="90"/>
      <c r="CO413" s="90"/>
      <c r="CP413" s="90"/>
      <c r="CQ413" s="90"/>
      <c r="CR413" s="90"/>
      <c r="CS413" s="90"/>
      <c r="CT413" s="90"/>
      <c r="CU413" s="90"/>
      <c r="CV413" s="90"/>
      <c r="CW413" s="90"/>
    </row>
    <row r="414" ht="16.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0"/>
      <c r="BQ414" s="90"/>
      <c r="BR414" s="90"/>
      <c r="BS414" s="90"/>
      <c r="BT414" s="90"/>
      <c r="BU414" s="90"/>
      <c r="BV414" s="90"/>
      <c r="BW414" s="90"/>
      <c r="BX414" s="90"/>
      <c r="BY414" s="90"/>
      <c r="BZ414" s="90"/>
      <c r="CA414" s="90"/>
      <c r="CB414" s="90"/>
      <c r="CC414" s="90"/>
      <c r="CD414" s="90"/>
      <c r="CE414" s="90"/>
      <c r="CF414" s="90"/>
      <c r="CG414" s="90"/>
      <c r="CH414" s="90"/>
      <c r="CI414" s="90"/>
      <c r="CJ414" s="90"/>
      <c r="CK414" s="90"/>
      <c r="CL414" s="90"/>
      <c r="CM414" s="90"/>
      <c r="CN414" s="90"/>
      <c r="CO414" s="90"/>
      <c r="CP414" s="90"/>
      <c r="CQ414" s="90"/>
      <c r="CR414" s="90"/>
      <c r="CS414" s="90"/>
      <c r="CT414" s="90"/>
      <c r="CU414" s="90"/>
      <c r="CV414" s="90"/>
      <c r="CW414" s="90"/>
    </row>
    <row r="415" ht="16.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  <c r="BO415" s="90"/>
      <c r="BP415" s="90"/>
      <c r="BQ415" s="90"/>
      <c r="BR415" s="90"/>
      <c r="BS415" s="90"/>
      <c r="BT415" s="90"/>
      <c r="BU415" s="90"/>
      <c r="BV415" s="90"/>
      <c r="BW415" s="90"/>
      <c r="BX415" s="90"/>
      <c r="BY415" s="90"/>
      <c r="BZ415" s="90"/>
      <c r="CA415" s="90"/>
      <c r="CB415" s="90"/>
      <c r="CC415" s="90"/>
      <c r="CD415" s="90"/>
      <c r="CE415" s="90"/>
      <c r="CF415" s="90"/>
      <c r="CG415" s="90"/>
      <c r="CH415" s="90"/>
      <c r="CI415" s="90"/>
      <c r="CJ415" s="90"/>
      <c r="CK415" s="90"/>
      <c r="CL415" s="90"/>
      <c r="CM415" s="90"/>
      <c r="CN415" s="90"/>
      <c r="CO415" s="90"/>
      <c r="CP415" s="90"/>
      <c r="CQ415" s="90"/>
      <c r="CR415" s="90"/>
      <c r="CS415" s="90"/>
      <c r="CT415" s="90"/>
      <c r="CU415" s="90"/>
      <c r="CV415" s="90"/>
      <c r="CW415" s="90"/>
    </row>
    <row r="416" ht="16.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0"/>
      <c r="BQ416" s="90"/>
      <c r="BR416" s="90"/>
      <c r="BS416" s="90"/>
      <c r="BT416" s="90"/>
      <c r="BU416" s="90"/>
      <c r="BV416" s="90"/>
      <c r="BW416" s="90"/>
      <c r="BX416" s="90"/>
      <c r="BY416" s="90"/>
      <c r="BZ416" s="90"/>
      <c r="CA416" s="90"/>
      <c r="CB416" s="90"/>
      <c r="CC416" s="90"/>
      <c r="CD416" s="90"/>
      <c r="CE416" s="90"/>
      <c r="CF416" s="90"/>
      <c r="CG416" s="90"/>
      <c r="CH416" s="90"/>
      <c r="CI416" s="90"/>
      <c r="CJ416" s="90"/>
      <c r="CK416" s="90"/>
      <c r="CL416" s="90"/>
      <c r="CM416" s="90"/>
      <c r="CN416" s="90"/>
      <c r="CO416" s="90"/>
      <c r="CP416" s="90"/>
      <c r="CQ416" s="90"/>
      <c r="CR416" s="90"/>
      <c r="CS416" s="90"/>
      <c r="CT416" s="90"/>
      <c r="CU416" s="90"/>
      <c r="CV416" s="90"/>
      <c r="CW416" s="90"/>
    </row>
    <row r="417" ht="16.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  <c r="BO417" s="90"/>
      <c r="BP417" s="90"/>
      <c r="BQ417" s="90"/>
      <c r="BR417" s="90"/>
      <c r="BS417" s="90"/>
      <c r="BT417" s="90"/>
      <c r="BU417" s="90"/>
      <c r="BV417" s="90"/>
      <c r="BW417" s="90"/>
      <c r="BX417" s="90"/>
      <c r="BY417" s="90"/>
      <c r="BZ417" s="90"/>
      <c r="CA417" s="90"/>
      <c r="CB417" s="90"/>
      <c r="CC417" s="90"/>
      <c r="CD417" s="90"/>
      <c r="CE417" s="90"/>
      <c r="CF417" s="90"/>
      <c r="CG417" s="90"/>
      <c r="CH417" s="90"/>
      <c r="CI417" s="90"/>
      <c r="CJ417" s="90"/>
      <c r="CK417" s="90"/>
      <c r="CL417" s="90"/>
      <c r="CM417" s="90"/>
      <c r="CN417" s="90"/>
      <c r="CO417" s="90"/>
      <c r="CP417" s="90"/>
      <c r="CQ417" s="90"/>
      <c r="CR417" s="90"/>
      <c r="CS417" s="90"/>
      <c r="CT417" s="90"/>
      <c r="CU417" s="90"/>
      <c r="CV417" s="90"/>
      <c r="CW417" s="90"/>
    </row>
    <row r="418" ht="16.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0"/>
      <c r="BQ418" s="90"/>
      <c r="BR418" s="90"/>
      <c r="BS418" s="90"/>
      <c r="BT418" s="90"/>
      <c r="BU418" s="90"/>
      <c r="BV418" s="90"/>
      <c r="BW418" s="90"/>
      <c r="BX418" s="90"/>
      <c r="BY418" s="90"/>
      <c r="BZ418" s="90"/>
      <c r="CA418" s="90"/>
      <c r="CB418" s="90"/>
      <c r="CC418" s="90"/>
      <c r="CD418" s="90"/>
      <c r="CE418" s="90"/>
      <c r="CF418" s="90"/>
      <c r="CG418" s="90"/>
      <c r="CH418" s="90"/>
      <c r="CI418" s="90"/>
      <c r="CJ418" s="90"/>
      <c r="CK418" s="90"/>
      <c r="CL418" s="90"/>
      <c r="CM418" s="90"/>
      <c r="CN418" s="90"/>
      <c r="CO418" s="90"/>
      <c r="CP418" s="90"/>
      <c r="CQ418" s="90"/>
      <c r="CR418" s="90"/>
      <c r="CS418" s="90"/>
      <c r="CT418" s="90"/>
      <c r="CU418" s="90"/>
      <c r="CV418" s="90"/>
      <c r="CW418" s="90"/>
    </row>
    <row r="419" ht="16.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  <c r="BO419" s="90"/>
      <c r="BP419" s="90"/>
      <c r="BQ419" s="90"/>
      <c r="BR419" s="90"/>
      <c r="BS419" s="90"/>
      <c r="BT419" s="90"/>
      <c r="BU419" s="90"/>
      <c r="BV419" s="90"/>
      <c r="BW419" s="90"/>
      <c r="BX419" s="90"/>
      <c r="BY419" s="90"/>
      <c r="BZ419" s="90"/>
      <c r="CA419" s="90"/>
      <c r="CB419" s="90"/>
      <c r="CC419" s="90"/>
      <c r="CD419" s="90"/>
      <c r="CE419" s="90"/>
      <c r="CF419" s="90"/>
      <c r="CG419" s="90"/>
      <c r="CH419" s="90"/>
      <c r="CI419" s="90"/>
      <c r="CJ419" s="90"/>
      <c r="CK419" s="90"/>
      <c r="CL419" s="90"/>
      <c r="CM419" s="90"/>
      <c r="CN419" s="90"/>
      <c r="CO419" s="90"/>
      <c r="CP419" s="90"/>
      <c r="CQ419" s="90"/>
      <c r="CR419" s="90"/>
      <c r="CS419" s="90"/>
      <c r="CT419" s="90"/>
      <c r="CU419" s="90"/>
      <c r="CV419" s="90"/>
      <c r="CW419" s="90"/>
    </row>
    <row r="420" ht="16.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0"/>
      <c r="BQ420" s="90"/>
      <c r="BR420" s="90"/>
      <c r="BS420" s="90"/>
      <c r="BT420" s="90"/>
      <c r="BU420" s="90"/>
      <c r="BV420" s="90"/>
      <c r="BW420" s="90"/>
      <c r="BX420" s="90"/>
      <c r="BY420" s="90"/>
      <c r="BZ420" s="90"/>
      <c r="CA420" s="90"/>
      <c r="CB420" s="90"/>
      <c r="CC420" s="90"/>
      <c r="CD420" s="90"/>
      <c r="CE420" s="90"/>
      <c r="CF420" s="90"/>
      <c r="CG420" s="90"/>
      <c r="CH420" s="90"/>
      <c r="CI420" s="90"/>
      <c r="CJ420" s="90"/>
      <c r="CK420" s="90"/>
      <c r="CL420" s="90"/>
      <c r="CM420" s="90"/>
      <c r="CN420" s="90"/>
      <c r="CO420" s="90"/>
      <c r="CP420" s="90"/>
      <c r="CQ420" s="90"/>
      <c r="CR420" s="90"/>
      <c r="CS420" s="90"/>
      <c r="CT420" s="90"/>
      <c r="CU420" s="90"/>
      <c r="CV420" s="90"/>
      <c r="CW420" s="90"/>
    </row>
    <row r="421" ht="16.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  <c r="BO421" s="90"/>
      <c r="BP421" s="90"/>
      <c r="BQ421" s="90"/>
      <c r="BR421" s="90"/>
      <c r="BS421" s="90"/>
      <c r="BT421" s="90"/>
      <c r="BU421" s="90"/>
      <c r="BV421" s="90"/>
      <c r="BW421" s="90"/>
      <c r="BX421" s="90"/>
      <c r="BY421" s="90"/>
      <c r="BZ421" s="90"/>
      <c r="CA421" s="90"/>
      <c r="CB421" s="90"/>
      <c r="CC421" s="90"/>
      <c r="CD421" s="90"/>
      <c r="CE421" s="90"/>
      <c r="CF421" s="90"/>
      <c r="CG421" s="90"/>
      <c r="CH421" s="90"/>
      <c r="CI421" s="90"/>
      <c r="CJ421" s="90"/>
      <c r="CK421" s="90"/>
      <c r="CL421" s="90"/>
      <c r="CM421" s="90"/>
      <c r="CN421" s="90"/>
      <c r="CO421" s="90"/>
      <c r="CP421" s="90"/>
      <c r="CQ421" s="90"/>
      <c r="CR421" s="90"/>
      <c r="CS421" s="90"/>
      <c r="CT421" s="90"/>
      <c r="CU421" s="90"/>
      <c r="CV421" s="90"/>
      <c r="CW421" s="90"/>
    </row>
    <row r="422" ht="16.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0"/>
      <c r="BQ422" s="90"/>
      <c r="BR422" s="90"/>
      <c r="BS422" s="90"/>
      <c r="BT422" s="90"/>
      <c r="BU422" s="90"/>
      <c r="BV422" s="90"/>
      <c r="BW422" s="90"/>
      <c r="BX422" s="90"/>
      <c r="BY422" s="90"/>
      <c r="BZ422" s="90"/>
      <c r="CA422" s="90"/>
      <c r="CB422" s="90"/>
      <c r="CC422" s="90"/>
      <c r="CD422" s="90"/>
      <c r="CE422" s="90"/>
      <c r="CF422" s="90"/>
      <c r="CG422" s="90"/>
      <c r="CH422" s="90"/>
      <c r="CI422" s="90"/>
      <c r="CJ422" s="90"/>
      <c r="CK422" s="90"/>
      <c r="CL422" s="90"/>
      <c r="CM422" s="90"/>
      <c r="CN422" s="90"/>
      <c r="CO422" s="90"/>
      <c r="CP422" s="90"/>
      <c r="CQ422" s="90"/>
      <c r="CR422" s="90"/>
      <c r="CS422" s="90"/>
      <c r="CT422" s="90"/>
      <c r="CU422" s="90"/>
      <c r="CV422" s="90"/>
      <c r="CW422" s="90"/>
    </row>
    <row r="423" ht="16.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  <c r="BO423" s="90"/>
      <c r="BP423" s="90"/>
      <c r="BQ423" s="90"/>
      <c r="BR423" s="90"/>
      <c r="BS423" s="90"/>
      <c r="BT423" s="90"/>
      <c r="BU423" s="90"/>
      <c r="BV423" s="90"/>
      <c r="BW423" s="90"/>
      <c r="BX423" s="90"/>
      <c r="BY423" s="90"/>
      <c r="BZ423" s="90"/>
      <c r="CA423" s="90"/>
      <c r="CB423" s="90"/>
      <c r="CC423" s="90"/>
      <c r="CD423" s="90"/>
      <c r="CE423" s="90"/>
      <c r="CF423" s="90"/>
      <c r="CG423" s="90"/>
      <c r="CH423" s="90"/>
      <c r="CI423" s="90"/>
      <c r="CJ423" s="90"/>
      <c r="CK423" s="90"/>
      <c r="CL423" s="90"/>
      <c r="CM423" s="90"/>
      <c r="CN423" s="90"/>
      <c r="CO423" s="90"/>
      <c r="CP423" s="90"/>
      <c r="CQ423" s="90"/>
      <c r="CR423" s="90"/>
      <c r="CS423" s="90"/>
      <c r="CT423" s="90"/>
      <c r="CU423" s="90"/>
      <c r="CV423" s="90"/>
      <c r="CW423" s="90"/>
    </row>
    <row r="424" ht="16.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0"/>
      <c r="BQ424" s="90"/>
      <c r="BR424" s="90"/>
      <c r="BS424" s="90"/>
      <c r="BT424" s="90"/>
      <c r="BU424" s="90"/>
      <c r="BV424" s="90"/>
      <c r="BW424" s="90"/>
      <c r="BX424" s="90"/>
      <c r="BY424" s="90"/>
      <c r="BZ424" s="90"/>
      <c r="CA424" s="90"/>
      <c r="CB424" s="90"/>
      <c r="CC424" s="90"/>
      <c r="CD424" s="90"/>
      <c r="CE424" s="90"/>
      <c r="CF424" s="90"/>
      <c r="CG424" s="90"/>
      <c r="CH424" s="90"/>
      <c r="CI424" s="90"/>
      <c r="CJ424" s="90"/>
      <c r="CK424" s="90"/>
      <c r="CL424" s="90"/>
      <c r="CM424" s="90"/>
      <c r="CN424" s="90"/>
      <c r="CO424" s="90"/>
      <c r="CP424" s="90"/>
      <c r="CQ424" s="90"/>
      <c r="CR424" s="90"/>
      <c r="CS424" s="90"/>
      <c r="CT424" s="90"/>
      <c r="CU424" s="90"/>
      <c r="CV424" s="90"/>
      <c r="CW424" s="90"/>
    </row>
    <row r="425" ht="16.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  <c r="BO425" s="90"/>
      <c r="BP425" s="90"/>
      <c r="BQ425" s="90"/>
      <c r="BR425" s="90"/>
      <c r="BS425" s="90"/>
      <c r="BT425" s="90"/>
      <c r="BU425" s="90"/>
      <c r="BV425" s="90"/>
      <c r="BW425" s="90"/>
      <c r="BX425" s="90"/>
      <c r="BY425" s="90"/>
      <c r="BZ425" s="90"/>
      <c r="CA425" s="90"/>
      <c r="CB425" s="90"/>
      <c r="CC425" s="90"/>
      <c r="CD425" s="90"/>
      <c r="CE425" s="90"/>
      <c r="CF425" s="90"/>
      <c r="CG425" s="90"/>
      <c r="CH425" s="90"/>
      <c r="CI425" s="90"/>
      <c r="CJ425" s="90"/>
      <c r="CK425" s="90"/>
      <c r="CL425" s="90"/>
      <c r="CM425" s="90"/>
      <c r="CN425" s="90"/>
      <c r="CO425" s="90"/>
      <c r="CP425" s="90"/>
      <c r="CQ425" s="90"/>
      <c r="CR425" s="90"/>
      <c r="CS425" s="90"/>
      <c r="CT425" s="90"/>
      <c r="CU425" s="90"/>
      <c r="CV425" s="90"/>
      <c r="CW425" s="90"/>
    </row>
    <row r="426" ht="16.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0"/>
      <c r="BQ426" s="90"/>
      <c r="BR426" s="90"/>
      <c r="BS426" s="90"/>
      <c r="BT426" s="90"/>
      <c r="BU426" s="90"/>
      <c r="BV426" s="90"/>
      <c r="BW426" s="90"/>
      <c r="BX426" s="90"/>
      <c r="BY426" s="90"/>
      <c r="BZ426" s="90"/>
      <c r="CA426" s="90"/>
      <c r="CB426" s="90"/>
      <c r="CC426" s="90"/>
      <c r="CD426" s="90"/>
      <c r="CE426" s="90"/>
      <c r="CF426" s="90"/>
      <c r="CG426" s="90"/>
      <c r="CH426" s="90"/>
      <c r="CI426" s="90"/>
      <c r="CJ426" s="90"/>
      <c r="CK426" s="90"/>
      <c r="CL426" s="90"/>
      <c r="CM426" s="90"/>
      <c r="CN426" s="90"/>
      <c r="CO426" s="90"/>
      <c r="CP426" s="90"/>
      <c r="CQ426" s="90"/>
      <c r="CR426" s="90"/>
      <c r="CS426" s="90"/>
      <c r="CT426" s="90"/>
      <c r="CU426" s="90"/>
      <c r="CV426" s="90"/>
      <c r="CW426" s="90"/>
    </row>
    <row r="427" ht="16.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  <c r="BO427" s="90"/>
      <c r="BP427" s="90"/>
      <c r="BQ427" s="90"/>
      <c r="BR427" s="90"/>
      <c r="BS427" s="90"/>
      <c r="BT427" s="90"/>
      <c r="BU427" s="90"/>
      <c r="BV427" s="90"/>
      <c r="BW427" s="90"/>
      <c r="BX427" s="90"/>
      <c r="BY427" s="90"/>
      <c r="BZ427" s="90"/>
      <c r="CA427" s="90"/>
      <c r="CB427" s="90"/>
      <c r="CC427" s="90"/>
      <c r="CD427" s="90"/>
      <c r="CE427" s="90"/>
      <c r="CF427" s="90"/>
      <c r="CG427" s="90"/>
      <c r="CH427" s="90"/>
      <c r="CI427" s="90"/>
      <c r="CJ427" s="90"/>
      <c r="CK427" s="90"/>
      <c r="CL427" s="90"/>
      <c r="CM427" s="90"/>
      <c r="CN427" s="90"/>
      <c r="CO427" s="90"/>
      <c r="CP427" s="90"/>
      <c r="CQ427" s="90"/>
      <c r="CR427" s="90"/>
      <c r="CS427" s="90"/>
      <c r="CT427" s="90"/>
      <c r="CU427" s="90"/>
      <c r="CV427" s="90"/>
      <c r="CW427" s="90"/>
    </row>
    <row r="428" ht="16.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0"/>
      <c r="BQ428" s="90"/>
      <c r="BR428" s="90"/>
      <c r="BS428" s="90"/>
      <c r="BT428" s="90"/>
      <c r="BU428" s="90"/>
      <c r="BV428" s="90"/>
      <c r="BW428" s="90"/>
      <c r="BX428" s="90"/>
      <c r="BY428" s="90"/>
      <c r="BZ428" s="90"/>
      <c r="CA428" s="90"/>
      <c r="CB428" s="90"/>
      <c r="CC428" s="90"/>
      <c r="CD428" s="90"/>
      <c r="CE428" s="90"/>
      <c r="CF428" s="90"/>
      <c r="CG428" s="90"/>
      <c r="CH428" s="90"/>
      <c r="CI428" s="90"/>
      <c r="CJ428" s="90"/>
      <c r="CK428" s="90"/>
      <c r="CL428" s="90"/>
      <c r="CM428" s="90"/>
      <c r="CN428" s="90"/>
      <c r="CO428" s="90"/>
      <c r="CP428" s="90"/>
      <c r="CQ428" s="90"/>
      <c r="CR428" s="90"/>
      <c r="CS428" s="90"/>
      <c r="CT428" s="90"/>
      <c r="CU428" s="90"/>
      <c r="CV428" s="90"/>
      <c r="CW428" s="90"/>
    </row>
    <row r="429" ht="16.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  <c r="BO429" s="90"/>
      <c r="BP429" s="90"/>
      <c r="BQ429" s="90"/>
      <c r="BR429" s="90"/>
      <c r="BS429" s="90"/>
      <c r="BT429" s="90"/>
      <c r="BU429" s="90"/>
      <c r="BV429" s="90"/>
      <c r="BW429" s="90"/>
      <c r="BX429" s="90"/>
      <c r="BY429" s="90"/>
      <c r="BZ429" s="90"/>
      <c r="CA429" s="90"/>
      <c r="CB429" s="90"/>
      <c r="CC429" s="90"/>
      <c r="CD429" s="90"/>
      <c r="CE429" s="90"/>
      <c r="CF429" s="90"/>
      <c r="CG429" s="90"/>
      <c r="CH429" s="90"/>
      <c r="CI429" s="90"/>
      <c r="CJ429" s="90"/>
      <c r="CK429" s="90"/>
      <c r="CL429" s="90"/>
      <c r="CM429" s="90"/>
      <c r="CN429" s="90"/>
      <c r="CO429" s="90"/>
      <c r="CP429" s="90"/>
      <c r="CQ429" s="90"/>
      <c r="CR429" s="90"/>
      <c r="CS429" s="90"/>
      <c r="CT429" s="90"/>
      <c r="CU429" s="90"/>
      <c r="CV429" s="90"/>
      <c r="CW429" s="90"/>
    </row>
    <row r="430" ht="16.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0"/>
      <c r="BQ430" s="90"/>
      <c r="BR430" s="90"/>
      <c r="BS430" s="90"/>
      <c r="BT430" s="90"/>
      <c r="BU430" s="90"/>
      <c r="BV430" s="90"/>
      <c r="BW430" s="90"/>
      <c r="BX430" s="90"/>
      <c r="BY430" s="90"/>
      <c r="BZ430" s="90"/>
      <c r="CA430" s="90"/>
      <c r="CB430" s="90"/>
      <c r="CC430" s="90"/>
      <c r="CD430" s="90"/>
      <c r="CE430" s="90"/>
      <c r="CF430" s="90"/>
      <c r="CG430" s="90"/>
      <c r="CH430" s="90"/>
      <c r="CI430" s="90"/>
      <c r="CJ430" s="90"/>
      <c r="CK430" s="90"/>
      <c r="CL430" s="90"/>
      <c r="CM430" s="90"/>
      <c r="CN430" s="90"/>
      <c r="CO430" s="90"/>
      <c r="CP430" s="90"/>
      <c r="CQ430" s="90"/>
      <c r="CR430" s="90"/>
      <c r="CS430" s="90"/>
      <c r="CT430" s="90"/>
      <c r="CU430" s="90"/>
      <c r="CV430" s="90"/>
      <c r="CW430" s="90"/>
    </row>
    <row r="431" ht="16.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  <c r="BO431" s="90"/>
      <c r="BP431" s="90"/>
      <c r="BQ431" s="90"/>
      <c r="BR431" s="90"/>
      <c r="BS431" s="90"/>
      <c r="BT431" s="90"/>
      <c r="BU431" s="90"/>
      <c r="BV431" s="90"/>
      <c r="BW431" s="90"/>
      <c r="BX431" s="90"/>
      <c r="BY431" s="90"/>
      <c r="BZ431" s="90"/>
      <c r="CA431" s="90"/>
      <c r="CB431" s="90"/>
      <c r="CC431" s="90"/>
      <c r="CD431" s="90"/>
      <c r="CE431" s="90"/>
      <c r="CF431" s="90"/>
      <c r="CG431" s="90"/>
      <c r="CH431" s="90"/>
      <c r="CI431" s="90"/>
      <c r="CJ431" s="90"/>
      <c r="CK431" s="90"/>
      <c r="CL431" s="90"/>
      <c r="CM431" s="90"/>
      <c r="CN431" s="90"/>
      <c r="CO431" s="90"/>
      <c r="CP431" s="90"/>
      <c r="CQ431" s="90"/>
      <c r="CR431" s="90"/>
      <c r="CS431" s="90"/>
      <c r="CT431" s="90"/>
      <c r="CU431" s="90"/>
      <c r="CV431" s="90"/>
      <c r="CW431" s="90"/>
    </row>
    <row r="432" ht="16.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0"/>
      <c r="BQ432" s="90"/>
      <c r="BR432" s="90"/>
      <c r="BS432" s="90"/>
      <c r="BT432" s="90"/>
      <c r="BU432" s="90"/>
      <c r="BV432" s="90"/>
      <c r="BW432" s="90"/>
      <c r="BX432" s="90"/>
      <c r="BY432" s="90"/>
      <c r="BZ432" s="90"/>
      <c r="CA432" s="90"/>
      <c r="CB432" s="90"/>
      <c r="CC432" s="90"/>
      <c r="CD432" s="90"/>
      <c r="CE432" s="90"/>
      <c r="CF432" s="90"/>
      <c r="CG432" s="90"/>
      <c r="CH432" s="90"/>
      <c r="CI432" s="90"/>
      <c r="CJ432" s="90"/>
      <c r="CK432" s="90"/>
      <c r="CL432" s="90"/>
      <c r="CM432" s="90"/>
      <c r="CN432" s="90"/>
      <c r="CO432" s="90"/>
      <c r="CP432" s="90"/>
      <c r="CQ432" s="90"/>
      <c r="CR432" s="90"/>
      <c r="CS432" s="90"/>
      <c r="CT432" s="90"/>
      <c r="CU432" s="90"/>
      <c r="CV432" s="90"/>
      <c r="CW432" s="90"/>
    </row>
    <row r="433" ht="16.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  <c r="BO433" s="90"/>
      <c r="BP433" s="90"/>
      <c r="BQ433" s="90"/>
      <c r="BR433" s="90"/>
      <c r="BS433" s="90"/>
      <c r="BT433" s="90"/>
      <c r="BU433" s="90"/>
      <c r="BV433" s="90"/>
      <c r="BW433" s="90"/>
      <c r="BX433" s="90"/>
      <c r="BY433" s="90"/>
      <c r="BZ433" s="90"/>
      <c r="CA433" s="90"/>
      <c r="CB433" s="90"/>
      <c r="CC433" s="90"/>
      <c r="CD433" s="90"/>
      <c r="CE433" s="90"/>
      <c r="CF433" s="90"/>
      <c r="CG433" s="90"/>
      <c r="CH433" s="90"/>
      <c r="CI433" s="90"/>
      <c r="CJ433" s="90"/>
      <c r="CK433" s="90"/>
      <c r="CL433" s="90"/>
      <c r="CM433" s="90"/>
      <c r="CN433" s="90"/>
      <c r="CO433" s="90"/>
      <c r="CP433" s="90"/>
      <c r="CQ433" s="90"/>
      <c r="CR433" s="90"/>
      <c r="CS433" s="90"/>
      <c r="CT433" s="90"/>
      <c r="CU433" s="90"/>
      <c r="CV433" s="90"/>
      <c r="CW433" s="90"/>
    </row>
    <row r="434" ht="16.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0"/>
      <c r="BQ434" s="90"/>
      <c r="BR434" s="90"/>
      <c r="BS434" s="90"/>
      <c r="BT434" s="90"/>
      <c r="BU434" s="90"/>
      <c r="BV434" s="90"/>
      <c r="BW434" s="90"/>
      <c r="BX434" s="90"/>
      <c r="BY434" s="90"/>
      <c r="BZ434" s="90"/>
      <c r="CA434" s="90"/>
      <c r="CB434" s="90"/>
      <c r="CC434" s="90"/>
      <c r="CD434" s="90"/>
      <c r="CE434" s="90"/>
      <c r="CF434" s="90"/>
      <c r="CG434" s="90"/>
      <c r="CH434" s="90"/>
      <c r="CI434" s="90"/>
      <c r="CJ434" s="90"/>
      <c r="CK434" s="90"/>
      <c r="CL434" s="90"/>
      <c r="CM434" s="90"/>
      <c r="CN434" s="90"/>
      <c r="CO434" s="90"/>
      <c r="CP434" s="90"/>
      <c r="CQ434" s="90"/>
      <c r="CR434" s="90"/>
      <c r="CS434" s="90"/>
      <c r="CT434" s="90"/>
      <c r="CU434" s="90"/>
      <c r="CV434" s="90"/>
      <c r="CW434" s="90"/>
    </row>
    <row r="435" ht="16.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  <c r="BO435" s="90"/>
      <c r="BP435" s="90"/>
      <c r="BQ435" s="90"/>
      <c r="BR435" s="90"/>
      <c r="BS435" s="90"/>
      <c r="BT435" s="90"/>
      <c r="BU435" s="90"/>
      <c r="BV435" s="90"/>
      <c r="BW435" s="90"/>
      <c r="BX435" s="90"/>
      <c r="BY435" s="90"/>
      <c r="BZ435" s="90"/>
      <c r="CA435" s="90"/>
      <c r="CB435" s="90"/>
      <c r="CC435" s="90"/>
      <c r="CD435" s="90"/>
      <c r="CE435" s="90"/>
      <c r="CF435" s="90"/>
      <c r="CG435" s="90"/>
      <c r="CH435" s="90"/>
      <c r="CI435" s="90"/>
      <c r="CJ435" s="90"/>
      <c r="CK435" s="90"/>
      <c r="CL435" s="90"/>
      <c r="CM435" s="90"/>
      <c r="CN435" s="90"/>
      <c r="CO435" s="90"/>
      <c r="CP435" s="90"/>
      <c r="CQ435" s="90"/>
      <c r="CR435" s="90"/>
      <c r="CS435" s="90"/>
      <c r="CT435" s="90"/>
      <c r="CU435" s="90"/>
      <c r="CV435" s="90"/>
      <c r="CW435" s="90"/>
    </row>
    <row r="436" ht="16.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0"/>
      <c r="BQ436" s="90"/>
      <c r="BR436" s="90"/>
      <c r="BS436" s="90"/>
      <c r="BT436" s="90"/>
      <c r="BU436" s="90"/>
      <c r="BV436" s="90"/>
      <c r="BW436" s="90"/>
      <c r="BX436" s="90"/>
      <c r="BY436" s="90"/>
      <c r="BZ436" s="90"/>
      <c r="CA436" s="90"/>
      <c r="CB436" s="90"/>
      <c r="CC436" s="90"/>
      <c r="CD436" s="90"/>
      <c r="CE436" s="90"/>
      <c r="CF436" s="90"/>
      <c r="CG436" s="90"/>
      <c r="CH436" s="90"/>
      <c r="CI436" s="90"/>
      <c r="CJ436" s="90"/>
      <c r="CK436" s="90"/>
      <c r="CL436" s="90"/>
      <c r="CM436" s="90"/>
      <c r="CN436" s="90"/>
      <c r="CO436" s="90"/>
      <c r="CP436" s="90"/>
      <c r="CQ436" s="90"/>
      <c r="CR436" s="90"/>
      <c r="CS436" s="90"/>
      <c r="CT436" s="90"/>
      <c r="CU436" s="90"/>
      <c r="CV436" s="90"/>
      <c r="CW436" s="90"/>
    </row>
    <row r="437" ht="16.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  <c r="BO437" s="90"/>
      <c r="BP437" s="90"/>
      <c r="BQ437" s="90"/>
      <c r="BR437" s="90"/>
      <c r="BS437" s="90"/>
      <c r="BT437" s="90"/>
      <c r="BU437" s="90"/>
      <c r="BV437" s="90"/>
      <c r="BW437" s="90"/>
      <c r="BX437" s="90"/>
      <c r="BY437" s="90"/>
      <c r="BZ437" s="90"/>
      <c r="CA437" s="90"/>
      <c r="CB437" s="90"/>
      <c r="CC437" s="90"/>
      <c r="CD437" s="90"/>
      <c r="CE437" s="90"/>
      <c r="CF437" s="90"/>
      <c r="CG437" s="90"/>
      <c r="CH437" s="90"/>
      <c r="CI437" s="90"/>
      <c r="CJ437" s="90"/>
      <c r="CK437" s="90"/>
      <c r="CL437" s="90"/>
      <c r="CM437" s="90"/>
      <c r="CN437" s="90"/>
      <c r="CO437" s="90"/>
      <c r="CP437" s="90"/>
      <c r="CQ437" s="90"/>
      <c r="CR437" s="90"/>
      <c r="CS437" s="90"/>
      <c r="CT437" s="90"/>
      <c r="CU437" s="90"/>
      <c r="CV437" s="90"/>
      <c r="CW437" s="90"/>
    </row>
    <row r="438" ht="16.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0"/>
      <c r="BQ438" s="90"/>
      <c r="BR438" s="90"/>
      <c r="BS438" s="90"/>
      <c r="BT438" s="90"/>
      <c r="BU438" s="90"/>
      <c r="BV438" s="90"/>
      <c r="BW438" s="90"/>
      <c r="BX438" s="90"/>
      <c r="BY438" s="90"/>
      <c r="BZ438" s="90"/>
      <c r="CA438" s="90"/>
      <c r="CB438" s="90"/>
      <c r="CC438" s="90"/>
      <c r="CD438" s="90"/>
      <c r="CE438" s="90"/>
      <c r="CF438" s="90"/>
      <c r="CG438" s="90"/>
      <c r="CH438" s="90"/>
      <c r="CI438" s="90"/>
      <c r="CJ438" s="90"/>
      <c r="CK438" s="90"/>
      <c r="CL438" s="90"/>
      <c r="CM438" s="90"/>
      <c r="CN438" s="90"/>
      <c r="CO438" s="90"/>
      <c r="CP438" s="90"/>
      <c r="CQ438" s="90"/>
      <c r="CR438" s="90"/>
      <c r="CS438" s="90"/>
      <c r="CT438" s="90"/>
      <c r="CU438" s="90"/>
      <c r="CV438" s="90"/>
      <c r="CW438" s="90"/>
    </row>
    <row r="439" ht="16.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  <c r="BO439" s="90"/>
      <c r="BP439" s="90"/>
      <c r="BQ439" s="90"/>
      <c r="BR439" s="90"/>
      <c r="BS439" s="90"/>
      <c r="BT439" s="90"/>
      <c r="BU439" s="90"/>
      <c r="BV439" s="90"/>
      <c r="BW439" s="90"/>
      <c r="BX439" s="90"/>
      <c r="BY439" s="90"/>
      <c r="BZ439" s="90"/>
      <c r="CA439" s="90"/>
      <c r="CB439" s="90"/>
      <c r="CC439" s="90"/>
      <c r="CD439" s="90"/>
      <c r="CE439" s="90"/>
      <c r="CF439" s="90"/>
      <c r="CG439" s="90"/>
      <c r="CH439" s="90"/>
      <c r="CI439" s="90"/>
      <c r="CJ439" s="90"/>
      <c r="CK439" s="90"/>
      <c r="CL439" s="90"/>
      <c r="CM439" s="90"/>
      <c r="CN439" s="90"/>
      <c r="CO439" s="90"/>
      <c r="CP439" s="90"/>
      <c r="CQ439" s="90"/>
      <c r="CR439" s="90"/>
      <c r="CS439" s="90"/>
      <c r="CT439" s="90"/>
      <c r="CU439" s="90"/>
      <c r="CV439" s="90"/>
      <c r="CW439" s="90"/>
    </row>
    <row r="440" ht="16.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0"/>
      <c r="BQ440" s="90"/>
      <c r="BR440" s="90"/>
      <c r="BS440" s="90"/>
      <c r="BT440" s="90"/>
      <c r="BU440" s="90"/>
      <c r="BV440" s="90"/>
      <c r="BW440" s="90"/>
      <c r="BX440" s="90"/>
      <c r="BY440" s="90"/>
      <c r="BZ440" s="90"/>
      <c r="CA440" s="90"/>
      <c r="CB440" s="90"/>
      <c r="CC440" s="90"/>
      <c r="CD440" s="90"/>
      <c r="CE440" s="90"/>
      <c r="CF440" s="90"/>
      <c r="CG440" s="90"/>
      <c r="CH440" s="90"/>
      <c r="CI440" s="90"/>
      <c r="CJ440" s="90"/>
      <c r="CK440" s="90"/>
      <c r="CL440" s="90"/>
      <c r="CM440" s="90"/>
      <c r="CN440" s="90"/>
      <c r="CO440" s="90"/>
      <c r="CP440" s="90"/>
      <c r="CQ440" s="90"/>
      <c r="CR440" s="90"/>
      <c r="CS440" s="90"/>
      <c r="CT440" s="90"/>
      <c r="CU440" s="90"/>
      <c r="CV440" s="90"/>
      <c r="CW440" s="90"/>
    </row>
    <row r="441" ht="16.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  <c r="BO441" s="90"/>
      <c r="BP441" s="90"/>
      <c r="BQ441" s="90"/>
      <c r="BR441" s="90"/>
      <c r="BS441" s="90"/>
      <c r="BT441" s="90"/>
      <c r="BU441" s="90"/>
      <c r="BV441" s="90"/>
      <c r="BW441" s="90"/>
      <c r="BX441" s="90"/>
      <c r="BY441" s="90"/>
      <c r="BZ441" s="90"/>
      <c r="CA441" s="90"/>
      <c r="CB441" s="90"/>
      <c r="CC441" s="90"/>
      <c r="CD441" s="90"/>
      <c r="CE441" s="90"/>
      <c r="CF441" s="90"/>
      <c r="CG441" s="90"/>
      <c r="CH441" s="90"/>
      <c r="CI441" s="90"/>
      <c r="CJ441" s="90"/>
      <c r="CK441" s="90"/>
      <c r="CL441" s="90"/>
      <c r="CM441" s="90"/>
      <c r="CN441" s="90"/>
      <c r="CO441" s="90"/>
      <c r="CP441" s="90"/>
      <c r="CQ441" s="90"/>
      <c r="CR441" s="90"/>
      <c r="CS441" s="90"/>
      <c r="CT441" s="90"/>
      <c r="CU441" s="90"/>
      <c r="CV441" s="90"/>
      <c r="CW441" s="90"/>
    </row>
    <row r="442" ht="16.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0"/>
      <c r="BQ442" s="90"/>
      <c r="BR442" s="90"/>
      <c r="BS442" s="90"/>
      <c r="BT442" s="90"/>
      <c r="BU442" s="90"/>
      <c r="BV442" s="90"/>
      <c r="BW442" s="90"/>
      <c r="BX442" s="90"/>
      <c r="BY442" s="90"/>
      <c r="BZ442" s="90"/>
      <c r="CA442" s="90"/>
      <c r="CB442" s="90"/>
      <c r="CC442" s="90"/>
      <c r="CD442" s="90"/>
      <c r="CE442" s="90"/>
      <c r="CF442" s="90"/>
      <c r="CG442" s="90"/>
      <c r="CH442" s="90"/>
      <c r="CI442" s="90"/>
      <c r="CJ442" s="90"/>
      <c r="CK442" s="90"/>
      <c r="CL442" s="90"/>
      <c r="CM442" s="90"/>
      <c r="CN442" s="90"/>
      <c r="CO442" s="90"/>
      <c r="CP442" s="90"/>
      <c r="CQ442" s="90"/>
      <c r="CR442" s="90"/>
      <c r="CS442" s="90"/>
      <c r="CT442" s="90"/>
      <c r="CU442" s="90"/>
      <c r="CV442" s="90"/>
      <c r="CW442" s="90"/>
    </row>
    <row r="443" ht="16.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  <c r="BO443" s="90"/>
      <c r="BP443" s="90"/>
      <c r="BQ443" s="90"/>
      <c r="BR443" s="90"/>
      <c r="BS443" s="90"/>
      <c r="BT443" s="90"/>
      <c r="BU443" s="90"/>
      <c r="BV443" s="90"/>
      <c r="BW443" s="90"/>
      <c r="BX443" s="90"/>
      <c r="BY443" s="90"/>
      <c r="BZ443" s="90"/>
      <c r="CA443" s="90"/>
      <c r="CB443" s="90"/>
      <c r="CC443" s="90"/>
      <c r="CD443" s="90"/>
      <c r="CE443" s="90"/>
      <c r="CF443" s="90"/>
      <c r="CG443" s="90"/>
      <c r="CH443" s="90"/>
      <c r="CI443" s="90"/>
      <c r="CJ443" s="90"/>
      <c r="CK443" s="90"/>
      <c r="CL443" s="90"/>
      <c r="CM443" s="90"/>
      <c r="CN443" s="90"/>
      <c r="CO443" s="90"/>
      <c r="CP443" s="90"/>
      <c r="CQ443" s="90"/>
      <c r="CR443" s="90"/>
      <c r="CS443" s="90"/>
      <c r="CT443" s="90"/>
      <c r="CU443" s="90"/>
      <c r="CV443" s="90"/>
      <c r="CW443" s="90"/>
    </row>
    <row r="444" ht="16.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0"/>
      <c r="BQ444" s="90"/>
      <c r="BR444" s="90"/>
      <c r="BS444" s="90"/>
      <c r="BT444" s="90"/>
      <c r="BU444" s="90"/>
      <c r="BV444" s="90"/>
      <c r="BW444" s="90"/>
      <c r="BX444" s="90"/>
      <c r="BY444" s="90"/>
      <c r="BZ444" s="90"/>
      <c r="CA444" s="90"/>
      <c r="CB444" s="90"/>
      <c r="CC444" s="90"/>
      <c r="CD444" s="90"/>
      <c r="CE444" s="90"/>
      <c r="CF444" s="90"/>
      <c r="CG444" s="90"/>
      <c r="CH444" s="90"/>
      <c r="CI444" s="90"/>
      <c r="CJ444" s="90"/>
      <c r="CK444" s="90"/>
      <c r="CL444" s="90"/>
      <c r="CM444" s="90"/>
      <c r="CN444" s="90"/>
      <c r="CO444" s="90"/>
      <c r="CP444" s="90"/>
      <c r="CQ444" s="90"/>
      <c r="CR444" s="90"/>
      <c r="CS444" s="90"/>
      <c r="CT444" s="90"/>
      <c r="CU444" s="90"/>
      <c r="CV444" s="90"/>
      <c r="CW444" s="90"/>
    </row>
    <row r="445" ht="16.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  <c r="BO445" s="90"/>
      <c r="BP445" s="90"/>
      <c r="BQ445" s="90"/>
      <c r="BR445" s="90"/>
      <c r="BS445" s="90"/>
      <c r="BT445" s="90"/>
      <c r="BU445" s="90"/>
      <c r="BV445" s="90"/>
      <c r="BW445" s="90"/>
      <c r="BX445" s="90"/>
      <c r="BY445" s="90"/>
      <c r="BZ445" s="90"/>
      <c r="CA445" s="90"/>
      <c r="CB445" s="90"/>
      <c r="CC445" s="90"/>
      <c r="CD445" s="90"/>
      <c r="CE445" s="90"/>
      <c r="CF445" s="90"/>
      <c r="CG445" s="90"/>
      <c r="CH445" s="90"/>
      <c r="CI445" s="90"/>
      <c r="CJ445" s="90"/>
      <c r="CK445" s="90"/>
      <c r="CL445" s="90"/>
      <c r="CM445" s="90"/>
      <c r="CN445" s="90"/>
      <c r="CO445" s="90"/>
      <c r="CP445" s="90"/>
      <c r="CQ445" s="90"/>
      <c r="CR445" s="90"/>
      <c r="CS445" s="90"/>
      <c r="CT445" s="90"/>
      <c r="CU445" s="90"/>
      <c r="CV445" s="90"/>
      <c r="CW445" s="90"/>
    </row>
    <row r="446" ht="16.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0"/>
      <c r="BQ446" s="90"/>
      <c r="BR446" s="90"/>
      <c r="BS446" s="90"/>
      <c r="BT446" s="90"/>
      <c r="BU446" s="90"/>
      <c r="BV446" s="90"/>
      <c r="BW446" s="90"/>
      <c r="BX446" s="90"/>
      <c r="BY446" s="90"/>
      <c r="BZ446" s="90"/>
      <c r="CA446" s="90"/>
      <c r="CB446" s="90"/>
      <c r="CC446" s="90"/>
      <c r="CD446" s="90"/>
      <c r="CE446" s="90"/>
      <c r="CF446" s="90"/>
      <c r="CG446" s="90"/>
      <c r="CH446" s="90"/>
      <c r="CI446" s="90"/>
      <c r="CJ446" s="90"/>
      <c r="CK446" s="90"/>
      <c r="CL446" s="90"/>
      <c r="CM446" s="90"/>
      <c r="CN446" s="90"/>
      <c r="CO446" s="90"/>
      <c r="CP446" s="90"/>
      <c r="CQ446" s="90"/>
      <c r="CR446" s="90"/>
      <c r="CS446" s="90"/>
      <c r="CT446" s="90"/>
      <c r="CU446" s="90"/>
      <c r="CV446" s="90"/>
      <c r="CW446" s="90"/>
    </row>
    <row r="447" ht="16.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  <c r="BO447" s="90"/>
      <c r="BP447" s="90"/>
      <c r="BQ447" s="90"/>
      <c r="BR447" s="90"/>
      <c r="BS447" s="90"/>
      <c r="BT447" s="90"/>
      <c r="BU447" s="90"/>
      <c r="BV447" s="90"/>
      <c r="BW447" s="90"/>
      <c r="BX447" s="90"/>
      <c r="BY447" s="90"/>
      <c r="BZ447" s="90"/>
      <c r="CA447" s="90"/>
      <c r="CB447" s="90"/>
      <c r="CC447" s="90"/>
      <c r="CD447" s="90"/>
      <c r="CE447" s="90"/>
      <c r="CF447" s="90"/>
      <c r="CG447" s="90"/>
      <c r="CH447" s="90"/>
      <c r="CI447" s="90"/>
      <c r="CJ447" s="90"/>
      <c r="CK447" s="90"/>
      <c r="CL447" s="90"/>
      <c r="CM447" s="90"/>
      <c r="CN447" s="90"/>
      <c r="CO447" s="90"/>
      <c r="CP447" s="90"/>
      <c r="CQ447" s="90"/>
      <c r="CR447" s="90"/>
      <c r="CS447" s="90"/>
      <c r="CT447" s="90"/>
      <c r="CU447" s="90"/>
      <c r="CV447" s="90"/>
      <c r="CW447" s="90"/>
    </row>
    <row r="448" ht="16.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0"/>
      <c r="BQ448" s="90"/>
      <c r="BR448" s="90"/>
      <c r="BS448" s="90"/>
      <c r="BT448" s="90"/>
      <c r="BU448" s="90"/>
      <c r="BV448" s="90"/>
      <c r="BW448" s="90"/>
      <c r="BX448" s="90"/>
      <c r="BY448" s="90"/>
      <c r="BZ448" s="90"/>
      <c r="CA448" s="90"/>
      <c r="CB448" s="90"/>
      <c r="CC448" s="90"/>
      <c r="CD448" s="90"/>
      <c r="CE448" s="90"/>
      <c r="CF448" s="90"/>
      <c r="CG448" s="90"/>
      <c r="CH448" s="90"/>
      <c r="CI448" s="90"/>
      <c r="CJ448" s="90"/>
      <c r="CK448" s="90"/>
      <c r="CL448" s="90"/>
      <c r="CM448" s="90"/>
      <c r="CN448" s="90"/>
      <c r="CO448" s="90"/>
      <c r="CP448" s="90"/>
      <c r="CQ448" s="90"/>
      <c r="CR448" s="90"/>
      <c r="CS448" s="90"/>
      <c r="CT448" s="90"/>
      <c r="CU448" s="90"/>
      <c r="CV448" s="90"/>
      <c r="CW448" s="90"/>
    </row>
    <row r="449" ht="16.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  <c r="BO449" s="90"/>
      <c r="BP449" s="90"/>
      <c r="BQ449" s="90"/>
      <c r="BR449" s="90"/>
      <c r="BS449" s="90"/>
      <c r="BT449" s="90"/>
      <c r="BU449" s="90"/>
      <c r="BV449" s="90"/>
      <c r="BW449" s="90"/>
      <c r="BX449" s="90"/>
      <c r="BY449" s="90"/>
      <c r="BZ449" s="90"/>
      <c r="CA449" s="90"/>
      <c r="CB449" s="90"/>
      <c r="CC449" s="90"/>
      <c r="CD449" s="90"/>
      <c r="CE449" s="90"/>
      <c r="CF449" s="90"/>
      <c r="CG449" s="90"/>
      <c r="CH449" s="90"/>
      <c r="CI449" s="90"/>
      <c r="CJ449" s="90"/>
      <c r="CK449" s="90"/>
      <c r="CL449" s="90"/>
      <c r="CM449" s="90"/>
      <c r="CN449" s="90"/>
      <c r="CO449" s="90"/>
      <c r="CP449" s="90"/>
      <c r="CQ449" s="90"/>
      <c r="CR449" s="90"/>
      <c r="CS449" s="90"/>
      <c r="CT449" s="90"/>
      <c r="CU449" s="90"/>
      <c r="CV449" s="90"/>
      <c r="CW449" s="90"/>
    </row>
    <row r="450" ht="16.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0"/>
      <c r="BQ450" s="90"/>
      <c r="BR450" s="90"/>
      <c r="BS450" s="90"/>
      <c r="BT450" s="90"/>
      <c r="BU450" s="90"/>
      <c r="BV450" s="90"/>
      <c r="BW450" s="90"/>
      <c r="BX450" s="90"/>
      <c r="BY450" s="90"/>
      <c r="BZ450" s="90"/>
      <c r="CA450" s="90"/>
      <c r="CB450" s="90"/>
      <c r="CC450" s="90"/>
      <c r="CD450" s="90"/>
      <c r="CE450" s="90"/>
      <c r="CF450" s="90"/>
      <c r="CG450" s="90"/>
      <c r="CH450" s="90"/>
      <c r="CI450" s="90"/>
      <c r="CJ450" s="90"/>
      <c r="CK450" s="90"/>
      <c r="CL450" s="90"/>
      <c r="CM450" s="90"/>
      <c r="CN450" s="90"/>
      <c r="CO450" s="90"/>
      <c r="CP450" s="90"/>
      <c r="CQ450" s="90"/>
      <c r="CR450" s="90"/>
      <c r="CS450" s="90"/>
      <c r="CT450" s="90"/>
      <c r="CU450" s="90"/>
      <c r="CV450" s="90"/>
      <c r="CW450" s="90"/>
    </row>
    <row r="451" ht="16.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  <c r="BO451" s="90"/>
      <c r="BP451" s="90"/>
      <c r="BQ451" s="90"/>
      <c r="BR451" s="90"/>
      <c r="BS451" s="90"/>
      <c r="BT451" s="90"/>
      <c r="BU451" s="90"/>
      <c r="BV451" s="90"/>
      <c r="BW451" s="90"/>
      <c r="BX451" s="90"/>
      <c r="BY451" s="90"/>
      <c r="BZ451" s="90"/>
      <c r="CA451" s="90"/>
      <c r="CB451" s="90"/>
      <c r="CC451" s="90"/>
      <c r="CD451" s="90"/>
      <c r="CE451" s="90"/>
      <c r="CF451" s="90"/>
      <c r="CG451" s="90"/>
      <c r="CH451" s="90"/>
      <c r="CI451" s="90"/>
      <c r="CJ451" s="90"/>
      <c r="CK451" s="90"/>
      <c r="CL451" s="90"/>
      <c r="CM451" s="90"/>
      <c r="CN451" s="90"/>
      <c r="CO451" s="90"/>
      <c r="CP451" s="90"/>
      <c r="CQ451" s="90"/>
      <c r="CR451" s="90"/>
      <c r="CS451" s="90"/>
      <c r="CT451" s="90"/>
      <c r="CU451" s="90"/>
      <c r="CV451" s="90"/>
      <c r="CW451" s="90"/>
    </row>
    <row r="452" ht="16.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0"/>
      <c r="BQ452" s="90"/>
      <c r="BR452" s="90"/>
      <c r="BS452" s="90"/>
      <c r="BT452" s="90"/>
      <c r="BU452" s="90"/>
      <c r="BV452" s="90"/>
      <c r="BW452" s="90"/>
      <c r="BX452" s="90"/>
      <c r="BY452" s="90"/>
      <c r="BZ452" s="90"/>
      <c r="CA452" s="90"/>
      <c r="CB452" s="90"/>
      <c r="CC452" s="90"/>
      <c r="CD452" s="90"/>
      <c r="CE452" s="90"/>
      <c r="CF452" s="90"/>
      <c r="CG452" s="90"/>
      <c r="CH452" s="90"/>
      <c r="CI452" s="90"/>
      <c r="CJ452" s="90"/>
      <c r="CK452" s="90"/>
      <c r="CL452" s="90"/>
      <c r="CM452" s="90"/>
      <c r="CN452" s="90"/>
      <c r="CO452" s="90"/>
      <c r="CP452" s="90"/>
      <c r="CQ452" s="90"/>
      <c r="CR452" s="90"/>
      <c r="CS452" s="90"/>
      <c r="CT452" s="90"/>
      <c r="CU452" s="90"/>
      <c r="CV452" s="90"/>
      <c r="CW452" s="90"/>
    </row>
    <row r="453" ht="16.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90"/>
      <c r="BQ453" s="90"/>
      <c r="BR453" s="90"/>
      <c r="BS453" s="90"/>
      <c r="BT453" s="90"/>
      <c r="BU453" s="90"/>
      <c r="BV453" s="90"/>
      <c r="BW453" s="90"/>
      <c r="BX453" s="90"/>
      <c r="BY453" s="90"/>
      <c r="BZ453" s="90"/>
      <c r="CA453" s="90"/>
      <c r="CB453" s="90"/>
      <c r="CC453" s="90"/>
      <c r="CD453" s="90"/>
      <c r="CE453" s="90"/>
      <c r="CF453" s="90"/>
      <c r="CG453" s="90"/>
      <c r="CH453" s="90"/>
      <c r="CI453" s="90"/>
      <c r="CJ453" s="90"/>
      <c r="CK453" s="90"/>
      <c r="CL453" s="90"/>
      <c r="CM453" s="90"/>
      <c r="CN453" s="90"/>
      <c r="CO453" s="90"/>
      <c r="CP453" s="90"/>
      <c r="CQ453" s="90"/>
      <c r="CR453" s="90"/>
      <c r="CS453" s="90"/>
      <c r="CT453" s="90"/>
      <c r="CU453" s="90"/>
      <c r="CV453" s="90"/>
      <c r="CW453" s="90"/>
    </row>
    <row r="454" ht="16.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0"/>
      <c r="BQ454" s="90"/>
      <c r="BR454" s="90"/>
      <c r="BS454" s="90"/>
      <c r="BT454" s="90"/>
      <c r="BU454" s="90"/>
      <c r="BV454" s="90"/>
      <c r="BW454" s="90"/>
      <c r="BX454" s="90"/>
      <c r="BY454" s="90"/>
      <c r="BZ454" s="90"/>
      <c r="CA454" s="90"/>
      <c r="CB454" s="90"/>
      <c r="CC454" s="90"/>
      <c r="CD454" s="90"/>
      <c r="CE454" s="90"/>
      <c r="CF454" s="90"/>
      <c r="CG454" s="90"/>
      <c r="CH454" s="90"/>
      <c r="CI454" s="90"/>
      <c r="CJ454" s="90"/>
      <c r="CK454" s="90"/>
      <c r="CL454" s="90"/>
      <c r="CM454" s="90"/>
      <c r="CN454" s="90"/>
      <c r="CO454" s="90"/>
      <c r="CP454" s="90"/>
      <c r="CQ454" s="90"/>
      <c r="CR454" s="90"/>
      <c r="CS454" s="90"/>
      <c r="CT454" s="90"/>
      <c r="CU454" s="90"/>
      <c r="CV454" s="90"/>
      <c r="CW454" s="90"/>
    </row>
    <row r="455" ht="16.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  <c r="BO455" s="90"/>
      <c r="BP455" s="90"/>
      <c r="BQ455" s="90"/>
      <c r="BR455" s="90"/>
      <c r="BS455" s="90"/>
      <c r="BT455" s="90"/>
      <c r="BU455" s="90"/>
      <c r="BV455" s="90"/>
      <c r="BW455" s="90"/>
      <c r="BX455" s="90"/>
      <c r="BY455" s="90"/>
      <c r="BZ455" s="90"/>
      <c r="CA455" s="90"/>
      <c r="CB455" s="90"/>
      <c r="CC455" s="90"/>
      <c r="CD455" s="90"/>
      <c r="CE455" s="90"/>
      <c r="CF455" s="90"/>
      <c r="CG455" s="90"/>
      <c r="CH455" s="90"/>
      <c r="CI455" s="90"/>
      <c r="CJ455" s="90"/>
      <c r="CK455" s="90"/>
      <c r="CL455" s="90"/>
      <c r="CM455" s="90"/>
      <c r="CN455" s="90"/>
      <c r="CO455" s="90"/>
      <c r="CP455" s="90"/>
      <c r="CQ455" s="90"/>
      <c r="CR455" s="90"/>
      <c r="CS455" s="90"/>
      <c r="CT455" s="90"/>
      <c r="CU455" s="90"/>
      <c r="CV455" s="90"/>
      <c r="CW455" s="90"/>
    </row>
    <row r="456" ht="16.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0"/>
      <c r="BQ456" s="90"/>
      <c r="BR456" s="90"/>
      <c r="BS456" s="90"/>
      <c r="BT456" s="90"/>
      <c r="BU456" s="90"/>
      <c r="BV456" s="90"/>
      <c r="BW456" s="90"/>
      <c r="BX456" s="90"/>
      <c r="BY456" s="90"/>
      <c r="BZ456" s="90"/>
      <c r="CA456" s="90"/>
      <c r="CB456" s="90"/>
      <c r="CC456" s="90"/>
      <c r="CD456" s="90"/>
      <c r="CE456" s="90"/>
      <c r="CF456" s="90"/>
      <c r="CG456" s="90"/>
      <c r="CH456" s="90"/>
      <c r="CI456" s="90"/>
      <c r="CJ456" s="90"/>
      <c r="CK456" s="90"/>
      <c r="CL456" s="90"/>
      <c r="CM456" s="90"/>
      <c r="CN456" s="90"/>
      <c r="CO456" s="90"/>
      <c r="CP456" s="90"/>
      <c r="CQ456" s="90"/>
      <c r="CR456" s="90"/>
      <c r="CS456" s="90"/>
      <c r="CT456" s="90"/>
      <c r="CU456" s="90"/>
      <c r="CV456" s="90"/>
      <c r="CW456" s="90"/>
    </row>
    <row r="457" ht="16.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  <c r="BO457" s="90"/>
      <c r="BP457" s="90"/>
      <c r="BQ457" s="90"/>
      <c r="BR457" s="90"/>
      <c r="BS457" s="90"/>
      <c r="BT457" s="90"/>
      <c r="BU457" s="90"/>
      <c r="BV457" s="90"/>
      <c r="BW457" s="90"/>
      <c r="BX457" s="90"/>
      <c r="BY457" s="90"/>
      <c r="BZ457" s="90"/>
      <c r="CA457" s="90"/>
      <c r="CB457" s="90"/>
      <c r="CC457" s="90"/>
      <c r="CD457" s="90"/>
      <c r="CE457" s="90"/>
      <c r="CF457" s="90"/>
      <c r="CG457" s="90"/>
      <c r="CH457" s="90"/>
      <c r="CI457" s="90"/>
      <c r="CJ457" s="90"/>
      <c r="CK457" s="90"/>
      <c r="CL457" s="90"/>
      <c r="CM457" s="90"/>
      <c r="CN457" s="90"/>
      <c r="CO457" s="90"/>
      <c r="CP457" s="90"/>
      <c r="CQ457" s="90"/>
      <c r="CR457" s="90"/>
      <c r="CS457" s="90"/>
      <c r="CT457" s="90"/>
      <c r="CU457" s="90"/>
      <c r="CV457" s="90"/>
      <c r="CW457" s="90"/>
    </row>
    <row r="458" ht="16.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0"/>
      <c r="BQ458" s="90"/>
      <c r="BR458" s="90"/>
      <c r="BS458" s="90"/>
      <c r="BT458" s="90"/>
      <c r="BU458" s="90"/>
      <c r="BV458" s="90"/>
      <c r="BW458" s="90"/>
      <c r="BX458" s="90"/>
      <c r="BY458" s="90"/>
      <c r="BZ458" s="90"/>
      <c r="CA458" s="90"/>
      <c r="CB458" s="90"/>
      <c r="CC458" s="90"/>
      <c r="CD458" s="90"/>
      <c r="CE458" s="90"/>
      <c r="CF458" s="90"/>
      <c r="CG458" s="90"/>
      <c r="CH458" s="90"/>
      <c r="CI458" s="90"/>
      <c r="CJ458" s="90"/>
      <c r="CK458" s="90"/>
      <c r="CL458" s="90"/>
      <c r="CM458" s="90"/>
      <c r="CN458" s="90"/>
      <c r="CO458" s="90"/>
      <c r="CP458" s="90"/>
      <c r="CQ458" s="90"/>
      <c r="CR458" s="90"/>
      <c r="CS458" s="90"/>
      <c r="CT458" s="90"/>
      <c r="CU458" s="90"/>
      <c r="CV458" s="90"/>
      <c r="CW458" s="90"/>
    </row>
    <row r="459" ht="16.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  <c r="BO459" s="90"/>
      <c r="BP459" s="90"/>
      <c r="BQ459" s="90"/>
      <c r="BR459" s="90"/>
      <c r="BS459" s="90"/>
      <c r="BT459" s="90"/>
      <c r="BU459" s="90"/>
      <c r="BV459" s="90"/>
      <c r="BW459" s="90"/>
      <c r="BX459" s="90"/>
      <c r="BY459" s="90"/>
      <c r="BZ459" s="90"/>
      <c r="CA459" s="90"/>
      <c r="CB459" s="90"/>
      <c r="CC459" s="90"/>
      <c r="CD459" s="90"/>
      <c r="CE459" s="90"/>
      <c r="CF459" s="90"/>
      <c r="CG459" s="90"/>
      <c r="CH459" s="90"/>
      <c r="CI459" s="90"/>
      <c r="CJ459" s="90"/>
      <c r="CK459" s="90"/>
      <c r="CL459" s="90"/>
      <c r="CM459" s="90"/>
      <c r="CN459" s="90"/>
      <c r="CO459" s="90"/>
      <c r="CP459" s="90"/>
      <c r="CQ459" s="90"/>
      <c r="CR459" s="90"/>
      <c r="CS459" s="90"/>
      <c r="CT459" s="90"/>
      <c r="CU459" s="90"/>
      <c r="CV459" s="90"/>
      <c r="CW459" s="90"/>
    </row>
    <row r="460" ht="16.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0"/>
      <c r="BQ460" s="90"/>
      <c r="BR460" s="90"/>
      <c r="BS460" s="90"/>
      <c r="BT460" s="90"/>
      <c r="BU460" s="90"/>
      <c r="BV460" s="90"/>
      <c r="BW460" s="90"/>
      <c r="BX460" s="90"/>
      <c r="BY460" s="90"/>
      <c r="BZ460" s="90"/>
      <c r="CA460" s="90"/>
      <c r="CB460" s="90"/>
      <c r="CC460" s="90"/>
      <c r="CD460" s="90"/>
      <c r="CE460" s="90"/>
      <c r="CF460" s="90"/>
      <c r="CG460" s="90"/>
      <c r="CH460" s="90"/>
      <c r="CI460" s="90"/>
      <c r="CJ460" s="90"/>
      <c r="CK460" s="90"/>
      <c r="CL460" s="90"/>
      <c r="CM460" s="90"/>
      <c r="CN460" s="90"/>
      <c r="CO460" s="90"/>
      <c r="CP460" s="90"/>
      <c r="CQ460" s="90"/>
      <c r="CR460" s="90"/>
      <c r="CS460" s="90"/>
      <c r="CT460" s="90"/>
      <c r="CU460" s="90"/>
      <c r="CV460" s="90"/>
      <c r="CW460" s="90"/>
    </row>
    <row r="461" ht="16.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  <c r="BO461" s="90"/>
      <c r="BP461" s="90"/>
      <c r="BQ461" s="90"/>
      <c r="BR461" s="90"/>
      <c r="BS461" s="90"/>
      <c r="BT461" s="90"/>
      <c r="BU461" s="90"/>
      <c r="BV461" s="90"/>
      <c r="BW461" s="90"/>
      <c r="BX461" s="90"/>
      <c r="BY461" s="90"/>
      <c r="BZ461" s="90"/>
      <c r="CA461" s="90"/>
      <c r="CB461" s="90"/>
      <c r="CC461" s="90"/>
      <c r="CD461" s="90"/>
      <c r="CE461" s="90"/>
      <c r="CF461" s="90"/>
      <c r="CG461" s="90"/>
      <c r="CH461" s="90"/>
      <c r="CI461" s="90"/>
      <c r="CJ461" s="90"/>
      <c r="CK461" s="90"/>
      <c r="CL461" s="90"/>
      <c r="CM461" s="90"/>
      <c r="CN461" s="90"/>
      <c r="CO461" s="90"/>
      <c r="CP461" s="90"/>
      <c r="CQ461" s="90"/>
      <c r="CR461" s="90"/>
      <c r="CS461" s="90"/>
      <c r="CT461" s="90"/>
      <c r="CU461" s="90"/>
      <c r="CV461" s="90"/>
      <c r="CW461" s="90"/>
    </row>
    <row r="462" ht="16.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0"/>
      <c r="BQ462" s="90"/>
      <c r="BR462" s="90"/>
      <c r="BS462" s="90"/>
      <c r="BT462" s="90"/>
      <c r="BU462" s="90"/>
      <c r="BV462" s="90"/>
      <c r="BW462" s="90"/>
      <c r="BX462" s="90"/>
      <c r="BY462" s="90"/>
      <c r="BZ462" s="90"/>
      <c r="CA462" s="90"/>
      <c r="CB462" s="90"/>
      <c r="CC462" s="90"/>
      <c r="CD462" s="90"/>
      <c r="CE462" s="90"/>
      <c r="CF462" s="90"/>
      <c r="CG462" s="90"/>
      <c r="CH462" s="90"/>
      <c r="CI462" s="90"/>
      <c r="CJ462" s="90"/>
      <c r="CK462" s="90"/>
      <c r="CL462" s="90"/>
      <c r="CM462" s="90"/>
      <c r="CN462" s="90"/>
      <c r="CO462" s="90"/>
      <c r="CP462" s="90"/>
      <c r="CQ462" s="90"/>
      <c r="CR462" s="90"/>
      <c r="CS462" s="90"/>
      <c r="CT462" s="90"/>
      <c r="CU462" s="90"/>
      <c r="CV462" s="90"/>
      <c r="CW462" s="90"/>
    </row>
    <row r="463" ht="16.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  <c r="CE463" s="90"/>
      <c r="CF463" s="90"/>
      <c r="CG463" s="90"/>
      <c r="CH463" s="90"/>
      <c r="CI463" s="90"/>
      <c r="CJ463" s="90"/>
      <c r="CK463" s="90"/>
      <c r="CL463" s="90"/>
      <c r="CM463" s="90"/>
      <c r="CN463" s="90"/>
      <c r="CO463" s="90"/>
      <c r="CP463" s="90"/>
      <c r="CQ463" s="90"/>
      <c r="CR463" s="90"/>
      <c r="CS463" s="90"/>
      <c r="CT463" s="90"/>
      <c r="CU463" s="90"/>
      <c r="CV463" s="90"/>
      <c r="CW463" s="90"/>
    </row>
    <row r="464" ht="16.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0"/>
      <c r="BQ464" s="90"/>
      <c r="BR464" s="90"/>
      <c r="BS464" s="90"/>
      <c r="BT464" s="90"/>
      <c r="BU464" s="90"/>
      <c r="BV464" s="90"/>
      <c r="BW464" s="90"/>
      <c r="BX464" s="90"/>
      <c r="BY464" s="90"/>
      <c r="BZ464" s="90"/>
      <c r="CA464" s="90"/>
      <c r="CB464" s="90"/>
      <c r="CC464" s="90"/>
      <c r="CD464" s="90"/>
      <c r="CE464" s="90"/>
      <c r="CF464" s="90"/>
      <c r="CG464" s="90"/>
      <c r="CH464" s="90"/>
      <c r="CI464" s="90"/>
      <c r="CJ464" s="90"/>
      <c r="CK464" s="90"/>
      <c r="CL464" s="90"/>
      <c r="CM464" s="90"/>
      <c r="CN464" s="90"/>
      <c r="CO464" s="90"/>
      <c r="CP464" s="90"/>
      <c r="CQ464" s="90"/>
      <c r="CR464" s="90"/>
      <c r="CS464" s="90"/>
      <c r="CT464" s="90"/>
      <c r="CU464" s="90"/>
      <c r="CV464" s="90"/>
      <c r="CW464" s="90"/>
    </row>
    <row r="465" ht="16.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  <c r="BO465" s="90"/>
      <c r="BP465" s="90"/>
      <c r="BQ465" s="90"/>
      <c r="BR465" s="90"/>
      <c r="BS465" s="90"/>
      <c r="BT465" s="90"/>
      <c r="BU465" s="90"/>
      <c r="BV465" s="90"/>
      <c r="BW465" s="90"/>
      <c r="BX465" s="90"/>
      <c r="BY465" s="90"/>
      <c r="BZ465" s="90"/>
      <c r="CA465" s="90"/>
      <c r="CB465" s="90"/>
      <c r="CC465" s="90"/>
      <c r="CD465" s="90"/>
      <c r="CE465" s="90"/>
      <c r="CF465" s="90"/>
      <c r="CG465" s="90"/>
      <c r="CH465" s="90"/>
      <c r="CI465" s="90"/>
      <c r="CJ465" s="90"/>
      <c r="CK465" s="90"/>
      <c r="CL465" s="90"/>
      <c r="CM465" s="90"/>
      <c r="CN465" s="90"/>
      <c r="CO465" s="90"/>
      <c r="CP465" s="90"/>
      <c r="CQ465" s="90"/>
      <c r="CR465" s="90"/>
      <c r="CS465" s="90"/>
      <c r="CT465" s="90"/>
      <c r="CU465" s="90"/>
      <c r="CV465" s="90"/>
      <c r="CW465" s="90"/>
    </row>
    <row r="466" ht="16.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0"/>
      <c r="BQ466" s="90"/>
      <c r="BR466" s="90"/>
      <c r="BS466" s="90"/>
      <c r="BT466" s="90"/>
      <c r="BU466" s="90"/>
      <c r="BV466" s="90"/>
      <c r="BW466" s="90"/>
      <c r="BX466" s="90"/>
      <c r="BY466" s="90"/>
      <c r="BZ466" s="90"/>
      <c r="CA466" s="90"/>
      <c r="CB466" s="90"/>
      <c r="CC466" s="90"/>
      <c r="CD466" s="90"/>
      <c r="CE466" s="90"/>
      <c r="CF466" s="90"/>
      <c r="CG466" s="90"/>
      <c r="CH466" s="90"/>
      <c r="CI466" s="90"/>
      <c r="CJ466" s="90"/>
      <c r="CK466" s="90"/>
      <c r="CL466" s="90"/>
      <c r="CM466" s="90"/>
      <c r="CN466" s="90"/>
      <c r="CO466" s="90"/>
      <c r="CP466" s="90"/>
      <c r="CQ466" s="90"/>
      <c r="CR466" s="90"/>
      <c r="CS466" s="90"/>
      <c r="CT466" s="90"/>
      <c r="CU466" s="90"/>
      <c r="CV466" s="90"/>
      <c r="CW466" s="90"/>
    </row>
    <row r="467" ht="16.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  <c r="BO467" s="90"/>
      <c r="BP467" s="90"/>
      <c r="BQ467" s="90"/>
      <c r="BR467" s="90"/>
      <c r="BS467" s="90"/>
      <c r="BT467" s="90"/>
      <c r="BU467" s="90"/>
      <c r="BV467" s="90"/>
      <c r="BW467" s="90"/>
      <c r="BX467" s="90"/>
      <c r="BY467" s="90"/>
      <c r="BZ467" s="90"/>
      <c r="CA467" s="90"/>
      <c r="CB467" s="90"/>
      <c r="CC467" s="90"/>
      <c r="CD467" s="90"/>
      <c r="CE467" s="90"/>
      <c r="CF467" s="90"/>
      <c r="CG467" s="90"/>
      <c r="CH467" s="90"/>
      <c r="CI467" s="90"/>
      <c r="CJ467" s="90"/>
      <c r="CK467" s="90"/>
      <c r="CL467" s="90"/>
      <c r="CM467" s="90"/>
      <c r="CN467" s="90"/>
      <c r="CO467" s="90"/>
      <c r="CP467" s="90"/>
      <c r="CQ467" s="90"/>
      <c r="CR467" s="90"/>
      <c r="CS467" s="90"/>
      <c r="CT467" s="90"/>
      <c r="CU467" s="90"/>
      <c r="CV467" s="90"/>
      <c r="CW467" s="90"/>
    </row>
    <row r="468" ht="16.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  <c r="CC468" s="90"/>
      <c r="CD468" s="90"/>
      <c r="CE468" s="90"/>
      <c r="CF468" s="90"/>
      <c r="CG468" s="90"/>
      <c r="CH468" s="90"/>
      <c r="CI468" s="90"/>
      <c r="CJ468" s="90"/>
      <c r="CK468" s="90"/>
      <c r="CL468" s="90"/>
      <c r="CM468" s="90"/>
      <c r="CN468" s="90"/>
      <c r="CO468" s="90"/>
      <c r="CP468" s="90"/>
      <c r="CQ468" s="90"/>
      <c r="CR468" s="90"/>
      <c r="CS468" s="90"/>
      <c r="CT468" s="90"/>
      <c r="CU468" s="90"/>
      <c r="CV468" s="90"/>
      <c r="CW468" s="90"/>
    </row>
    <row r="469" ht="16.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  <c r="BO469" s="90"/>
      <c r="BP469" s="90"/>
      <c r="BQ469" s="90"/>
      <c r="BR469" s="90"/>
      <c r="BS469" s="90"/>
      <c r="BT469" s="90"/>
      <c r="BU469" s="90"/>
      <c r="BV469" s="90"/>
      <c r="BW469" s="90"/>
      <c r="BX469" s="90"/>
      <c r="BY469" s="90"/>
      <c r="BZ469" s="90"/>
      <c r="CA469" s="90"/>
      <c r="CB469" s="90"/>
      <c r="CC469" s="90"/>
      <c r="CD469" s="90"/>
      <c r="CE469" s="90"/>
      <c r="CF469" s="90"/>
      <c r="CG469" s="90"/>
      <c r="CH469" s="90"/>
      <c r="CI469" s="90"/>
      <c r="CJ469" s="90"/>
      <c r="CK469" s="90"/>
      <c r="CL469" s="90"/>
      <c r="CM469" s="90"/>
      <c r="CN469" s="90"/>
      <c r="CO469" s="90"/>
      <c r="CP469" s="90"/>
      <c r="CQ469" s="90"/>
      <c r="CR469" s="90"/>
      <c r="CS469" s="90"/>
      <c r="CT469" s="90"/>
      <c r="CU469" s="90"/>
      <c r="CV469" s="90"/>
      <c r="CW469" s="90"/>
    </row>
    <row r="470" ht="16.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0"/>
      <c r="BQ470" s="90"/>
      <c r="BR470" s="90"/>
      <c r="BS470" s="90"/>
      <c r="BT470" s="90"/>
      <c r="BU470" s="90"/>
      <c r="BV470" s="90"/>
      <c r="BW470" s="90"/>
      <c r="BX470" s="90"/>
      <c r="BY470" s="90"/>
      <c r="BZ470" s="90"/>
      <c r="CA470" s="90"/>
      <c r="CB470" s="90"/>
      <c r="CC470" s="90"/>
      <c r="CD470" s="90"/>
      <c r="CE470" s="90"/>
      <c r="CF470" s="90"/>
      <c r="CG470" s="90"/>
      <c r="CH470" s="90"/>
      <c r="CI470" s="90"/>
      <c r="CJ470" s="90"/>
      <c r="CK470" s="90"/>
      <c r="CL470" s="90"/>
      <c r="CM470" s="90"/>
      <c r="CN470" s="90"/>
      <c r="CO470" s="90"/>
      <c r="CP470" s="90"/>
      <c r="CQ470" s="90"/>
      <c r="CR470" s="90"/>
      <c r="CS470" s="90"/>
      <c r="CT470" s="90"/>
      <c r="CU470" s="90"/>
      <c r="CV470" s="90"/>
      <c r="CW470" s="90"/>
    </row>
    <row r="471" ht="16.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  <c r="BR471" s="90"/>
      <c r="BS471" s="90"/>
      <c r="BT471" s="90"/>
      <c r="BU471" s="90"/>
      <c r="BV471" s="90"/>
      <c r="BW471" s="90"/>
      <c r="BX471" s="90"/>
      <c r="BY471" s="90"/>
      <c r="BZ471" s="90"/>
      <c r="CA471" s="90"/>
      <c r="CB471" s="90"/>
      <c r="CC471" s="90"/>
      <c r="CD471" s="90"/>
      <c r="CE471" s="90"/>
      <c r="CF471" s="90"/>
      <c r="CG471" s="90"/>
      <c r="CH471" s="90"/>
      <c r="CI471" s="90"/>
      <c r="CJ471" s="90"/>
      <c r="CK471" s="90"/>
      <c r="CL471" s="90"/>
      <c r="CM471" s="90"/>
      <c r="CN471" s="90"/>
      <c r="CO471" s="90"/>
      <c r="CP471" s="90"/>
      <c r="CQ471" s="90"/>
      <c r="CR471" s="90"/>
      <c r="CS471" s="90"/>
      <c r="CT471" s="90"/>
      <c r="CU471" s="90"/>
      <c r="CV471" s="90"/>
      <c r="CW471" s="90"/>
    </row>
    <row r="472" ht="16.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  <c r="BR472" s="90"/>
      <c r="BS472" s="90"/>
      <c r="BT472" s="90"/>
      <c r="BU472" s="90"/>
      <c r="BV472" s="90"/>
      <c r="BW472" s="90"/>
      <c r="BX472" s="90"/>
      <c r="BY472" s="90"/>
      <c r="BZ472" s="90"/>
      <c r="CA472" s="90"/>
      <c r="CB472" s="90"/>
      <c r="CC472" s="90"/>
      <c r="CD472" s="90"/>
      <c r="CE472" s="90"/>
      <c r="CF472" s="90"/>
      <c r="CG472" s="90"/>
      <c r="CH472" s="90"/>
      <c r="CI472" s="90"/>
      <c r="CJ472" s="90"/>
      <c r="CK472" s="90"/>
      <c r="CL472" s="90"/>
      <c r="CM472" s="90"/>
      <c r="CN472" s="90"/>
      <c r="CO472" s="90"/>
      <c r="CP472" s="90"/>
      <c r="CQ472" s="90"/>
      <c r="CR472" s="90"/>
      <c r="CS472" s="90"/>
      <c r="CT472" s="90"/>
      <c r="CU472" s="90"/>
      <c r="CV472" s="90"/>
      <c r="CW472" s="90"/>
    </row>
    <row r="473" ht="16.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  <c r="BR473" s="90"/>
      <c r="BS473" s="90"/>
      <c r="BT473" s="90"/>
      <c r="BU473" s="90"/>
      <c r="BV473" s="90"/>
      <c r="BW473" s="90"/>
      <c r="BX473" s="90"/>
      <c r="BY473" s="90"/>
      <c r="BZ473" s="90"/>
      <c r="CA473" s="90"/>
      <c r="CB473" s="90"/>
      <c r="CC473" s="90"/>
      <c r="CD473" s="90"/>
      <c r="CE473" s="90"/>
      <c r="CF473" s="90"/>
      <c r="CG473" s="90"/>
      <c r="CH473" s="90"/>
      <c r="CI473" s="90"/>
      <c r="CJ473" s="90"/>
      <c r="CK473" s="90"/>
      <c r="CL473" s="90"/>
      <c r="CM473" s="90"/>
      <c r="CN473" s="90"/>
      <c r="CO473" s="90"/>
      <c r="CP473" s="90"/>
      <c r="CQ473" s="90"/>
      <c r="CR473" s="90"/>
      <c r="CS473" s="90"/>
      <c r="CT473" s="90"/>
      <c r="CU473" s="90"/>
      <c r="CV473" s="90"/>
      <c r="CW473" s="90"/>
    </row>
    <row r="474" ht="16.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0"/>
      <c r="BQ474" s="90"/>
      <c r="BR474" s="90"/>
      <c r="BS474" s="90"/>
      <c r="BT474" s="90"/>
      <c r="BU474" s="90"/>
      <c r="BV474" s="90"/>
      <c r="BW474" s="90"/>
      <c r="BX474" s="90"/>
      <c r="BY474" s="90"/>
      <c r="BZ474" s="90"/>
      <c r="CA474" s="90"/>
      <c r="CB474" s="90"/>
      <c r="CC474" s="90"/>
      <c r="CD474" s="90"/>
      <c r="CE474" s="90"/>
      <c r="CF474" s="90"/>
      <c r="CG474" s="90"/>
      <c r="CH474" s="90"/>
      <c r="CI474" s="90"/>
      <c r="CJ474" s="90"/>
      <c r="CK474" s="90"/>
      <c r="CL474" s="90"/>
      <c r="CM474" s="90"/>
      <c r="CN474" s="90"/>
      <c r="CO474" s="90"/>
      <c r="CP474" s="90"/>
      <c r="CQ474" s="90"/>
      <c r="CR474" s="90"/>
      <c r="CS474" s="90"/>
      <c r="CT474" s="90"/>
      <c r="CU474" s="90"/>
      <c r="CV474" s="90"/>
      <c r="CW474" s="90"/>
    </row>
    <row r="475" ht="16.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  <c r="BO475" s="90"/>
      <c r="BP475" s="90"/>
      <c r="BQ475" s="90"/>
      <c r="BR475" s="90"/>
      <c r="BS475" s="90"/>
      <c r="BT475" s="90"/>
      <c r="BU475" s="90"/>
      <c r="BV475" s="90"/>
      <c r="BW475" s="90"/>
      <c r="BX475" s="90"/>
      <c r="BY475" s="90"/>
      <c r="BZ475" s="90"/>
      <c r="CA475" s="90"/>
      <c r="CB475" s="90"/>
      <c r="CC475" s="90"/>
      <c r="CD475" s="90"/>
      <c r="CE475" s="90"/>
      <c r="CF475" s="90"/>
      <c r="CG475" s="90"/>
      <c r="CH475" s="90"/>
      <c r="CI475" s="90"/>
      <c r="CJ475" s="90"/>
      <c r="CK475" s="90"/>
      <c r="CL475" s="90"/>
      <c r="CM475" s="90"/>
      <c r="CN475" s="90"/>
      <c r="CO475" s="90"/>
      <c r="CP475" s="90"/>
      <c r="CQ475" s="90"/>
      <c r="CR475" s="90"/>
      <c r="CS475" s="90"/>
      <c r="CT475" s="90"/>
      <c r="CU475" s="90"/>
      <c r="CV475" s="90"/>
      <c r="CW475" s="90"/>
    </row>
    <row r="476" ht="16.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0"/>
      <c r="BQ476" s="90"/>
      <c r="BR476" s="90"/>
      <c r="BS476" s="90"/>
      <c r="BT476" s="90"/>
      <c r="BU476" s="90"/>
      <c r="BV476" s="90"/>
      <c r="BW476" s="90"/>
      <c r="BX476" s="90"/>
      <c r="BY476" s="90"/>
      <c r="BZ476" s="90"/>
      <c r="CA476" s="90"/>
      <c r="CB476" s="90"/>
      <c r="CC476" s="90"/>
      <c r="CD476" s="90"/>
      <c r="CE476" s="90"/>
      <c r="CF476" s="90"/>
      <c r="CG476" s="90"/>
      <c r="CH476" s="90"/>
      <c r="CI476" s="90"/>
      <c r="CJ476" s="90"/>
      <c r="CK476" s="90"/>
      <c r="CL476" s="90"/>
      <c r="CM476" s="90"/>
      <c r="CN476" s="90"/>
      <c r="CO476" s="90"/>
      <c r="CP476" s="90"/>
      <c r="CQ476" s="90"/>
      <c r="CR476" s="90"/>
      <c r="CS476" s="90"/>
      <c r="CT476" s="90"/>
      <c r="CU476" s="90"/>
      <c r="CV476" s="90"/>
      <c r="CW476" s="90"/>
    </row>
    <row r="477" ht="16.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  <c r="BO477" s="90"/>
      <c r="BP477" s="90"/>
      <c r="BQ477" s="90"/>
      <c r="BR477" s="90"/>
      <c r="BS477" s="90"/>
      <c r="BT477" s="90"/>
      <c r="BU477" s="90"/>
      <c r="BV477" s="90"/>
      <c r="BW477" s="90"/>
      <c r="BX477" s="90"/>
      <c r="BY477" s="90"/>
      <c r="BZ477" s="90"/>
      <c r="CA477" s="90"/>
      <c r="CB477" s="90"/>
      <c r="CC477" s="90"/>
      <c r="CD477" s="90"/>
      <c r="CE477" s="90"/>
      <c r="CF477" s="90"/>
      <c r="CG477" s="90"/>
      <c r="CH477" s="90"/>
      <c r="CI477" s="90"/>
      <c r="CJ477" s="90"/>
      <c r="CK477" s="90"/>
      <c r="CL477" s="90"/>
      <c r="CM477" s="90"/>
      <c r="CN477" s="90"/>
      <c r="CO477" s="90"/>
      <c r="CP477" s="90"/>
      <c r="CQ477" s="90"/>
      <c r="CR477" s="90"/>
      <c r="CS477" s="90"/>
      <c r="CT477" s="90"/>
      <c r="CU477" s="90"/>
      <c r="CV477" s="90"/>
      <c r="CW477" s="90"/>
    </row>
    <row r="478" ht="16.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0"/>
      <c r="BQ478" s="90"/>
      <c r="BR478" s="90"/>
      <c r="BS478" s="90"/>
      <c r="BT478" s="90"/>
      <c r="BU478" s="90"/>
      <c r="BV478" s="90"/>
      <c r="BW478" s="90"/>
      <c r="BX478" s="90"/>
      <c r="BY478" s="90"/>
      <c r="BZ478" s="90"/>
      <c r="CA478" s="90"/>
      <c r="CB478" s="90"/>
      <c r="CC478" s="90"/>
      <c r="CD478" s="90"/>
      <c r="CE478" s="90"/>
      <c r="CF478" s="90"/>
      <c r="CG478" s="90"/>
      <c r="CH478" s="90"/>
      <c r="CI478" s="90"/>
      <c r="CJ478" s="90"/>
      <c r="CK478" s="90"/>
      <c r="CL478" s="90"/>
      <c r="CM478" s="90"/>
      <c r="CN478" s="90"/>
      <c r="CO478" s="90"/>
      <c r="CP478" s="90"/>
      <c r="CQ478" s="90"/>
      <c r="CR478" s="90"/>
      <c r="CS478" s="90"/>
      <c r="CT478" s="90"/>
      <c r="CU478" s="90"/>
      <c r="CV478" s="90"/>
      <c r="CW478" s="90"/>
    </row>
    <row r="479" ht="16.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  <c r="BO479" s="90"/>
      <c r="BP479" s="90"/>
      <c r="BQ479" s="90"/>
      <c r="BR479" s="90"/>
      <c r="BS479" s="90"/>
      <c r="BT479" s="90"/>
      <c r="BU479" s="90"/>
      <c r="BV479" s="90"/>
      <c r="BW479" s="90"/>
      <c r="BX479" s="90"/>
      <c r="BY479" s="90"/>
      <c r="BZ479" s="90"/>
      <c r="CA479" s="90"/>
      <c r="CB479" s="90"/>
      <c r="CC479" s="90"/>
      <c r="CD479" s="90"/>
      <c r="CE479" s="90"/>
      <c r="CF479" s="90"/>
      <c r="CG479" s="90"/>
      <c r="CH479" s="90"/>
      <c r="CI479" s="90"/>
      <c r="CJ479" s="90"/>
      <c r="CK479" s="90"/>
      <c r="CL479" s="90"/>
      <c r="CM479" s="90"/>
      <c r="CN479" s="90"/>
      <c r="CO479" s="90"/>
      <c r="CP479" s="90"/>
      <c r="CQ479" s="90"/>
      <c r="CR479" s="90"/>
      <c r="CS479" s="90"/>
      <c r="CT479" s="90"/>
      <c r="CU479" s="90"/>
      <c r="CV479" s="90"/>
      <c r="CW479" s="90"/>
    </row>
    <row r="480" ht="16.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0"/>
      <c r="BQ480" s="90"/>
      <c r="BR480" s="90"/>
      <c r="BS480" s="90"/>
      <c r="BT480" s="90"/>
      <c r="BU480" s="90"/>
      <c r="BV480" s="90"/>
      <c r="BW480" s="90"/>
      <c r="BX480" s="90"/>
      <c r="BY480" s="90"/>
      <c r="BZ480" s="90"/>
      <c r="CA480" s="90"/>
      <c r="CB480" s="90"/>
      <c r="CC480" s="90"/>
      <c r="CD480" s="90"/>
      <c r="CE480" s="90"/>
      <c r="CF480" s="90"/>
      <c r="CG480" s="90"/>
      <c r="CH480" s="90"/>
      <c r="CI480" s="90"/>
      <c r="CJ480" s="90"/>
      <c r="CK480" s="90"/>
      <c r="CL480" s="90"/>
      <c r="CM480" s="90"/>
      <c r="CN480" s="90"/>
      <c r="CO480" s="90"/>
      <c r="CP480" s="90"/>
      <c r="CQ480" s="90"/>
      <c r="CR480" s="90"/>
      <c r="CS480" s="90"/>
      <c r="CT480" s="90"/>
      <c r="CU480" s="90"/>
      <c r="CV480" s="90"/>
      <c r="CW480" s="90"/>
    </row>
    <row r="481" ht="16.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  <c r="BO481" s="90"/>
      <c r="BP481" s="90"/>
      <c r="BQ481" s="90"/>
      <c r="BR481" s="90"/>
      <c r="BS481" s="90"/>
      <c r="BT481" s="90"/>
      <c r="BU481" s="90"/>
      <c r="BV481" s="90"/>
      <c r="BW481" s="90"/>
      <c r="BX481" s="90"/>
      <c r="BY481" s="90"/>
      <c r="BZ481" s="90"/>
      <c r="CA481" s="90"/>
      <c r="CB481" s="90"/>
      <c r="CC481" s="90"/>
      <c r="CD481" s="90"/>
      <c r="CE481" s="90"/>
      <c r="CF481" s="90"/>
      <c r="CG481" s="90"/>
      <c r="CH481" s="90"/>
      <c r="CI481" s="90"/>
      <c r="CJ481" s="90"/>
      <c r="CK481" s="90"/>
      <c r="CL481" s="90"/>
      <c r="CM481" s="90"/>
      <c r="CN481" s="90"/>
      <c r="CO481" s="90"/>
      <c r="CP481" s="90"/>
      <c r="CQ481" s="90"/>
      <c r="CR481" s="90"/>
      <c r="CS481" s="90"/>
      <c r="CT481" s="90"/>
      <c r="CU481" s="90"/>
      <c r="CV481" s="90"/>
      <c r="CW481" s="90"/>
    </row>
    <row r="482" ht="16.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0"/>
      <c r="BQ482" s="90"/>
      <c r="BR482" s="90"/>
      <c r="BS482" s="90"/>
      <c r="BT482" s="90"/>
      <c r="BU482" s="90"/>
      <c r="BV482" s="90"/>
      <c r="BW482" s="90"/>
      <c r="BX482" s="90"/>
      <c r="BY482" s="90"/>
      <c r="BZ482" s="90"/>
      <c r="CA482" s="90"/>
      <c r="CB482" s="90"/>
      <c r="CC482" s="90"/>
      <c r="CD482" s="90"/>
      <c r="CE482" s="90"/>
      <c r="CF482" s="90"/>
      <c r="CG482" s="90"/>
      <c r="CH482" s="90"/>
      <c r="CI482" s="90"/>
      <c r="CJ482" s="90"/>
      <c r="CK482" s="90"/>
      <c r="CL482" s="90"/>
      <c r="CM482" s="90"/>
      <c r="CN482" s="90"/>
      <c r="CO482" s="90"/>
      <c r="CP482" s="90"/>
      <c r="CQ482" s="90"/>
      <c r="CR482" s="90"/>
      <c r="CS482" s="90"/>
      <c r="CT482" s="90"/>
      <c r="CU482" s="90"/>
      <c r="CV482" s="90"/>
      <c r="CW482" s="90"/>
    </row>
    <row r="483" ht="16.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  <c r="BO483" s="90"/>
      <c r="BP483" s="90"/>
      <c r="BQ483" s="90"/>
      <c r="BR483" s="90"/>
      <c r="BS483" s="90"/>
      <c r="BT483" s="90"/>
      <c r="BU483" s="90"/>
      <c r="BV483" s="90"/>
      <c r="BW483" s="90"/>
      <c r="BX483" s="90"/>
      <c r="BY483" s="90"/>
      <c r="BZ483" s="90"/>
      <c r="CA483" s="90"/>
      <c r="CB483" s="90"/>
      <c r="CC483" s="90"/>
      <c r="CD483" s="90"/>
      <c r="CE483" s="90"/>
      <c r="CF483" s="90"/>
      <c r="CG483" s="90"/>
      <c r="CH483" s="90"/>
      <c r="CI483" s="90"/>
      <c r="CJ483" s="90"/>
      <c r="CK483" s="90"/>
      <c r="CL483" s="90"/>
      <c r="CM483" s="90"/>
      <c r="CN483" s="90"/>
      <c r="CO483" s="90"/>
      <c r="CP483" s="90"/>
      <c r="CQ483" s="90"/>
      <c r="CR483" s="90"/>
      <c r="CS483" s="90"/>
      <c r="CT483" s="90"/>
      <c r="CU483" s="90"/>
      <c r="CV483" s="90"/>
      <c r="CW483" s="90"/>
    </row>
    <row r="484" ht="16.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0"/>
      <c r="BQ484" s="90"/>
      <c r="BR484" s="90"/>
      <c r="BS484" s="90"/>
      <c r="BT484" s="90"/>
      <c r="BU484" s="90"/>
      <c r="BV484" s="90"/>
      <c r="BW484" s="90"/>
      <c r="BX484" s="90"/>
      <c r="BY484" s="90"/>
      <c r="BZ484" s="90"/>
      <c r="CA484" s="90"/>
      <c r="CB484" s="90"/>
      <c r="CC484" s="90"/>
      <c r="CD484" s="90"/>
      <c r="CE484" s="90"/>
      <c r="CF484" s="90"/>
      <c r="CG484" s="90"/>
      <c r="CH484" s="90"/>
      <c r="CI484" s="90"/>
      <c r="CJ484" s="90"/>
      <c r="CK484" s="90"/>
      <c r="CL484" s="90"/>
      <c r="CM484" s="90"/>
      <c r="CN484" s="90"/>
      <c r="CO484" s="90"/>
      <c r="CP484" s="90"/>
      <c r="CQ484" s="90"/>
      <c r="CR484" s="90"/>
      <c r="CS484" s="90"/>
      <c r="CT484" s="90"/>
      <c r="CU484" s="90"/>
      <c r="CV484" s="90"/>
      <c r="CW484" s="90"/>
    </row>
    <row r="485" ht="16.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  <c r="BO485" s="90"/>
      <c r="BP485" s="90"/>
      <c r="BQ485" s="90"/>
      <c r="BR485" s="90"/>
      <c r="BS485" s="90"/>
      <c r="BT485" s="90"/>
      <c r="BU485" s="90"/>
      <c r="BV485" s="90"/>
      <c r="BW485" s="90"/>
      <c r="BX485" s="90"/>
      <c r="BY485" s="90"/>
      <c r="BZ485" s="90"/>
      <c r="CA485" s="90"/>
      <c r="CB485" s="90"/>
      <c r="CC485" s="90"/>
      <c r="CD485" s="90"/>
      <c r="CE485" s="90"/>
      <c r="CF485" s="90"/>
      <c r="CG485" s="90"/>
      <c r="CH485" s="90"/>
      <c r="CI485" s="90"/>
      <c r="CJ485" s="90"/>
      <c r="CK485" s="90"/>
      <c r="CL485" s="90"/>
      <c r="CM485" s="90"/>
      <c r="CN485" s="90"/>
      <c r="CO485" s="90"/>
      <c r="CP485" s="90"/>
      <c r="CQ485" s="90"/>
      <c r="CR485" s="90"/>
      <c r="CS485" s="90"/>
      <c r="CT485" s="90"/>
      <c r="CU485" s="90"/>
      <c r="CV485" s="90"/>
      <c r="CW485" s="90"/>
    </row>
    <row r="486" ht="16.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0"/>
      <c r="BQ486" s="90"/>
      <c r="BR486" s="90"/>
      <c r="BS486" s="90"/>
      <c r="BT486" s="90"/>
      <c r="BU486" s="90"/>
      <c r="BV486" s="90"/>
      <c r="BW486" s="90"/>
      <c r="BX486" s="90"/>
      <c r="BY486" s="90"/>
      <c r="BZ486" s="90"/>
      <c r="CA486" s="90"/>
      <c r="CB486" s="90"/>
      <c r="CC486" s="90"/>
      <c r="CD486" s="90"/>
      <c r="CE486" s="90"/>
      <c r="CF486" s="90"/>
      <c r="CG486" s="90"/>
      <c r="CH486" s="90"/>
      <c r="CI486" s="90"/>
      <c r="CJ486" s="90"/>
      <c r="CK486" s="90"/>
      <c r="CL486" s="90"/>
      <c r="CM486" s="90"/>
      <c r="CN486" s="90"/>
      <c r="CO486" s="90"/>
      <c r="CP486" s="90"/>
      <c r="CQ486" s="90"/>
      <c r="CR486" s="90"/>
      <c r="CS486" s="90"/>
      <c r="CT486" s="90"/>
      <c r="CU486" s="90"/>
      <c r="CV486" s="90"/>
      <c r="CW486" s="90"/>
    </row>
    <row r="487" ht="16.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  <c r="BO487" s="90"/>
      <c r="BP487" s="90"/>
      <c r="BQ487" s="90"/>
      <c r="BR487" s="90"/>
      <c r="BS487" s="90"/>
      <c r="BT487" s="90"/>
      <c r="BU487" s="90"/>
      <c r="BV487" s="90"/>
      <c r="BW487" s="90"/>
      <c r="BX487" s="90"/>
      <c r="BY487" s="90"/>
      <c r="BZ487" s="90"/>
      <c r="CA487" s="90"/>
      <c r="CB487" s="90"/>
      <c r="CC487" s="90"/>
      <c r="CD487" s="90"/>
      <c r="CE487" s="90"/>
      <c r="CF487" s="90"/>
      <c r="CG487" s="90"/>
      <c r="CH487" s="90"/>
      <c r="CI487" s="90"/>
      <c r="CJ487" s="90"/>
      <c r="CK487" s="90"/>
      <c r="CL487" s="90"/>
      <c r="CM487" s="90"/>
      <c r="CN487" s="90"/>
      <c r="CO487" s="90"/>
      <c r="CP487" s="90"/>
      <c r="CQ487" s="90"/>
      <c r="CR487" s="90"/>
      <c r="CS487" s="90"/>
      <c r="CT487" s="90"/>
      <c r="CU487" s="90"/>
      <c r="CV487" s="90"/>
      <c r="CW487" s="90"/>
    </row>
    <row r="488" ht="16.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0"/>
      <c r="BQ488" s="90"/>
      <c r="BR488" s="90"/>
      <c r="BS488" s="90"/>
      <c r="BT488" s="90"/>
      <c r="BU488" s="90"/>
      <c r="BV488" s="90"/>
      <c r="BW488" s="90"/>
      <c r="BX488" s="90"/>
      <c r="BY488" s="90"/>
      <c r="BZ488" s="90"/>
      <c r="CA488" s="90"/>
      <c r="CB488" s="90"/>
      <c r="CC488" s="90"/>
      <c r="CD488" s="90"/>
      <c r="CE488" s="90"/>
      <c r="CF488" s="90"/>
      <c r="CG488" s="90"/>
      <c r="CH488" s="90"/>
      <c r="CI488" s="90"/>
      <c r="CJ488" s="90"/>
      <c r="CK488" s="90"/>
      <c r="CL488" s="90"/>
      <c r="CM488" s="90"/>
      <c r="CN488" s="90"/>
      <c r="CO488" s="90"/>
      <c r="CP488" s="90"/>
      <c r="CQ488" s="90"/>
      <c r="CR488" s="90"/>
      <c r="CS488" s="90"/>
      <c r="CT488" s="90"/>
      <c r="CU488" s="90"/>
      <c r="CV488" s="90"/>
      <c r="CW488" s="90"/>
    </row>
    <row r="489" ht="16.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  <c r="BO489" s="90"/>
      <c r="BP489" s="90"/>
      <c r="BQ489" s="90"/>
      <c r="BR489" s="90"/>
      <c r="BS489" s="90"/>
      <c r="BT489" s="90"/>
      <c r="BU489" s="90"/>
      <c r="BV489" s="90"/>
      <c r="BW489" s="90"/>
      <c r="BX489" s="90"/>
      <c r="BY489" s="90"/>
      <c r="BZ489" s="90"/>
      <c r="CA489" s="90"/>
      <c r="CB489" s="90"/>
      <c r="CC489" s="90"/>
      <c r="CD489" s="90"/>
      <c r="CE489" s="90"/>
      <c r="CF489" s="90"/>
      <c r="CG489" s="90"/>
      <c r="CH489" s="90"/>
      <c r="CI489" s="90"/>
      <c r="CJ489" s="90"/>
      <c r="CK489" s="90"/>
      <c r="CL489" s="90"/>
      <c r="CM489" s="90"/>
      <c r="CN489" s="90"/>
      <c r="CO489" s="90"/>
      <c r="CP489" s="90"/>
      <c r="CQ489" s="90"/>
      <c r="CR489" s="90"/>
      <c r="CS489" s="90"/>
      <c r="CT489" s="90"/>
      <c r="CU489" s="90"/>
      <c r="CV489" s="90"/>
      <c r="CW489" s="90"/>
    </row>
    <row r="490" ht="16.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0"/>
      <c r="BQ490" s="90"/>
      <c r="BR490" s="90"/>
      <c r="BS490" s="90"/>
      <c r="BT490" s="90"/>
      <c r="BU490" s="90"/>
      <c r="BV490" s="90"/>
      <c r="BW490" s="90"/>
      <c r="BX490" s="90"/>
      <c r="BY490" s="90"/>
      <c r="BZ490" s="90"/>
      <c r="CA490" s="90"/>
      <c r="CB490" s="90"/>
      <c r="CC490" s="90"/>
      <c r="CD490" s="90"/>
      <c r="CE490" s="90"/>
      <c r="CF490" s="90"/>
      <c r="CG490" s="90"/>
      <c r="CH490" s="90"/>
      <c r="CI490" s="90"/>
      <c r="CJ490" s="90"/>
      <c r="CK490" s="90"/>
      <c r="CL490" s="90"/>
      <c r="CM490" s="90"/>
      <c r="CN490" s="90"/>
      <c r="CO490" s="90"/>
      <c r="CP490" s="90"/>
      <c r="CQ490" s="90"/>
      <c r="CR490" s="90"/>
      <c r="CS490" s="90"/>
      <c r="CT490" s="90"/>
      <c r="CU490" s="90"/>
      <c r="CV490" s="90"/>
      <c r="CW490" s="90"/>
    </row>
    <row r="491" ht="16.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  <c r="BO491" s="90"/>
      <c r="BP491" s="90"/>
      <c r="BQ491" s="90"/>
      <c r="BR491" s="90"/>
      <c r="BS491" s="90"/>
      <c r="BT491" s="90"/>
      <c r="BU491" s="90"/>
      <c r="BV491" s="90"/>
      <c r="BW491" s="90"/>
      <c r="BX491" s="90"/>
      <c r="BY491" s="90"/>
      <c r="BZ491" s="90"/>
      <c r="CA491" s="90"/>
      <c r="CB491" s="90"/>
      <c r="CC491" s="90"/>
      <c r="CD491" s="90"/>
      <c r="CE491" s="90"/>
      <c r="CF491" s="90"/>
      <c r="CG491" s="90"/>
      <c r="CH491" s="90"/>
      <c r="CI491" s="90"/>
      <c r="CJ491" s="90"/>
      <c r="CK491" s="90"/>
      <c r="CL491" s="90"/>
      <c r="CM491" s="90"/>
      <c r="CN491" s="90"/>
      <c r="CO491" s="90"/>
      <c r="CP491" s="90"/>
      <c r="CQ491" s="90"/>
      <c r="CR491" s="90"/>
      <c r="CS491" s="90"/>
      <c r="CT491" s="90"/>
      <c r="CU491" s="90"/>
      <c r="CV491" s="90"/>
      <c r="CW491" s="90"/>
    </row>
    <row r="492" ht="16.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0"/>
      <c r="BQ492" s="90"/>
      <c r="BR492" s="90"/>
      <c r="BS492" s="90"/>
      <c r="BT492" s="90"/>
      <c r="BU492" s="90"/>
      <c r="BV492" s="90"/>
      <c r="BW492" s="90"/>
      <c r="BX492" s="90"/>
      <c r="BY492" s="90"/>
      <c r="BZ492" s="90"/>
      <c r="CA492" s="90"/>
      <c r="CB492" s="90"/>
      <c r="CC492" s="90"/>
      <c r="CD492" s="90"/>
      <c r="CE492" s="90"/>
      <c r="CF492" s="90"/>
      <c r="CG492" s="90"/>
      <c r="CH492" s="90"/>
      <c r="CI492" s="90"/>
      <c r="CJ492" s="90"/>
      <c r="CK492" s="90"/>
      <c r="CL492" s="90"/>
      <c r="CM492" s="90"/>
      <c r="CN492" s="90"/>
      <c r="CO492" s="90"/>
      <c r="CP492" s="90"/>
      <c r="CQ492" s="90"/>
      <c r="CR492" s="90"/>
      <c r="CS492" s="90"/>
      <c r="CT492" s="90"/>
      <c r="CU492" s="90"/>
      <c r="CV492" s="90"/>
      <c r="CW492" s="90"/>
    </row>
    <row r="493" ht="16.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  <c r="BO493" s="90"/>
      <c r="BP493" s="90"/>
      <c r="BQ493" s="90"/>
      <c r="BR493" s="90"/>
      <c r="BS493" s="90"/>
      <c r="BT493" s="90"/>
      <c r="BU493" s="90"/>
      <c r="BV493" s="90"/>
      <c r="BW493" s="90"/>
      <c r="BX493" s="90"/>
      <c r="BY493" s="90"/>
      <c r="BZ493" s="90"/>
      <c r="CA493" s="90"/>
      <c r="CB493" s="90"/>
      <c r="CC493" s="90"/>
      <c r="CD493" s="90"/>
      <c r="CE493" s="90"/>
      <c r="CF493" s="90"/>
      <c r="CG493" s="90"/>
      <c r="CH493" s="90"/>
      <c r="CI493" s="90"/>
      <c r="CJ493" s="90"/>
      <c r="CK493" s="90"/>
      <c r="CL493" s="90"/>
      <c r="CM493" s="90"/>
      <c r="CN493" s="90"/>
      <c r="CO493" s="90"/>
      <c r="CP493" s="90"/>
      <c r="CQ493" s="90"/>
      <c r="CR493" s="90"/>
      <c r="CS493" s="90"/>
      <c r="CT493" s="90"/>
      <c r="CU493" s="90"/>
      <c r="CV493" s="90"/>
      <c r="CW493" s="90"/>
    </row>
    <row r="494" ht="16.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0"/>
      <c r="BQ494" s="90"/>
      <c r="BR494" s="90"/>
      <c r="BS494" s="90"/>
      <c r="BT494" s="90"/>
      <c r="BU494" s="90"/>
      <c r="BV494" s="90"/>
      <c r="BW494" s="90"/>
      <c r="BX494" s="90"/>
      <c r="BY494" s="90"/>
      <c r="BZ494" s="90"/>
      <c r="CA494" s="90"/>
      <c r="CB494" s="90"/>
      <c r="CC494" s="90"/>
      <c r="CD494" s="90"/>
      <c r="CE494" s="90"/>
      <c r="CF494" s="90"/>
      <c r="CG494" s="90"/>
      <c r="CH494" s="90"/>
      <c r="CI494" s="90"/>
      <c r="CJ494" s="90"/>
      <c r="CK494" s="90"/>
      <c r="CL494" s="90"/>
      <c r="CM494" s="90"/>
      <c r="CN494" s="90"/>
      <c r="CO494" s="90"/>
      <c r="CP494" s="90"/>
      <c r="CQ494" s="90"/>
      <c r="CR494" s="90"/>
      <c r="CS494" s="90"/>
      <c r="CT494" s="90"/>
      <c r="CU494" s="90"/>
      <c r="CV494" s="90"/>
      <c r="CW494" s="90"/>
    </row>
    <row r="495" ht="16.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  <c r="BO495" s="90"/>
      <c r="BP495" s="90"/>
      <c r="BQ495" s="90"/>
      <c r="BR495" s="90"/>
      <c r="BS495" s="90"/>
      <c r="BT495" s="90"/>
      <c r="BU495" s="90"/>
      <c r="BV495" s="90"/>
      <c r="BW495" s="90"/>
      <c r="BX495" s="90"/>
      <c r="BY495" s="90"/>
      <c r="BZ495" s="90"/>
      <c r="CA495" s="90"/>
      <c r="CB495" s="90"/>
      <c r="CC495" s="90"/>
      <c r="CD495" s="90"/>
      <c r="CE495" s="90"/>
      <c r="CF495" s="90"/>
      <c r="CG495" s="90"/>
      <c r="CH495" s="90"/>
      <c r="CI495" s="90"/>
      <c r="CJ495" s="90"/>
      <c r="CK495" s="90"/>
      <c r="CL495" s="90"/>
      <c r="CM495" s="90"/>
      <c r="CN495" s="90"/>
      <c r="CO495" s="90"/>
      <c r="CP495" s="90"/>
      <c r="CQ495" s="90"/>
      <c r="CR495" s="90"/>
      <c r="CS495" s="90"/>
      <c r="CT495" s="90"/>
      <c r="CU495" s="90"/>
      <c r="CV495" s="90"/>
      <c r="CW495" s="90"/>
    </row>
    <row r="496" ht="16.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0"/>
      <c r="BQ496" s="90"/>
      <c r="BR496" s="90"/>
      <c r="BS496" s="90"/>
      <c r="BT496" s="90"/>
      <c r="BU496" s="90"/>
      <c r="BV496" s="90"/>
      <c r="BW496" s="90"/>
      <c r="BX496" s="90"/>
      <c r="BY496" s="90"/>
      <c r="BZ496" s="90"/>
      <c r="CA496" s="90"/>
      <c r="CB496" s="90"/>
      <c r="CC496" s="90"/>
      <c r="CD496" s="90"/>
      <c r="CE496" s="90"/>
      <c r="CF496" s="90"/>
      <c r="CG496" s="90"/>
      <c r="CH496" s="90"/>
      <c r="CI496" s="90"/>
      <c r="CJ496" s="90"/>
      <c r="CK496" s="90"/>
      <c r="CL496" s="90"/>
      <c r="CM496" s="90"/>
      <c r="CN496" s="90"/>
      <c r="CO496" s="90"/>
      <c r="CP496" s="90"/>
      <c r="CQ496" s="90"/>
      <c r="CR496" s="90"/>
      <c r="CS496" s="90"/>
      <c r="CT496" s="90"/>
      <c r="CU496" s="90"/>
      <c r="CV496" s="90"/>
      <c r="CW496" s="90"/>
    </row>
    <row r="497" ht="16.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  <c r="BO497" s="90"/>
      <c r="BP497" s="90"/>
      <c r="BQ497" s="90"/>
      <c r="BR497" s="90"/>
      <c r="BS497" s="90"/>
      <c r="BT497" s="90"/>
      <c r="BU497" s="90"/>
      <c r="BV497" s="90"/>
      <c r="BW497" s="90"/>
      <c r="BX497" s="90"/>
      <c r="BY497" s="90"/>
      <c r="BZ497" s="90"/>
      <c r="CA497" s="90"/>
      <c r="CB497" s="90"/>
      <c r="CC497" s="90"/>
      <c r="CD497" s="90"/>
      <c r="CE497" s="90"/>
      <c r="CF497" s="90"/>
      <c r="CG497" s="90"/>
      <c r="CH497" s="90"/>
      <c r="CI497" s="90"/>
      <c r="CJ497" s="90"/>
      <c r="CK497" s="90"/>
      <c r="CL497" s="90"/>
      <c r="CM497" s="90"/>
      <c r="CN497" s="90"/>
      <c r="CO497" s="90"/>
      <c r="CP497" s="90"/>
      <c r="CQ497" s="90"/>
      <c r="CR497" s="90"/>
      <c r="CS497" s="90"/>
      <c r="CT497" s="90"/>
      <c r="CU497" s="90"/>
      <c r="CV497" s="90"/>
      <c r="CW497" s="90"/>
    </row>
    <row r="498" ht="16.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0"/>
      <c r="BQ498" s="90"/>
      <c r="BR498" s="90"/>
      <c r="BS498" s="90"/>
      <c r="BT498" s="90"/>
      <c r="BU498" s="90"/>
      <c r="BV498" s="90"/>
      <c r="BW498" s="90"/>
      <c r="BX498" s="90"/>
      <c r="BY498" s="90"/>
      <c r="BZ498" s="90"/>
      <c r="CA498" s="90"/>
      <c r="CB498" s="90"/>
      <c r="CC498" s="90"/>
      <c r="CD498" s="90"/>
      <c r="CE498" s="90"/>
      <c r="CF498" s="90"/>
      <c r="CG498" s="90"/>
      <c r="CH498" s="90"/>
      <c r="CI498" s="90"/>
      <c r="CJ498" s="90"/>
      <c r="CK498" s="90"/>
      <c r="CL498" s="90"/>
      <c r="CM498" s="90"/>
      <c r="CN498" s="90"/>
      <c r="CO498" s="90"/>
      <c r="CP498" s="90"/>
      <c r="CQ498" s="90"/>
      <c r="CR498" s="90"/>
      <c r="CS498" s="90"/>
      <c r="CT498" s="90"/>
      <c r="CU498" s="90"/>
      <c r="CV498" s="90"/>
      <c r="CW498" s="90"/>
    </row>
    <row r="499" ht="16.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  <c r="BO499" s="90"/>
      <c r="BP499" s="90"/>
      <c r="BQ499" s="90"/>
      <c r="BR499" s="90"/>
      <c r="BS499" s="90"/>
      <c r="BT499" s="90"/>
      <c r="BU499" s="90"/>
      <c r="BV499" s="90"/>
      <c r="BW499" s="90"/>
      <c r="BX499" s="90"/>
      <c r="BY499" s="90"/>
      <c r="BZ499" s="90"/>
      <c r="CA499" s="90"/>
      <c r="CB499" s="90"/>
      <c r="CC499" s="90"/>
      <c r="CD499" s="90"/>
      <c r="CE499" s="90"/>
      <c r="CF499" s="90"/>
      <c r="CG499" s="90"/>
      <c r="CH499" s="90"/>
      <c r="CI499" s="90"/>
      <c r="CJ499" s="90"/>
      <c r="CK499" s="90"/>
      <c r="CL499" s="90"/>
      <c r="CM499" s="90"/>
      <c r="CN499" s="90"/>
      <c r="CO499" s="90"/>
      <c r="CP499" s="90"/>
      <c r="CQ499" s="90"/>
      <c r="CR499" s="90"/>
      <c r="CS499" s="90"/>
      <c r="CT499" s="90"/>
      <c r="CU499" s="90"/>
      <c r="CV499" s="90"/>
      <c r="CW499" s="90"/>
    </row>
    <row r="500" ht="16.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0"/>
      <c r="BQ500" s="90"/>
      <c r="BR500" s="90"/>
      <c r="BS500" s="90"/>
      <c r="BT500" s="90"/>
      <c r="BU500" s="90"/>
      <c r="BV500" s="90"/>
      <c r="BW500" s="90"/>
      <c r="BX500" s="90"/>
      <c r="BY500" s="90"/>
      <c r="BZ500" s="90"/>
      <c r="CA500" s="90"/>
      <c r="CB500" s="90"/>
      <c r="CC500" s="90"/>
      <c r="CD500" s="90"/>
      <c r="CE500" s="90"/>
      <c r="CF500" s="90"/>
      <c r="CG500" s="90"/>
      <c r="CH500" s="90"/>
      <c r="CI500" s="90"/>
      <c r="CJ500" s="90"/>
      <c r="CK500" s="90"/>
      <c r="CL500" s="90"/>
      <c r="CM500" s="90"/>
      <c r="CN500" s="90"/>
      <c r="CO500" s="90"/>
      <c r="CP500" s="90"/>
      <c r="CQ500" s="90"/>
      <c r="CR500" s="90"/>
      <c r="CS500" s="90"/>
      <c r="CT500" s="90"/>
      <c r="CU500" s="90"/>
      <c r="CV500" s="90"/>
      <c r="CW500" s="90"/>
    </row>
    <row r="501" ht="16.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  <c r="BO501" s="90"/>
      <c r="BP501" s="90"/>
      <c r="BQ501" s="90"/>
      <c r="BR501" s="90"/>
      <c r="BS501" s="90"/>
      <c r="BT501" s="90"/>
      <c r="BU501" s="90"/>
      <c r="BV501" s="90"/>
      <c r="BW501" s="90"/>
      <c r="BX501" s="90"/>
      <c r="BY501" s="90"/>
      <c r="BZ501" s="90"/>
      <c r="CA501" s="90"/>
      <c r="CB501" s="90"/>
      <c r="CC501" s="90"/>
      <c r="CD501" s="90"/>
      <c r="CE501" s="90"/>
      <c r="CF501" s="90"/>
      <c r="CG501" s="90"/>
      <c r="CH501" s="90"/>
      <c r="CI501" s="90"/>
      <c r="CJ501" s="90"/>
      <c r="CK501" s="90"/>
      <c r="CL501" s="90"/>
      <c r="CM501" s="90"/>
      <c r="CN501" s="90"/>
      <c r="CO501" s="90"/>
      <c r="CP501" s="90"/>
      <c r="CQ501" s="90"/>
      <c r="CR501" s="90"/>
      <c r="CS501" s="90"/>
      <c r="CT501" s="90"/>
      <c r="CU501" s="90"/>
      <c r="CV501" s="90"/>
      <c r="CW501" s="90"/>
    </row>
    <row r="502" ht="16.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0"/>
      <c r="BQ502" s="90"/>
      <c r="BR502" s="90"/>
      <c r="BS502" s="90"/>
      <c r="BT502" s="90"/>
      <c r="BU502" s="90"/>
      <c r="BV502" s="90"/>
      <c r="BW502" s="90"/>
      <c r="BX502" s="90"/>
      <c r="BY502" s="90"/>
      <c r="BZ502" s="90"/>
      <c r="CA502" s="90"/>
      <c r="CB502" s="90"/>
      <c r="CC502" s="90"/>
      <c r="CD502" s="90"/>
      <c r="CE502" s="90"/>
      <c r="CF502" s="90"/>
      <c r="CG502" s="90"/>
      <c r="CH502" s="90"/>
      <c r="CI502" s="90"/>
      <c r="CJ502" s="90"/>
      <c r="CK502" s="90"/>
      <c r="CL502" s="90"/>
      <c r="CM502" s="90"/>
      <c r="CN502" s="90"/>
      <c r="CO502" s="90"/>
      <c r="CP502" s="90"/>
      <c r="CQ502" s="90"/>
      <c r="CR502" s="90"/>
      <c r="CS502" s="90"/>
      <c r="CT502" s="90"/>
      <c r="CU502" s="90"/>
      <c r="CV502" s="90"/>
      <c r="CW502" s="90"/>
    </row>
    <row r="503" ht="16.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  <c r="BO503" s="90"/>
      <c r="BP503" s="90"/>
      <c r="BQ503" s="90"/>
      <c r="BR503" s="90"/>
      <c r="BS503" s="90"/>
      <c r="BT503" s="90"/>
      <c r="BU503" s="90"/>
      <c r="BV503" s="90"/>
      <c r="BW503" s="90"/>
      <c r="BX503" s="90"/>
      <c r="BY503" s="90"/>
      <c r="BZ503" s="90"/>
      <c r="CA503" s="90"/>
      <c r="CB503" s="90"/>
      <c r="CC503" s="90"/>
      <c r="CD503" s="90"/>
      <c r="CE503" s="90"/>
      <c r="CF503" s="90"/>
      <c r="CG503" s="90"/>
      <c r="CH503" s="90"/>
      <c r="CI503" s="90"/>
      <c r="CJ503" s="90"/>
      <c r="CK503" s="90"/>
      <c r="CL503" s="90"/>
      <c r="CM503" s="90"/>
      <c r="CN503" s="90"/>
      <c r="CO503" s="90"/>
      <c r="CP503" s="90"/>
      <c r="CQ503" s="90"/>
      <c r="CR503" s="90"/>
      <c r="CS503" s="90"/>
      <c r="CT503" s="90"/>
      <c r="CU503" s="90"/>
      <c r="CV503" s="90"/>
      <c r="CW503" s="90"/>
    </row>
    <row r="504" ht="16.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0"/>
      <c r="BQ504" s="90"/>
      <c r="BR504" s="90"/>
      <c r="BS504" s="90"/>
      <c r="BT504" s="90"/>
      <c r="BU504" s="90"/>
      <c r="BV504" s="90"/>
      <c r="BW504" s="90"/>
      <c r="BX504" s="90"/>
      <c r="BY504" s="90"/>
      <c r="BZ504" s="90"/>
      <c r="CA504" s="90"/>
      <c r="CB504" s="90"/>
      <c r="CC504" s="90"/>
      <c r="CD504" s="90"/>
      <c r="CE504" s="90"/>
      <c r="CF504" s="90"/>
      <c r="CG504" s="90"/>
      <c r="CH504" s="90"/>
      <c r="CI504" s="90"/>
      <c r="CJ504" s="90"/>
      <c r="CK504" s="90"/>
      <c r="CL504" s="90"/>
      <c r="CM504" s="90"/>
      <c r="CN504" s="90"/>
      <c r="CO504" s="90"/>
      <c r="CP504" s="90"/>
      <c r="CQ504" s="90"/>
      <c r="CR504" s="90"/>
      <c r="CS504" s="90"/>
      <c r="CT504" s="90"/>
      <c r="CU504" s="90"/>
      <c r="CV504" s="90"/>
      <c r="CW504" s="90"/>
    </row>
    <row r="505" ht="16.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  <c r="BO505" s="90"/>
      <c r="BP505" s="90"/>
      <c r="BQ505" s="90"/>
      <c r="BR505" s="90"/>
      <c r="BS505" s="90"/>
      <c r="BT505" s="90"/>
      <c r="BU505" s="90"/>
      <c r="BV505" s="90"/>
      <c r="BW505" s="90"/>
      <c r="BX505" s="90"/>
      <c r="BY505" s="90"/>
      <c r="BZ505" s="90"/>
      <c r="CA505" s="90"/>
      <c r="CB505" s="90"/>
      <c r="CC505" s="90"/>
      <c r="CD505" s="90"/>
      <c r="CE505" s="90"/>
      <c r="CF505" s="90"/>
      <c r="CG505" s="90"/>
      <c r="CH505" s="90"/>
      <c r="CI505" s="90"/>
      <c r="CJ505" s="90"/>
      <c r="CK505" s="90"/>
      <c r="CL505" s="90"/>
      <c r="CM505" s="90"/>
      <c r="CN505" s="90"/>
      <c r="CO505" s="90"/>
      <c r="CP505" s="90"/>
      <c r="CQ505" s="90"/>
      <c r="CR505" s="90"/>
      <c r="CS505" s="90"/>
      <c r="CT505" s="90"/>
      <c r="CU505" s="90"/>
      <c r="CV505" s="90"/>
      <c r="CW505" s="90"/>
    </row>
    <row r="506" ht="16.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0"/>
      <c r="BQ506" s="90"/>
      <c r="BR506" s="90"/>
      <c r="BS506" s="90"/>
      <c r="BT506" s="90"/>
      <c r="BU506" s="90"/>
      <c r="BV506" s="90"/>
      <c r="BW506" s="90"/>
      <c r="BX506" s="90"/>
      <c r="BY506" s="90"/>
      <c r="BZ506" s="90"/>
      <c r="CA506" s="90"/>
      <c r="CB506" s="90"/>
      <c r="CC506" s="90"/>
      <c r="CD506" s="90"/>
      <c r="CE506" s="90"/>
      <c r="CF506" s="90"/>
      <c r="CG506" s="90"/>
      <c r="CH506" s="90"/>
      <c r="CI506" s="90"/>
      <c r="CJ506" s="90"/>
      <c r="CK506" s="90"/>
      <c r="CL506" s="90"/>
      <c r="CM506" s="90"/>
      <c r="CN506" s="90"/>
      <c r="CO506" s="90"/>
      <c r="CP506" s="90"/>
      <c r="CQ506" s="90"/>
      <c r="CR506" s="90"/>
      <c r="CS506" s="90"/>
      <c r="CT506" s="90"/>
      <c r="CU506" s="90"/>
      <c r="CV506" s="90"/>
      <c r="CW506" s="90"/>
    </row>
    <row r="507" ht="16.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  <c r="BO507" s="90"/>
      <c r="BP507" s="90"/>
      <c r="BQ507" s="90"/>
      <c r="BR507" s="90"/>
      <c r="BS507" s="90"/>
      <c r="BT507" s="90"/>
      <c r="BU507" s="90"/>
      <c r="BV507" s="90"/>
      <c r="BW507" s="90"/>
      <c r="BX507" s="90"/>
      <c r="BY507" s="90"/>
      <c r="BZ507" s="90"/>
      <c r="CA507" s="90"/>
      <c r="CB507" s="90"/>
      <c r="CC507" s="90"/>
      <c r="CD507" s="90"/>
      <c r="CE507" s="90"/>
      <c r="CF507" s="90"/>
      <c r="CG507" s="90"/>
      <c r="CH507" s="90"/>
      <c r="CI507" s="90"/>
      <c r="CJ507" s="90"/>
      <c r="CK507" s="90"/>
      <c r="CL507" s="90"/>
      <c r="CM507" s="90"/>
      <c r="CN507" s="90"/>
      <c r="CO507" s="90"/>
      <c r="CP507" s="90"/>
      <c r="CQ507" s="90"/>
      <c r="CR507" s="90"/>
      <c r="CS507" s="90"/>
      <c r="CT507" s="90"/>
      <c r="CU507" s="90"/>
      <c r="CV507" s="90"/>
      <c r="CW507" s="90"/>
    </row>
    <row r="508" ht="16.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0"/>
      <c r="BQ508" s="90"/>
      <c r="BR508" s="90"/>
      <c r="BS508" s="90"/>
      <c r="BT508" s="90"/>
      <c r="BU508" s="90"/>
      <c r="BV508" s="90"/>
      <c r="BW508" s="90"/>
      <c r="BX508" s="90"/>
      <c r="BY508" s="90"/>
      <c r="BZ508" s="90"/>
      <c r="CA508" s="90"/>
      <c r="CB508" s="90"/>
      <c r="CC508" s="90"/>
      <c r="CD508" s="90"/>
      <c r="CE508" s="90"/>
      <c r="CF508" s="90"/>
      <c r="CG508" s="90"/>
      <c r="CH508" s="90"/>
      <c r="CI508" s="90"/>
      <c r="CJ508" s="90"/>
      <c r="CK508" s="90"/>
      <c r="CL508" s="90"/>
      <c r="CM508" s="90"/>
      <c r="CN508" s="90"/>
      <c r="CO508" s="90"/>
      <c r="CP508" s="90"/>
      <c r="CQ508" s="90"/>
      <c r="CR508" s="90"/>
      <c r="CS508" s="90"/>
      <c r="CT508" s="90"/>
      <c r="CU508" s="90"/>
      <c r="CV508" s="90"/>
      <c r="CW508" s="90"/>
    </row>
    <row r="509" ht="16.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  <c r="BO509" s="90"/>
      <c r="BP509" s="90"/>
      <c r="BQ509" s="90"/>
      <c r="BR509" s="90"/>
      <c r="BS509" s="90"/>
      <c r="BT509" s="90"/>
      <c r="BU509" s="90"/>
      <c r="BV509" s="90"/>
      <c r="BW509" s="90"/>
      <c r="BX509" s="90"/>
      <c r="BY509" s="90"/>
      <c r="BZ509" s="90"/>
      <c r="CA509" s="90"/>
      <c r="CB509" s="90"/>
      <c r="CC509" s="90"/>
      <c r="CD509" s="90"/>
      <c r="CE509" s="90"/>
      <c r="CF509" s="90"/>
      <c r="CG509" s="90"/>
      <c r="CH509" s="90"/>
      <c r="CI509" s="90"/>
      <c r="CJ509" s="90"/>
      <c r="CK509" s="90"/>
      <c r="CL509" s="90"/>
      <c r="CM509" s="90"/>
      <c r="CN509" s="90"/>
      <c r="CO509" s="90"/>
      <c r="CP509" s="90"/>
      <c r="CQ509" s="90"/>
      <c r="CR509" s="90"/>
      <c r="CS509" s="90"/>
      <c r="CT509" s="90"/>
      <c r="CU509" s="90"/>
      <c r="CV509" s="90"/>
      <c r="CW509" s="90"/>
    </row>
    <row r="510" ht="16.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0"/>
      <c r="BQ510" s="90"/>
      <c r="BR510" s="90"/>
      <c r="BS510" s="90"/>
      <c r="BT510" s="90"/>
      <c r="BU510" s="90"/>
      <c r="BV510" s="90"/>
      <c r="BW510" s="90"/>
      <c r="BX510" s="90"/>
      <c r="BY510" s="90"/>
      <c r="BZ510" s="90"/>
      <c r="CA510" s="90"/>
      <c r="CB510" s="90"/>
      <c r="CC510" s="90"/>
      <c r="CD510" s="90"/>
      <c r="CE510" s="90"/>
      <c r="CF510" s="90"/>
      <c r="CG510" s="90"/>
      <c r="CH510" s="90"/>
      <c r="CI510" s="90"/>
      <c r="CJ510" s="90"/>
      <c r="CK510" s="90"/>
      <c r="CL510" s="90"/>
      <c r="CM510" s="90"/>
      <c r="CN510" s="90"/>
      <c r="CO510" s="90"/>
      <c r="CP510" s="90"/>
      <c r="CQ510" s="90"/>
      <c r="CR510" s="90"/>
      <c r="CS510" s="90"/>
      <c r="CT510" s="90"/>
      <c r="CU510" s="90"/>
      <c r="CV510" s="90"/>
      <c r="CW510" s="90"/>
    </row>
    <row r="511" ht="16.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  <c r="BO511" s="90"/>
      <c r="BP511" s="90"/>
      <c r="BQ511" s="90"/>
      <c r="BR511" s="90"/>
      <c r="BS511" s="90"/>
      <c r="BT511" s="90"/>
      <c r="BU511" s="90"/>
      <c r="BV511" s="90"/>
      <c r="BW511" s="90"/>
      <c r="BX511" s="90"/>
      <c r="BY511" s="90"/>
      <c r="BZ511" s="90"/>
      <c r="CA511" s="90"/>
      <c r="CB511" s="90"/>
      <c r="CC511" s="90"/>
      <c r="CD511" s="90"/>
      <c r="CE511" s="90"/>
      <c r="CF511" s="90"/>
      <c r="CG511" s="90"/>
      <c r="CH511" s="90"/>
      <c r="CI511" s="90"/>
      <c r="CJ511" s="90"/>
      <c r="CK511" s="90"/>
      <c r="CL511" s="90"/>
      <c r="CM511" s="90"/>
      <c r="CN511" s="90"/>
      <c r="CO511" s="90"/>
      <c r="CP511" s="90"/>
      <c r="CQ511" s="90"/>
      <c r="CR511" s="90"/>
      <c r="CS511" s="90"/>
      <c r="CT511" s="90"/>
      <c r="CU511" s="90"/>
      <c r="CV511" s="90"/>
      <c r="CW511" s="90"/>
    </row>
    <row r="512" ht="16.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0"/>
      <c r="BQ512" s="90"/>
      <c r="BR512" s="90"/>
      <c r="BS512" s="90"/>
      <c r="BT512" s="90"/>
      <c r="BU512" s="90"/>
      <c r="BV512" s="90"/>
      <c r="BW512" s="90"/>
      <c r="BX512" s="90"/>
      <c r="BY512" s="90"/>
      <c r="BZ512" s="90"/>
      <c r="CA512" s="90"/>
      <c r="CB512" s="90"/>
      <c r="CC512" s="90"/>
      <c r="CD512" s="90"/>
      <c r="CE512" s="90"/>
      <c r="CF512" s="90"/>
      <c r="CG512" s="90"/>
      <c r="CH512" s="90"/>
      <c r="CI512" s="90"/>
      <c r="CJ512" s="90"/>
      <c r="CK512" s="90"/>
      <c r="CL512" s="90"/>
      <c r="CM512" s="90"/>
      <c r="CN512" s="90"/>
      <c r="CO512" s="90"/>
      <c r="CP512" s="90"/>
      <c r="CQ512" s="90"/>
      <c r="CR512" s="90"/>
      <c r="CS512" s="90"/>
      <c r="CT512" s="90"/>
      <c r="CU512" s="90"/>
      <c r="CV512" s="90"/>
      <c r="CW512" s="90"/>
    </row>
    <row r="513" ht="16.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90"/>
      <c r="BQ513" s="90"/>
      <c r="BR513" s="90"/>
      <c r="BS513" s="90"/>
      <c r="BT513" s="90"/>
      <c r="BU513" s="90"/>
      <c r="BV513" s="90"/>
      <c r="BW513" s="90"/>
      <c r="BX513" s="90"/>
      <c r="BY513" s="90"/>
      <c r="BZ513" s="90"/>
      <c r="CA513" s="90"/>
      <c r="CB513" s="90"/>
      <c r="CC513" s="90"/>
      <c r="CD513" s="90"/>
      <c r="CE513" s="90"/>
      <c r="CF513" s="90"/>
      <c r="CG513" s="90"/>
      <c r="CH513" s="90"/>
      <c r="CI513" s="90"/>
      <c r="CJ513" s="90"/>
      <c r="CK513" s="90"/>
      <c r="CL513" s="90"/>
      <c r="CM513" s="90"/>
      <c r="CN513" s="90"/>
      <c r="CO513" s="90"/>
      <c r="CP513" s="90"/>
      <c r="CQ513" s="90"/>
      <c r="CR513" s="90"/>
      <c r="CS513" s="90"/>
      <c r="CT513" s="90"/>
      <c r="CU513" s="90"/>
      <c r="CV513" s="90"/>
      <c r="CW513" s="90"/>
    </row>
    <row r="514" ht="16.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90"/>
      <c r="CG514" s="90"/>
      <c r="CH514" s="90"/>
      <c r="CI514" s="90"/>
      <c r="CJ514" s="90"/>
      <c r="CK514" s="90"/>
      <c r="CL514" s="90"/>
      <c r="CM514" s="90"/>
      <c r="CN514" s="90"/>
      <c r="CO514" s="90"/>
      <c r="CP514" s="90"/>
      <c r="CQ514" s="90"/>
      <c r="CR514" s="90"/>
      <c r="CS514" s="90"/>
      <c r="CT514" s="90"/>
      <c r="CU514" s="90"/>
      <c r="CV514" s="90"/>
      <c r="CW514" s="90"/>
    </row>
    <row r="515" ht="16.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90"/>
      <c r="CG515" s="90"/>
      <c r="CH515" s="90"/>
      <c r="CI515" s="90"/>
      <c r="CJ515" s="90"/>
      <c r="CK515" s="90"/>
      <c r="CL515" s="90"/>
      <c r="CM515" s="90"/>
      <c r="CN515" s="90"/>
      <c r="CO515" s="90"/>
      <c r="CP515" s="90"/>
      <c r="CQ515" s="90"/>
      <c r="CR515" s="90"/>
      <c r="CS515" s="90"/>
      <c r="CT515" s="90"/>
      <c r="CU515" s="90"/>
      <c r="CV515" s="90"/>
      <c r="CW515" s="90"/>
    </row>
    <row r="516" ht="16.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90"/>
      <c r="CG516" s="90"/>
      <c r="CH516" s="90"/>
      <c r="CI516" s="90"/>
      <c r="CJ516" s="90"/>
      <c r="CK516" s="90"/>
      <c r="CL516" s="90"/>
      <c r="CM516" s="90"/>
      <c r="CN516" s="90"/>
      <c r="CO516" s="90"/>
      <c r="CP516" s="90"/>
      <c r="CQ516" s="90"/>
      <c r="CR516" s="90"/>
      <c r="CS516" s="90"/>
      <c r="CT516" s="90"/>
      <c r="CU516" s="90"/>
      <c r="CV516" s="90"/>
      <c r="CW516" s="90"/>
    </row>
    <row r="517" ht="16.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  <c r="BO517" s="90"/>
      <c r="BP517" s="90"/>
      <c r="BQ517" s="90"/>
      <c r="BR517" s="90"/>
      <c r="BS517" s="90"/>
      <c r="BT517" s="90"/>
      <c r="BU517" s="90"/>
      <c r="BV517" s="90"/>
      <c r="BW517" s="90"/>
      <c r="BX517" s="90"/>
      <c r="BY517" s="90"/>
      <c r="BZ517" s="90"/>
      <c r="CA517" s="90"/>
      <c r="CB517" s="90"/>
      <c r="CC517" s="90"/>
      <c r="CD517" s="90"/>
      <c r="CE517" s="90"/>
      <c r="CF517" s="90"/>
      <c r="CG517" s="90"/>
      <c r="CH517" s="90"/>
      <c r="CI517" s="90"/>
      <c r="CJ517" s="90"/>
      <c r="CK517" s="90"/>
      <c r="CL517" s="90"/>
      <c r="CM517" s="90"/>
      <c r="CN517" s="90"/>
      <c r="CO517" s="90"/>
      <c r="CP517" s="90"/>
      <c r="CQ517" s="90"/>
      <c r="CR517" s="90"/>
      <c r="CS517" s="90"/>
      <c r="CT517" s="90"/>
      <c r="CU517" s="90"/>
      <c r="CV517" s="90"/>
      <c r="CW517" s="90"/>
    </row>
    <row r="518" ht="16.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0"/>
      <c r="BQ518" s="90"/>
      <c r="BR518" s="90"/>
      <c r="BS518" s="90"/>
      <c r="BT518" s="90"/>
      <c r="BU518" s="90"/>
      <c r="BV518" s="90"/>
      <c r="BW518" s="90"/>
      <c r="BX518" s="90"/>
      <c r="BY518" s="90"/>
      <c r="BZ518" s="90"/>
      <c r="CA518" s="90"/>
      <c r="CB518" s="90"/>
      <c r="CC518" s="90"/>
      <c r="CD518" s="90"/>
      <c r="CE518" s="90"/>
      <c r="CF518" s="90"/>
      <c r="CG518" s="90"/>
      <c r="CH518" s="90"/>
      <c r="CI518" s="90"/>
      <c r="CJ518" s="90"/>
      <c r="CK518" s="90"/>
      <c r="CL518" s="90"/>
      <c r="CM518" s="90"/>
      <c r="CN518" s="90"/>
      <c r="CO518" s="90"/>
      <c r="CP518" s="90"/>
      <c r="CQ518" s="90"/>
      <c r="CR518" s="90"/>
      <c r="CS518" s="90"/>
      <c r="CT518" s="90"/>
      <c r="CU518" s="90"/>
      <c r="CV518" s="90"/>
      <c r="CW518" s="90"/>
    </row>
    <row r="519" ht="16.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  <c r="CN519" s="90"/>
      <c r="CO519" s="90"/>
      <c r="CP519" s="90"/>
      <c r="CQ519" s="90"/>
      <c r="CR519" s="90"/>
      <c r="CS519" s="90"/>
      <c r="CT519" s="90"/>
      <c r="CU519" s="90"/>
      <c r="CV519" s="90"/>
      <c r="CW519" s="90"/>
    </row>
    <row r="520" ht="16.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0"/>
      <c r="BQ520" s="90"/>
      <c r="BR520" s="90"/>
      <c r="BS520" s="90"/>
      <c r="BT520" s="90"/>
      <c r="BU520" s="90"/>
      <c r="BV520" s="90"/>
      <c r="BW520" s="90"/>
      <c r="BX520" s="90"/>
      <c r="BY520" s="90"/>
      <c r="BZ520" s="90"/>
      <c r="CA520" s="90"/>
      <c r="CB520" s="90"/>
      <c r="CC520" s="90"/>
      <c r="CD520" s="90"/>
      <c r="CE520" s="90"/>
      <c r="CF520" s="90"/>
      <c r="CG520" s="90"/>
      <c r="CH520" s="90"/>
      <c r="CI520" s="90"/>
      <c r="CJ520" s="90"/>
      <c r="CK520" s="90"/>
      <c r="CL520" s="90"/>
      <c r="CM520" s="90"/>
      <c r="CN520" s="90"/>
      <c r="CO520" s="90"/>
      <c r="CP520" s="90"/>
      <c r="CQ520" s="90"/>
      <c r="CR520" s="90"/>
      <c r="CS520" s="90"/>
      <c r="CT520" s="90"/>
      <c r="CU520" s="90"/>
      <c r="CV520" s="90"/>
      <c r="CW520" s="90"/>
    </row>
    <row r="521" ht="16.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  <c r="BO521" s="90"/>
      <c r="BP521" s="90"/>
      <c r="BQ521" s="90"/>
      <c r="BR521" s="90"/>
      <c r="BS521" s="90"/>
      <c r="BT521" s="90"/>
      <c r="BU521" s="90"/>
      <c r="BV521" s="90"/>
      <c r="BW521" s="90"/>
      <c r="BX521" s="90"/>
      <c r="BY521" s="90"/>
      <c r="BZ521" s="90"/>
      <c r="CA521" s="90"/>
      <c r="CB521" s="90"/>
      <c r="CC521" s="90"/>
      <c r="CD521" s="90"/>
      <c r="CE521" s="90"/>
      <c r="CF521" s="90"/>
      <c r="CG521" s="90"/>
      <c r="CH521" s="90"/>
      <c r="CI521" s="90"/>
      <c r="CJ521" s="90"/>
      <c r="CK521" s="90"/>
      <c r="CL521" s="90"/>
      <c r="CM521" s="90"/>
      <c r="CN521" s="90"/>
      <c r="CO521" s="90"/>
      <c r="CP521" s="90"/>
      <c r="CQ521" s="90"/>
      <c r="CR521" s="90"/>
      <c r="CS521" s="90"/>
      <c r="CT521" s="90"/>
      <c r="CU521" s="90"/>
      <c r="CV521" s="90"/>
      <c r="CW521" s="90"/>
    </row>
    <row r="522" ht="16.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0"/>
      <c r="BQ522" s="90"/>
      <c r="BR522" s="90"/>
      <c r="BS522" s="90"/>
      <c r="BT522" s="90"/>
      <c r="BU522" s="90"/>
      <c r="BV522" s="90"/>
      <c r="BW522" s="90"/>
      <c r="BX522" s="90"/>
      <c r="BY522" s="90"/>
      <c r="BZ522" s="90"/>
      <c r="CA522" s="90"/>
      <c r="CB522" s="90"/>
      <c r="CC522" s="90"/>
      <c r="CD522" s="90"/>
      <c r="CE522" s="90"/>
      <c r="CF522" s="90"/>
      <c r="CG522" s="90"/>
      <c r="CH522" s="90"/>
      <c r="CI522" s="90"/>
      <c r="CJ522" s="90"/>
      <c r="CK522" s="90"/>
      <c r="CL522" s="90"/>
      <c r="CM522" s="90"/>
      <c r="CN522" s="90"/>
      <c r="CO522" s="90"/>
      <c r="CP522" s="90"/>
      <c r="CQ522" s="90"/>
      <c r="CR522" s="90"/>
      <c r="CS522" s="90"/>
      <c r="CT522" s="90"/>
      <c r="CU522" s="90"/>
      <c r="CV522" s="90"/>
      <c r="CW522" s="90"/>
    </row>
    <row r="523" ht="16.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  <c r="BO523" s="90"/>
      <c r="BP523" s="90"/>
      <c r="BQ523" s="90"/>
      <c r="BR523" s="90"/>
      <c r="BS523" s="90"/>
      <c r="BT523" s="90"/>
      <c r="BU523" s="90"/>
      <c r="BV523" s="90"/>
      <c r="BW523" s="90"/>
      <c r="BX523" s="90"/>
      <c r="BY523" s="90"/>
      <c r="BZ523" s="90"/>
      <c r="CA523" s="90"/>
      <c r="CB523" s="90"/>
      <c r="CC523" s="90"/>
      <c r="CD523" s="90"/>
      <c r="CE523" s="90"/>
      <c r="CF523" s="90"/>
      <c r="CG523" s="90"/>
      <c r="CH523" s="90"/>
      <c r="CI523" s="90"/>
      <c r="CJ523" s="90"/>
      <c r="CK523" s="90"/>
      <c r="CL523" s="90"/>
      <c r="CM523" s="90"/>
      <c r="CN523" s="90"/>
      <c r="CO523" s="90"/>
      <c r="CP523" s="90"/>
      <c r="CQ523" s="90"/>
      <c r="CR523" s="90"/>
      <c r="CS523" s="90"/>
      <c r="CT523" s="90"/>
      <c r="CU523" s="90"/>
      <c r="CV523" s="90"/>
      <c r="CW523" s="90"/>
    </row>
    <row r="524" ht="16.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0"/>
      <c r="BQ524" s="90"/>
      <c r="BR524" s="90"/>
      <c r="BS524" s="90"/>
      <c r="BT524" s="90"/>
      <c r="BU524" s="90"/>
      <c r="BV524" s="90"/>
      <c r="BW524" s="90"/>
      <c r="BX524" s="90"/>
      <c r="BY524" s="90"/>
      <c r="BZ524" s="90"/>
      <c r="CA524" s="90"/>
      <c r="CB524" s="90"/>
      <c r="CC524" s="90"/>
      <c r="CD524" s="90"/>
      <c r="CE524" s="90"/>
      <c r="CF524" s="90"/>
      <c r="CG524" s="90"/>
      <c r="CH524" s="90"/>
      <c r="CI524" s="90"/>
      <c r="CJ524" s="90"/>
      <c r="CK524" s="90"/>
      <c r="CL524" s="90"/>
      <c r="CM524" s="90"/>
      <c r="CN524" s="90"/>
      <c r="CO524" s="90"/>
      <c r="CP524" s="90"/>
      <c r="CQ524" s="90"/>
      <c r="CR524" s="90"/>
      <c r="CS524" s="90"/>
      <c r="CT524" s="90"/>
      <c r="CU524" s="90"/>
      <c r="CV524" s="90"/>
      <c r="CW524" s="90"/>
    </row>
    <row r="525" ht="16.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90"/>
      <c r="BQ525" s="90"/>
      <c r="BR525" s="90"/>
      <c r="BS525" s="90"/>
      <c r="BT525" s="90"/>
      <c r="BU525" s="90"/>
      <c r="BV525" s="90"/>
      <c r="BW525" s="90"/>
      <c r="BX525" s="90"/>
      <c r="BY525" s="90"/>
      <c r="BZ525" s="90"/>
      <c r="CA525" s="90"/>
      <c r="CB525" s="90"/>
      <c r="CC525" s="90"/>
      <c r="CD525" s="90"/>
      <c r="CE525" s="90"/>
      <c r="CF525" s="90"/>
      <c r="CG525" s="90"/>
      <c r="CH525" s="90"/>
      <c r="CI525" s="90"/>
      <c r="CJ525" s="90"/>
      <c r="CK525" s="90"/>
      <c r="CL525" s="90"/>
      <c r="CM525" s="90"/>
      <c r="CN525" s="90"/>
      <c r="CO525" s="90"/>
      <c r="CP525" s="90"/>
      <c r="CQ525" s="90"/>
      <c r="CR525" s="90"/>
      <c r="CS525" s="90"/>
      <c r="CT525" s="90"/>
      <c r="CU525" s="90"/>
      <c r="CV525" s="90"/>
      <c r="CW525" s="90"/>
    </row>
    <row r="526" ht="16.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0"/>
      <c r="BS526" s="90"/>
      <c r="BT526" s="90"/>
      <c r="BU526" s="90"/>
      <c r="BV526" s="90"/>
      <c r="BW526" s="90"/>
      <c r="BX526" s="90"/>
      <c r="BY526" s="90"/>
      <c r="BZ526" s="90"/>
      <c r="CA526" s="90"/>
      <c r="CB526" s="90"/>
      <c r="CC526" s="90"/>
      <c r="CD526" s="90"/>
      <c r="CE526" s="90"/>
      <c r="CF526" s="90"/>
      <c r="CG526" s="90"/>
      <c r="CH526" s="90"/>
      <c r="CI526" s="90"/>
      <c r="CJ526" s="90"/>
      <c r="CK526" s="90"/>
      <c r="CL526" s="90"/>
      <c r="CM526" s="90"/>
      <c r="CN526" s="90"/>
      <c r="CO526" s="90"/>
      <c r="CP526" s="90"/>
      <c r="CQ526" s="90"/>
      <c r="CR526" s="90"/>
      <c r="CS526" s="90"/>
      <c r="CT526" s="90"/>
      <c r="CU526" s="90"/>
      <c r="CV526" s="90"/>
      <c r="CW526" s="90"/>
    </row>
    <row r="527" ht="16.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  <c r="CN527" s="90"/>
      <c r="CO527" s="90"/>
      <c r="CP527" s="90"/>
      <c r="CQ527" s="90"/>
      <c r="CR527" s="90"/>
      <c r="CS527" s="90"/>
      <c r="CT527" s="90"/>
      <c r="CU527" s="90"/>
      <c r="CV527" s="90"/>
      <c r="CW527" s="90"/>
    </row>
    <row r="528" ht="16.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0"/>
      <c r="BQ528" s="90"/>
      <c r="BR528" s="90"/>
      <c r="BS528" s="90"/>
      <c r="BT528" s="90"/>
      <c r="BU528" s="90"/>
      <c r="BV528" s="90"/>
      <c r="BW528" s="90"/>
      <c r="BX528" s="90"/>
      <c r="BY528" s="90"/>
      <c r="BZ528" s="90"/>
      <c r="CA528" s="90"/>
      <c r="CB528" s="90"/>
      <c r="CC528" s="90"/>
      <c r="CD528" s="90"/>
      <c r="CE528" s="90"/>
      <c r="CF528" s="90"/>
      <c r="CG528" s="90"/>
      <c r="CH528" s="90"/>
      <c r="CI528" s="90"/>
      <c r="CJ528" s="90"/>
      <c r="CK528" s="90"/>
      <c r="CL528" s="90"/>
      <c r="CM528" s="90"/>
      <c r="CN528" s="90"/>
      <c r="CO528" s="90"/>
      <c r="CP528" s="90"/>
      <c r="CQ528" s="90"/>
      <c r="CR528" s="90"/>
      <c r="CS528" s="90"/>
      <c r="CT528" s="90"/>
      <c r="CU528" s="90"/>
      <c r="CV528" s="90"/>
      <c r="CW528" s="90"/>
    </row>
    <row r="529" ht="16.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  <c r="BO529" s="90"/>
      <c r="BP529" s="90"/>
      <c r="BQ529" s="90"/>
      <c r="BR529" s="90"/>
      <c r="BS529" s="90"/>
      <c r="BT529" s="90"/>
      <c r="BU529" s="90"/>
      <c r="BV529" s="90"/>
      <c r="BW529" s="90"/>
      <c r="BX529" s="90"/>
      <c r="BY529" s="90"/>
      <c r="BZ529" s="90"/>
      <c r="CA529" s="90"/>
      <c r="CB529" s="90"/>
      <c r="CC529" s="90"/>
      <c r="CD529" s="90"/>
      <c r="CE529" s="90"/>
      <c r="CF529" s="90"/>
      <c r="CG529" s="90"/>
      <c r="CH529" s="90"/>
      <c r="CI529" s="90"/>
      <c r="CJ529" s="90"/>
      <c r="CK529" s="90"/>
      <c r="CL529" s="90"/>
      <c r="CM529" s="90"/>
      <c r="CN529" s="90"/>
      <c r="CO529" s="90"/>
      <c r="CP529" s="90"/>
      <c r="CQ529" s="90"/>
      <c r="CR529" s="90"/>
      <c r="CS529" s="90"/>
      <c r="CT529" s="90"/>
      <c r="CU529" s="90"/>
      <c r="CV529" s="90"/>
      <c r="CW529" s="90"/>
    </row>
    <row r="530" ht="16.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0"/>
      <c r="BQ530" s="90"/>
      <c r="BR530" s="90"/>
      <c r="BS530" s="90"/>
      <c r="BT530" s="90"/>
      <c r="BU530" s="90"/>
      <c r="BV530" s="90"/>
      <c r="BW530" s="90"/>
      <c r="BX530" s="90"/>
      <c r="BY530" s="90"/>
      <c r="BZ530" s="90"/>
      <c r="CA530" s="90"/>
      <c r="CB530" s="90"/>
      <c r="CC530" s="90"/>
      <c r="CD530" s="90"/>
      <c r="CE530" s="90"/>
      <c r="CF530" s="90"/>
      <c r="CG530" s="90"/>
      <c r="CH530" s="90"/>
      <c r="CI530" s="90"/>
      <c r="CJ530" s="90"/>
      <c r="CK530" s="90"/>
      <c r="CL530" s="90"/>
      <c r="CM530" s="90"/>
      <c r="CN530" s="90"/>
      <c r="CO530" s="90"/>
      <c r="CP530" s="90"/>
      <c r="CQ530" s="90"/>
      <c r="CR530" s="90"/>
      <c r="CS530" s="90"/>
      <c r="CT530" s="90"/>
      <c r="CU530" s="90"/>
      <c r="CV530" s="90"/>
      <c r="CW530" s="90"/>
    </row>
    <row r="531" ht="16.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90"/>
      <c r="BQ531" s="90"/>
      <c r="BR531" s="90"/>
      <c r="BS531" s="90"/>
      <c r="BT531" s="90"/>
      <c r="BU531" s="90"/>
      <c r="BV531" s="90"/>
      <c r="BW531" s="90"/>
      <c r="BX531" s="90"/>
      <c r="BY531" s="90"/>
      <c r="BZ531" s="90"/>
      <c r="CA531" s="90"/>
      <c r="CB531" s="90"/>
      <c r="CC531" s="90"/>
      <c r="CD531" s="90"/>
      <c r="CE531" s="90"/>
      <c r="CF531" s="90"/>
      <c r="CG531" s="90"/>
      <c r="CH531" s="90"/>
      <c r="CI531" s="90"/>
      <c r="CJ531" s="90"/>
      <c r="CK531" s="90"/>
      <c r="CL531" s="90"/>
      <c r="CM531" s="90"/>
      <c r="CN531" s="90"/>
      <c r="CO531" s="90"/>
      <c r="CP531" s="90"/>
      <c r="CQ531" s="90"/>
      <c r="CR531" s="90"/>
      <c r="CS531" s="90"/>
      <c r="CT531" s="90"/>
      <c r="CU531" s="90"/>
      <c r="CV531" s="90"/>
      <c r="CW531" s="90"/>
    </row>
    <row r="532" ht="16.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0"/>
      <c r="BQ532" s="90"/>
      <c r="BR532" s="90"/>
      <c r="BS532" s="90"/>
      <c r="BT532" s="90"/>
      <c r="BU532" s="90"/>
      <c r="BV532" s="90"/>
      <c r="BW532" s="90"/>
      <c r="BX532" s="90"/>
      <c r="BY532" s="90"/>
      <c r="BZ532" s="90"/>
      <c r="CA532" s="90"/>
      <c r="CB532" s="90"/>
      <c r="CC532" s="90"/>
      <c r="CD532" s="90"/>
      <c r="CE532" s="90"/>
      <c r="CF532" s="90"/>
      <c r="CG532" s="90"/>
      <c r="CH532" s="90"/>
      <c r="CI532" s="90"/>
      <c r="CJ532" s="90"/>
      <c r="CK532" s="90"/>
      <c r="CL532" s="90"/>
      <c r="CM532" s="90"/>
      <c r="CN532" s="90"/>
      <c r="CO532" s="90"/>
      <c r="CP532" s="90"/>
      <c r="CQ532" s="90"/>
      <c r="CR532" s="90"/>
      <c r="CS532" s="90"/>
      <c r="CT532" s="90"/>
      <c r="CU532" s="90"/>
      <c r="CV532" s="90"/>
      <c r="CW532" s="90"/>
    </row>
    <row r="533" ht="16.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  <c r="BO533" s="90"/>
      <c r="BP533" s="90"/>
      <c r="BQ533" s="90"/>
      <c r="BR533" s="90"/>
      <c r="BS533" s="90"/>
      <c r="BT533" s="90"/>
      <c r="BU533" s="90"/>
      <c r="BV533" s="90"/>
      <c r="BW533" s="90"/>
      <c r="BX533" s="90"/>
      <c r="BY533" s="90"/>
      <c r="BZ533" s="90"/>
      <c r="CA533" s="90"/>
      <c r="CB533" s="90"/>
      <c r="CC533" s="90"/>
      <c r="CD533" s="90"/>
      <c r="CE533" s="90"/>
      <c r="CF533" s="90"/>
      <c r="CG533" s="90"/>
      <c r="CH533" s="90"/>
      <c r="CI533" s="90"/>
      <c r="CJ533" s="90"/>
      <c r="CK533" s="90"/>
      <c r="CL533" s="90"/>
      <c r="CM533" s="90"/>
      <c r="CN533" s="90"/>
      <c r="CO533" s="90"/>
      <c r="CP533" s="90"/>
      <c r="CQ533" s="90"/>
      <c r="CR533" s="90"/>
      <c r="CS533" s="90"/>
      <c r="CT533" s="90"/>
      <c r="CU533" s="90"/>
      <c r="CV533" s="90"/>
      <c r="CW533" s="90"/>
    </row>
    <row r="534" ht="16.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0"/>
      <c r="BS534" s="90"/>
      <c r="BT534" s="90"/>
      <c r="BU534" s="90"/>
      <c r="BV534" s="90"/>
      <c r="BW534" s="90"/>
      <c r="BX534" s="90"/>
      <c r="BY534" s="90"/>
      <c r="BZ534" s="90"/>
      <c r="CA534" s="90"/>
      <c r="CB534" s="90"/>
      <c r="CC534" s="90"/>
      <c r="CD534" s="90"/>
      <c r="CE534" s="90"/>
      <c r="CF534" s="90"/>
      <c r="CG534" s="90"/>
      <c r="CH534" s="90"/>
      <c r="CI534" s="90"/>
      <c r="CJ534" s="90"/>
      <c r="CK534" s="90"/>
      <c r="CL534" s="90"/>
      <c r="CM534" s="90"/>
      <c r="CN534" s="90"/>
      <c r="CO534" s="90"/>
      <c r="CP534" s="90"/>
      <c r="CQ534" s="90"/>
      <c r="CR534" s="90"/>
      <c r="CS534" s="90"/>
      <c r="CT534" s="90"/>
      <c r="CU534" s="90"/>
      <c r="CV534" s="90"/>
      <c r="CW534" s="90"/>
    </row>
    <row r="535" ht="16.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  <c r="BO535" s="90"/>
      <c r="BP535" s="90"/>
      <c r="BQ535" s="90"/>
      <c r="BR535" s="90"/>
      <c r="BS535" s="90"/>
      <c r="BT535" s="90"/>
      <c r="BU535" s="90"/>
      <c r="BV535" s="90"/>
      <c r="BW535" s="90"/>
      <c r="BX535" s="90"/>
      <c r="BY535" s="90"/>
      <c r="BZ535" s="90"/>
      <c r="CA535" s="90"/>
      <c r="CB535" s="90"/>
      <c r="CC535" s="90"/>
      <c r="CD535" s="90"/>
      <c r="CE535" s="90"/>
      <c r="CF535" s="90"/>
      <c r="CG535" s="90"/>
      <c r="CH535" s="90"/>
      <c r="CI535" s="90"/>
      <c r="CJ535" s="90"/>
      <c r="CK535" s="90"/>
      <c r="CL535" s="90"/>
      <c r="CM535" s="90"/>
      <c r="CN535" s="90"/>
      <c r="CO535" s="90"/>
      <c r="CP535" s="90"/>
      <c r="CQ535" s="90"/>
      <c r="CR535" s="90"/>
      <c r="CS535" s="90"/>
      <c r="CT535" s="90"/>
      <c r="CU535" s="90"/>
      <c r="CV535" s="90"/>
      <c r="CW535" s="90"/>
    </row>
    <row r="536" ht="16.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0"/>
      <c r="BS536" s="90"/>
      <c r="BT536" s="90"/>
      <c r="BU536" s="90"/>
      <c r="BV536" s="90"/>
      <c r="BW536" s="90"/>
      <c r="BX536" s="90"/>
      <c r="BY536" s="90"/>
      <c r="BZ536" s="90"/>
      <c r="CA536" s="90"/>
      <c r="CB536" s="90"/>
      <c r="CC536" s="90"/>
      <c r="CD536" s="90"/>
      <c r="CE536" s="90"/>
      <c r="CF536" s="90"/>
      <c r="CG536" s="90"/>
      <c r="CH536" s="90"/>
      <c r="CI536" s="90"/>
      <c r="CJ536" s="90"/>
      <c r="CK536" s="90"/>
      <c r="CL536" s="90"/>
      <c r="CM536" s="90"/>
      <c r="CN536" s="90"/>
      <c r="CO536" s="90"/>
      <c r="CP536" s="90"/>
      <c r="CQ536" s="90"/>
      <c r="CR536" s="90"/>
      <c r="CS536" s="90"/>
      <c r="CT536" s="90"/>
      <c r="CU536" s="90"/>
      <c r="CV536" s="90"/>
      <c r="CW536" s="90"/>
    </row>
    <row r="537" ht="16.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90"/>
      <c r="CB537" s="90"/>
      <c r="CC537" s="90"/>
      <c r="CD537" s="90"/>
      <c r="CE537" s="90"/>
      <c r="CF537" s="90"/>
      <c r="CG537" s="90"/>
      <c r="CH537" s="90"/>
      <c r="CI537" s="90"/>
      <c r="CJ537" s="90"/>
      <c r="CK537" s="90"/>
      <c r="CL537" s="90"/>
      <c r="CM537" s="90"/>
      <c r="CN537" s="90"/>
      <c r="CO537" s="90"/>
      <c r="CP537" s="90"/>
      <c r="CQ537" s="90"/>
      <c r="CR537" s="90"/>
      <c r="CS537" s="90"/>
      <c r="CT537" s="90"/>
      <c r="CU537" s="90"/>
      <c r="CV537" s="90"/>
      <c r="CW537" s="90"/>
    </row>
    <row r="538" ht="16.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0"/>
      <c r="BQ538" s="90"/>
      <c r="BR538" s="90"/>
      <c r="BS538" s="90"/>
      <c r="BT538" s="90"/>
      <c r="BU538" s="90"/>
      <c r="BV538" s="90"/>
      <c r="BW538" s="90"/>
      <c r="BX538" s="90"/>
      <c r="BY538" s="90"/>
      <c r="BZ538" s="90"/>
      <c r="CA538" s="90"/>
      <c r="CB538" s="90"/>
      <c r="CC538" s="90"/>
      <c r="CD538" s="90"/>
      <c r="CE538" s="90"/>
      <c r="CF538" s="90"/>
      <c r="CG538" s="90"/>
      <c r="CH538" s="90"/>
      <c r="CI538" s="90"/>
      <c r="CJ538" s="90"/>
      <c r="CK538" s="90"/>
      <c r="CL538" s="90"/>
      <c r="CM538" s="90"/>
      <c r="CN538" s="90"/>
      <c r="CO538" s="90"/>
      <c r="CP538" s="90"/>
      <c r="CQ538" s="90"/>
      <c r="CR538" s="90"/>
      <c r="CS538" s="90"/>
      <c r="CT538" s="90"/>
      <c r="CU538" s="90"/>
      <c r="CV538" s="90"/>
      <c r="CW538" s="90"/>
    </row>
    <row r="539" ht="16.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  <c r="BO539" s="90"/>
      <c r="BP539" s="90"/>
      <c r="BQ539" s="90"/>
      <c r="BR539" s="90"/>
      <c r="BS539" s="90"/>
      <c r="BT539" s="90"/>
      <c r="BU539" s="90"/>
      <c r="BV539" s="90"/>
      <c r="BW539" s="90"/>
      <c r="BX539" s="90"/>
      <c r="BY539" s="90"/>
      <c r="BZ539" s="90"/>
      <c r="CA539" s="90"/>
      <c r="CB539" s="90"/>
      <c r="CC539" s="90"/>
      <c r="CD539" s="90"/>
      <c r="CE539" s="90"/>
      <c r="CF539" s="90"/>
      <c r="CG539" s="90"/>
      <c r="CH539" s="90"/>
      <c r="CI539" s="90"/>
      <c r="CJ539" s="90"/>
      <c r="CK539" s="90"/>
      <c r="CL539" s="90"/>
      <c r="CM539" s="90"/>
      <c r="CN539" s="90"/>
      <c r="CO539" s="90"/>
      <c r="CP539" s="90"/>
      <c r="CQ539" s="90"/>
      <c r="CR539" s="90"/>
      <c r="CS539" s="90"/>
      <c r="CT539" s="90"/>
      <c r="CU539" s="90"/>
      <c r="CV539" s="90"/>
      <c r="CW539" s="90"/>
    </row>
    <row r="540" ht="16.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0"/>
      <c r="BS540" s="90"/>
      <c r="BT540" s="90"/>
      <c r="BU540" s="90"/>
      <c r="BV540" s="90"/>
      <c r="BW540" s="90"/>
      <c r="BX540" s="90"/>
      <c r="BY540" s="90"/>
      <c r="BZ540" s="90"/>
      <c r="CA540" s="90"/>
      <c r="CB540" s="90"/>
      <c r="CC540" s="90"/>
      <c r="CD540" s="90"/>
      <c r="CE540" s="90"/>
      <c r="CF540" s="90"/>
      <c r="CG540" s="90"/>
      <c r="CH540" s="90"/>
      <c r="CI540" s="90"/>
      <c r="CJ540" s="90"/>
      <c r="CK540" s="90"/>
      <c r="CL540" s="90"/>
      <c r="CM540" s="90"/>
      <c r="CN540" s="90"/>
      <c r="CO540" s="90"/>
      <c r="CP540" s="90"/>
      <c r="CQ540" s="90"/>
      <c r="CR540" s="90"/>
      <c r="CS540" s="90"/>
      <c r="CT540" s="90"/>
      <c r="CU540" s="90"/>
      <c r="CV540" s="90"/>
      <c r="CW540" s="90"/>
    </row>
    <row r="541" ht="16.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  <c r="BO541" s="90"/>
      <c r="BP541" s="90"/>
      <c r="BQ541" s="90"/>
      <c r="BR541" s="90"/>
      <c r="BS541" s="90"/>
      <c r="BT541" s="90"/>
      <c r="BU541" s="90"/>
      <c r="BV541" s="90"/>
      <c r="BW541" s="90"/>
      <c r="BX541" s="90"/>
      <c r="BY541" s="90"/>
      <c r="BZ541" s="90"/>
      <c r="CA541" s="90"/>
      <c r="CB541" s="90"/>
      <c r="CC541" s="90"/>
      <c r="CD541" s="90"/>
      <c r="CE541" s="90"/>
      <c r="CF541" s="90"/>
      <c r="CG541" s="90"/>
      <c r="CH541" s="90"/>
      <c r="CI541" s="90"/>
      <c r="CJ541" s="90"/>
      <c r="CK541" s="90"/>
      <c r="CL541" s="90"/>
      <c r="CM541" s="90"/>
      <c r="CN541" s="90"/>
      <c r="CO541" s="90"/>
      <c r="CP541" s="90"/>
      <c r="CQ541" s="90"/>
      <c r="CR541" s="90"/>
      <c r="CS541" s="90"/>
      <c r="CT541" s="90"/>
      <c r="CU541" s="90"/>
      <c r="CV541" s="90"/>
      <c r="CW541" s="90"/>
    </row>
    <row r="542" ht="16.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0"/>
      <c r="BQ542" s="90"/>
      <c r="BR542" s="90"/>
      <c r="BS542" s="90"/>
      <c r="BT542" s="90"/>
      <c r="BU542" s="90"/>
      <c r="BV542" s="90"/>
      <c r="BW542" s="90"/>
      <c r="BX542" s="90"/>
      <c r="BY542" s="90"/>
      <c r="BZ542" s="90"/>
      <c r="CA542" s="90"/>
      <c r="CB542" s="90"/>
      <c r="CC542" s="90"/>
      <c r="CD542" s="90"/>
      <c r="CE542" s="90"/>
      <c r="CF542" s="90"/>
      <c r="CG542" s="90"/>
      <c r="CH542" s="90"/>
      <c r="CI542" s="90"/>
      <c r="CJ542" s="90"/>
      <c r="CK542" s="90"/>
      <c r="CL542" s="90"/>
      <c r="CM542" s="90"/>
      <c r="CN542" s="90"/>
      <c r="CO542" s="90"/>
      <c r="CP542" s="90"/>
      <c r="CQ542" s="90"/>
      <c r="CR542" s="90"/>
      <c r="CS542" s="90"/>
      <c r="CT542" s="90"/>
      <c r="CU542" s="90"/>
      <c r="CV542" s="90"/>
      <c r="CW542" s="90"/>
    </row>
    <row r="543" ht="16.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90"/>
      <c r="CB543" s="90"/>
      <c r="CC543" s="90"/>
      <c r="CD543" s="90"/>
      <c r="CE543" s="90"/>
      <c r="CF543" s="90"/>
      <c r="CG543" s="90"/>
      <c r="CH543" s="90"/>
      <c r="CI543" s="90"/>
      <c r="CJ543" s="90"/>
      <c r="CK543" s="90"/>
      <c r="CL543" s="90"/>
      <c r="CM543" s="90"/>
      <c r="CN543" s="90"/>
      <c r="CO543" s="90"/>
      <c r="CP543" s="90"/>
      <c r="CQ543" s="90"/>
      <c r="CR543" s="90"/>
      <c r="CS543" s="90"/>
      <c r="CT543" s="90"/>
      <c r="CU543" s="90"/>
      <c r="CV543" s="90"/>
      <c r="CW543" s="90"/>
    </row>
    <row r="544" ht="16.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0"/>
      <c r="BQ544" s="90"/>
      <c r="BR544" s="90"/>
      <c r="BS544" s="90"/>
      <c r="BT544" s="90"/>
      <c r="BU544" s="90"/>
      <c r="BV544" s="90"/>
      <c r="BW544" s="90"/>
      <c r="BX544" s="90"/>
      <c r="BY544" s="90"/>
      <c r="BZ544" s="90"/>
      <c r="CA544" s="90"/>
      <c r="CB544" s="90"/>
      <c r="CC544" s="90"/>
      <c r="CD544" s="90"/>
      <c r="CE544" s="90"/>
      <c r="CF544" s="90"/>
      <c r="CG544" s="90"/>
      <c r="CH544" s="90"/>
      <c r="CI544" s="90"/>
      <c r="CJ544" s="90"/>
      <c r="CK544" s="90"/>
      <c r="CL544" s="90"/>
      <c r="CM544" s="90"/>
      <c r="CN544" s="90"/>
      <c r="CO544" s="90"/>
      <c r="CP544" s="90"/>
      <c r="CQ544" s="90"/>
      <c r="CR544" s="90"/>
      <c r="CS544" s="90"/>
      <c r="CT544" s="90"/>
      <c r="CU544" s="90"/>
      <c r="CV544" s="90"/>
      <c r="CW544" s="90"/>
    </row>
    <row r="545" ht="16.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  <c r="BO545" s="90"/>
      <c r="BP545" s="90"/>
      <c r="BQ545" s="90"/>
      <c r="BR545" s="90"/>
      <c r="BS545" s="90"/>
      <c r="BT545" s="90"/>
      <c r="BU545" s="90"/>
      <c r="BV545" s="90"/>
      <c r="BW545" s="90"/>
      <c r="BX545" s="90"/>
      <c r="BY545" s="90"/>
      <c r="BZ545" s="90"/>
      <c r="CA545" s="90"/>
      <c r="CB545" s="90"/>
      <c r="CC545" s="90"/>
      <c r="CD545" s="90"/>
      <c r="CE545" s="90"/>
      <c r="CF545" s="90"/>
      <c r="CG545" s="90"/>
      <c r="CH545" s="90"/>
      <c r="CI545" s="90"/>
      <c r="CJ545" s="90"/>
      <c r="CK545" s="90"/>
      <c r="CL545" s="90"/>
      <c r="CM545" s="90"/>
      <c r="CN545" s="90"/>
      <c r="CO545" s="90"/>
      <c r="CP545" s="90"/>
      <c r="CQ545" s="90"/>
      <c r="CR545" s="90"/>
      <c r="CS545" s="90"/>
      <c r="CT545" s="90"/>
      <c r="CU545" s="90"/>
      <c r="CV545" s="90"/>
      <c r="CW545" s="90"/>
    </row>
    <row r="546" ht="16.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0"/>
      <c r="BS546" s="90"/>
      <c r="BT546" s="90"/>
      <c r="BU546" s="90"/>
      <c r="BV546" s="90"/>
      <c r="BW546" s="90"/>
      <c r="BX546" s="90"/>
      <c r="BY546" s="90"/>
      <c r="BZ546" s="90"/>
      <c r="CA546" s="90"/>
      <c r="CB546" s="90"/>
      <c r="CC546" s="90"/>
      <c r="CD546" s="90"/>
      <c r="CE546" s="90"/>
      <c r="CF546" s="90"/>
      <c r="CG546" s="90"/>
      <c r="CH546" s="90"/>
      <c r="CI546" s="90"/>
      <c r="CJ546" s="90"/>
      <c r="CK546" s="90"/>
      <c r="CL546" s="90"/>
      <c r="CM546" s="90"/>
      <c r="CN546" s="90"/>
      <c r="CO546" s="90"/>
      <c r="CP546" s="90"/>
      <c r="CQ546" s="90"/>
      <c r="CR546" s="90"/>
      <c r="CS546" s="90"/>
      <c r="CT546" s="90"/>
      <c r="CU546" s="90"/>
      <c r="CV546" s="90"/>
      <c r="CW546" s="90"/>
    </row>
    <row r="547" ht="16.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  <c r="BO547" s="90"/>
      <c r="BP547" s="90"/>
      <c r="BQ547" s="90"/>
      <c r="BR547" s="90"/>
      <c r="BS547" s="90"/>
      <c r="BT547" s="90"/>
      <c r="BU547" s="90"/>
      <c r="BV547" s="90"/>
      <c r="BW547" s="90"/>
      <c r="BX547" s="90"/>
      <c r="BY547" s="90"/>
      <c r="BZ547" s="90"/>
      <c r="CA547" s="90"/>
      <c r="CB547" s="90"/>
      <c r="CC547" s="90"/>
      <c r="CD547" s="90"/>
      <c r="CE547" s="90"/>
      <c r="CF547" s="90"/>
      <c r="CG547" s="90"/>
      <c r="CH547" s="90"/>
      <c r="CI547" s="90"/>
      <c r="CJ547" s="90"/>
      <c r="CK547" s="90"/>
      <c r="CL547" s="90"/>
      <c r="CM547" s="90"/>
      <c r="CN547" s="90"/>
      <c r="CO547" s="90"/>
      <c r="CP547" s="90"/>
      <c r="CQ547" s="90"/>
      <c r="CR547" s="90"/>
      <c r="CS547" s="90"/>
      <c r="CT547" s="90"/>
      <c r="CU547" s="90"/>
      <c r="CV547" s="90"/>
      <c r="CW547" s="90"/>
    </row>
    <row r="548" ht="16.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0"/>
      <c r="BQ548" s="90"/>
      <c r="BR548" s="90"/>
      <c r="BS548" s="90"/>
      <c r="BT548" s="90"/>
      <c r="BU548" s="90"/>
      <c r="BV548" s="90"/>
      <c r="BW548" s="90"/>
      <c r="BX548" s="90"/>
      <c r="BY548" s="90"/>
      <c r="BZ548" s="90"/>
      <c r="CA548" s="90"/>
      <c r="CB548" s="90"/>
      <c r="CC548" s="90"/>
      <c r="CD548" s="90"/>
      <c r="CE548" s="90"/>
      <c r="CF548" s="90"/>
      <c r="CG548" s="90"/>
      <c r="CH548" s="90"/>
      <c r="CI548" s="90"/>
      <c r="CJ548" s="90"/>
      <c r="CK548" s="90"/>
      <c r="CL548" s="90"/>
      <c r="CM548" s="90"/>
      <c r="CN548" s="90"/>
      <c r="CO548" s="90"/>
      <c r="CP548" s="90"/>
      <c r="CQ548" s="90"/>
      <c r="CR548" s="90"/>
      <c r="CS548" s="90"/>
      <c r="CT548" s="90"/>
      <c r="CU548" s="90"/>
      <c r="CV548" s="90"/>
      <c r="CW548" s="90"/>
    </row>
    <row r="549" ht="16.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  <c r="CN549" s="90"/>
      <c r="CO549" s="90"/>
      <c r="CP549" s="90"/>
      <c r="CQ549" s="90"/>
      <c r="CR549" s="90"/>
      <c r="CS549" s="90"/>
      <c r="CT549" s="90"/>
      <c r="CU549" s="90"/>
      <c r="CV549" s="90"/>
      <c r="CW549" s="90"/>
    </row>
    <row r="550" ht="16.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0"/>
      <c r="BQ550" s="90"/>
      <c r="BR550" s="90"/>
      <c r="BS550" s="90"/>
      <c r="BT550" s="90"/>
      <c r="BU550" s="90"/>
      <c r="BV550" s="90"/>
      <c r="BW550" s="90"/>
      <c r="BX550" s="90"/>
      <c r="BY550" s="90"/>
      <c r="BZ550" s="90"/>
      <c r="CA550" s="90"/>
      <c r="CB550" s="90"/>
      <c r="CC550" s="90"/>
      <c r="CD550" s="90"/>
      <c r="CE550" s="90"/>
      <c r="CF550" s="90"/>
      <c r="CG550" s="90"/>
      <c r="CH550" s="90"/>
      <c r="CI550" s="90"/>
      <c r="CJ550" s="90"/>
      <c r="CK550" s="90"/>
      <c r="CL550" s="90"/>
      <c r="CM550" s="90"/>
      <c r="CN550" s="90"/>
      <c r="CO550" s="90"/>
      <c r="CP550" s="90"/>
      <c r="CQ550" s="90"/>
      <c r="CR550" s="90"/>
      <c r="CS550" s="90"/>
      <c r="CT550" s="90"/>
      <c r="CU550" s="90"/>
      <c r="CV550" s="90"/>
      <c r="CW550" s="90"/>
    </row>
    <row r="551" ht="16.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  <c r="BO551" s="90"/>
      <c r="BP551" s="90"/>
      <c r="BQ551" s="90"/>
      <c r="BR551" s="90"/>
      <c r="BS551" s="90"/>
      <c r="BT551" s="90"/>
      <c r="BU551" s="90"/>
      <c r="BV551" s="90"/>
      <c r="BW551" s="90"/>
      <c r="BX551" s="90"/>
      <c r="BY551" s="90"/>
      <c r="BZ551" s="90"/>
      <c r="CA551" s="90"/>
      <c r="CB551" s="90"/>
      <c r="CC551" s="90"/>
      <c r="CD551" s="90"/>
      <c r="CE551" s="90"/>
      <c r="CF551" s="90"/>
      <c r="CG551" s="90"/>
      <c r="CH551" s="90"/>
      <c r="CI551" s="90"/>
      <c r="CJ551" s="90"/>
      <c r="CK551" s="90"/>
      <c r="CL551" s="90"/>
      <c r="CM551" s="90"/>
      <c r="CN551" s="90"/>
      <c r="CO551" s="90"/>
      <c r="CP551" s="90"/>
      <c r="CQ551" s="90"/>
      <c r="CR551" s="90"/>
      <c r="CS551" s="90"/>
      <c r="CT551" s="90"/>
      <c r="CU551" s="90"/>
      <c r="CV551" s="90"/>
      <c r="CW551" s="90"/>
    </row>
    <row r="552" ht="16.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0"/>
      <c r="BQ552" s="90"/>
      <c r="BR552" s="90"/>
      <c r="BS552" s="90"/>
      <c r="BT552" s="90"/>
      <c r="BU552" s="90"/>
      <c r="BV552" s="90"/>
      <c r="BW552" s="90"/>
      <c r="BX552" s="90"/>
      <c r="BY552" s="90"/>
      <c r="BZ552" s="90"/>
      <c r="CA552" s="90"/>
      <c r="CB552" s="90"/>
      <c r="CC552" s="90"/>
      <c r="CD552" s="90"/>
      <c r="CE552" s="90"/>
      <c r="CF552" s="90"/>
      <c r="CG552" s="90"/>
      <c r="CH552" s="90"/>
      <c r="CI552" s="90"/>
      <c r="CJ552" s="90"/>
      <c r="CK552" s="90"/>
      <c r="CL552" s="90"/>
      <c r="CM552" s="90"/>
      <c r="CN552" s="90"/>
      <c r="CO552" s="90"/>
      <c r="CP552" s="90"/>
      <c r="CQ552" s="90"/>
      <c r="CR552" s="90"/>
      <c r="CS552" s="90"/>
      <c r="CT552" s="90"/>
      <c r="CU552" s="90"/>
      <c r="CV552" s="90"/>
      <c r="CW552" s="90"/>
    </row>
    <row r="553" ht="16.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  <c r="BO553" s="90"/>
      <c r="BP553" s="90"/>
      <c r="BQ553" s="90"/>
      <c r="BR553" s="90"/>
      <c r="BS553" s="90"/>
      <c r="BT553" s="90"/>
      <c r="BU553" s="90"/>
      <c r="BV553" s="90"/>
      <c r="BW553" s="90"/>
      <c r="BX553" s="90"/>
      <c r="BY553" s="90"/>
      <c r="BZ553" s="90"/>
      <c r="CA553" s="90"/>
      <c r="CB553" s="90"/>
      <c r="CC553" s="90"/>
      <c r="CD553" s="90"/>
      <c r="CE553" s="90"/>
      <c r="CF553" s="90"/>
      <c r="CG553" s="90"/>
      <c r="CH553" s="90"/>
      <c r="CI553" s="90"/>
      <c r="CJ553" s="90"/>
      <c r="CK553" s="90"/>
      <c r="CL553" s="90"/>
      <c r="CM553" s="90"/>
      <c r="CN553" s="90"/>
      <c r="CO553" s="90"/>
      <c r="CP553" s="90"/>
      <c r="CQ553" s="90"/>
      <c r="CR553" s="90"/>
      <c r="CS553" s="90"/>
      <c r="CT553" s="90"/>
      <c r="CU553" s="90"/>
      <c r="CV553" s="90"/>
      <c r="CW553" s="90"/>
    </row>
    <row r="554" ht="16.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0"/>
      <c r="BQ554" s="90"/>
      <c r="BR554" s="90"/>
      <c r="BS554" s="90"/>
      <c r="BT554" s="90"/>
      <c r="BU554" s="90"/>
      <c r="BV554" s="90"/>
      <c r="BW554" s="90"/>
      <c r="BX554" s="90"/>
      <c r="BY554" s="90"/>
      <c r="BZ554" s="90"/>
      <c r="CA554" s="90"/>
      <c r="CB554" s="90"/>
      <c r="CC554" s="90"/>
      <c r="CD554" s="90"/>
      <c r="CE554" s="90"/>
      <c r="CF554" s="90"/>
      <c r="CG554" s="90"/>
      <c r="CH554" s="90"/>
      <c r="CI554" s="90"/>
      <c r="CJ554" s="90"/>
      <c r="CK554" s="90"/>
      <c r="CL554" s="90"/>
      <c r="CM554" s="90"/>
      <c r="CN554" s="90"/>
      <c r="CO554" s="90"/>
      <c r="CP554" s="90"/>
      <c r="CQ554" s="90"/>
      <c r="CR554" s="90"/>
      <c r="CS554" s="90"/>
      <c r="CT554" s="90"/>
      <c r="CU554" s="90"/>
      <c r="CV554" s="90"/>
      <c r="CW554" s="90"/>
    </row>
    <row r="555" ht="16.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  <c r="BO555" s="90"/>
      <c r="BP555" s="90"/>
      <c r="BQ555" s="90"/>
      <c r="BR555" s="90"/>
      <c r="BS555" s="90"/>
      <c r="BT555" s="90"/>
      <c r="BU555" s="90"/>
      <c r="BV555" s="90"/>
      <c r="BW555" s="90"/>
      <c r="BX555" s="90"/>
      <c r="BY555" s="90"/>
      <c r="BZ555" s="90"/>
      <c r="CA555" s="90"/>
      <c r="CB555" s="90"/>
      <c r="CC555" s="90"/>
      <c r="CD555" s="90"/>
      <c r="CE555" s="90"/>
      <c r="CF555" s="90"/>
      <c r="CG555" s="90"/>
      <c r="CH555" s="90"/>
      <c r="CI555" s="90"/>
      <c r="CJ555" s="90"/>
      <c r="CK555" s="90"/>
      <c r="CL555" s="90"/>
      <c r="CM555" s="90"/>
      <c r="CN555" s="90"/>
      <c r="CO555" s="90"/>
      <c r="CP555" s="90"/>
      <c r="CQ555" s="90"/>
      <c r="CR555" s="90"/>
      <c r="CS555" s="90"/>
      <c r="CT555" s="90"/>
      <c r="CU555" s="90"/>
      <c r="CV555" s="90"/>
      <c r="CW555" s="90"/>
    </row>
    <row r="556" ht="16.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0"/>
      <c r="BQ556" s="90"/>
      <c r="BR556" s="90"/>
      <c r="BS556" s="90"/>
      <c r="BT556" s="90"/>
      <c r="BU556" s="90"/>
      <c r="BV556" s="90"/>
      <c r="BW556" s="90"/>
      <c r="BX556" s="90"/>
      <c r="BY556" s="90"/>
      <c r="BZ556" s="90"/>
      <c r="CA556" s="90"/>
      <c r="CB556" s="90"/>
      <c r="CC556" s="90"/>
      <c r="CD556" s="90"/>
      <c r="CE556" s="90"/>
      <c r="CF556" s="90"/>
      <c r="CG556" s="90"/>
      <c r="CH556" s="90"/>
      <c r="CI556" s="90"/>
      <c r="CJ556" s="90"/>
      <c r="CK556" s="90"/>
      <c r="CL556" s="90"/>
      <c r="CM556" s="90"/>
      <c r="CN556" s="90"/>
      <c r="CO556" s="90"/>
      <c r="CP556" s="90"/>
      <c r="CQ556" s="90"/>
      <c r="CR556" s="90"/>
      <c r="CS556" s="90"/>
      <c r="CT556" s="90"/>
      <c r="CU556" s="90"/>
      <c r="CV556" s="90"/>
      <c r="CW556" s="90"/>
    </row>
    <row r="557" ht="16.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  <c r="BO557" s="90"/>
      <c r="BP557" s="90"/>
      <c r="BQ557" s="90"/>
      <c r="BR557" s="90"/>
      <c r="BS557" s="90"/>
      <c r="BT557" s="90"/>
      <c r="BU557" s="90"/>
      <c r="BV557" s="90"/>
      <c r="BW557" s="90"/>
      <c r="BX557" s="90"/>
      <c r="BY557" s="90"/>
      <c r="BZ557" s="90"/>
      <c r="CA557" s="90"/>
      <c r="CB557" s="90"/>
      <c r="CC557" s="90"/>
      <c r="CD557" s="90"/>
      <c r="CE557" s="90"/>
      <c r="CF557" s="90"/>
      <c r="CG557" s="90"/>
      <c r="CH557" s="90"/>
      <c r="CI557" s="90"/>
      <c r="CJ557" s="90"/>
      <c r="CK557" s="90"/>
      <c r="CL557" s="90"/>
      <c r="CM557" s="90"/>
      <c r="CN557" s="90"/>
      <c r="CO557" s="90"/>
      <c r="CP557" s="90"/>
      <c r="CQ557" s="90"/>
      <c r="CR557" s="90"/>
      <c r="CS557" s="90"/>
      <c r="CT557" s="90"/>
      <c r="CU557" s="90"/>
      <c r="CV557" s="90"/>
      <c r="CW557" s="90"/>
    </row>
    <row r="558" ht="16.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0"/>
      <c r="BQ558" s="90"/>
      <c r="BR558" s="90"/>
      <c r="BS558" s="90"/>
      <c r="BT558" s="90"/>
      <c r="BU558" s="90"/>
      <c r="BV558" s="90"/>
      <c r="BW558" s="90"/>
      <c r="BX558" s="90"/>
      <c r="BY558" s="90"/>
      <c r="BZ558" s="90"/>
      <c r="CA558" s="90"/>
      <c r="CB558" s="90"/>
      <c r="CC558" s="90"/>
      <c r="CD558" s="90"/>
      <c r="CE558" s="90"/>
      <c r="CF558" s="90"/>
      <c r="CG558" s="90"/>
      <c r="CH558" s="90"/>
      <c r="CI558" s="90"/>
      <c r="CJ558" s="90"/>
      <c r="CK558" s="90"/>
      <c r="CL558" s="90"/>
      <c r="CM558" s="90"/>
      <c r="CN558" s="90"/>
      <c r="CO558" s="90"/>
      <c r="CP558" s="90"/>
      <c r="CQ558" s="90"/>
      <c r="CR558" s="90"/>
      <c r="CS558" s="90"/>
      <c r="CT558" s="90"/>
      <c r="CU558" s="90"/>
      <c r="CV558" s="90"/>
      <c r="CW558" s="90"/>
    </row>
    <row r="559" ht="16.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  <c r="BO559" s="90"/>
      <c r="BP559" s="90"/>
      <c r="BQ559" s="90"/>
      <c r="BR559" s="90"/>
      <c r="BS559" s="90"/>
      <c r="BT559" s="90"/>
      <c r="BU559" s="90"/>
      <c r="BV559" s="90"/>
      <c r="BW559" s="90"/>
      <c r="BX559" s="90"/>
      <c r="BY559" s="90"/>
      <c r="BZ559" s="90"/>
      <c r="CA559" s="90"/>
      <c r="CB559" s="90"/>
      <c r="CC559" s="90"/>
      <c r="CD559" s="90"/>
      <c r="CE559" s="90"/>
      <c r="CF559" s="90"/>
      <c r="CG559" s="90"/>
      <c r="CH559" s="90"/>
      <c r="CI559" s="90"/>
      <c r="CJ559" s="90"/>
      <c r="CK559" s="90"/>
      <c r="CL559" s="90"/>
      <c r="CM559" s="90"/>
      <c r="CN559" s="90"/>
      <c r="CO559" s="90"/>
      <c r="CP559" s="90"/>
      <c r="CQ559" s="90"/>
      <c r="CR559" s="90"/>
      <c r="CS559" s="90"/>
      <c r="CT559" s="90"/>
      <c r="CU559" s="90"/>
      <c r="CV559" s="90"/>
      <c r="CW559" s="90"/>
    </row>
    <row r="560" ht="16.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0"/>
      <c r="BQ560" s="90"/>
      <c r="BR560" s="90"/>
      <c r="BS560" s="90"/>
      <c r="BT560" s="90"/>
      <c r="BU560" s="90"/>
      <c r="BV560" s="90"/>
      <c r="BW560" s="90"/>
      <c r="BX560" s="90"/>
      <c r="BY560" s="90"/>
      <c r="BZ560" s="90"/>
      <c r="CA560" s="90"/>
      <c r="CB560" s="90"/>
      <c r="CC560" s="90"/>
      <c r="CD560" s="90"/>
      <c r="CE560" s="90"/>
      <c r="CF560" s="90"/>
      <c r="CG560" s="90"/>
      <c r="CH560" s="90"/>
      <c r="CI560" s="90"/>
      <c r="CJ560" s="90"/>
      <c r="CK560" s="90"/>
      <c r="CL560" s="90"/>
      <c r="CM560" s="90"/>
      <c r="CN560" s="90"/>
      <c r="CO560" s="90"/>
      <c r="CP560" s="90"/>
      <c r="CQ560" s="90"/>
      <c r="CR560" s="90"/>
      <c r="CS560" s="90"/>
      <c r="CT560" s="90"/>
      <c r="CU560" s="90"/>
      <c r="CV560" s="90"/>
      <c r="CW560" s="90"/>
    </row>
    <row r="561" ht="16.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90"/>
      <c r="BQ561" s="90"/>
      <c r="BR561" s="90"/>
      <c r="BS561" s="90"/>
      <c r="BT561" s="90"/>
      <c r="BU561" s="90"/>
      <c r="BV561" s="90"/>
      <c r="BW561" s="90"/>
      <c r="BX561" s="90"/>
      <c r="BY561" s="90"/>
      <c r="BZ561" s="90"/>
      <c r="CA561" s="90"/>
      <c r="CB561" s="90"/>
      <c r="CC561" s="90"/>
      <c r="CD561" s="90"/>
      <c r="CE561" s="90"/>
      <c r="CF561" s="90"/>
      <c r="CG561" s="90"/>
      <c r="CH561" s="90"/>
      <c r="CI561" s="90"/>
      <c r="CJ561" s="90"/>
      <c r="CK561" s="90"/>
      <c r="CL561" s="90"/>
      <c r="CM561" s="90"/>
      <c r="CN561" s="90"/>
      <c r="CO561" s="90"/>
      <c r="CP561" s="90"/>
      <c r="CQ561" s="90"/>
      <c r="CR561" s="90"/>
      <c r="CS561" s="90"/>
      <c r="CT561" s="90"/>
      <c r="CU561" s="90"/>
      <c r="CV561" s="90"/>
      <c r="CW561" s="90"/>
    </row>
    <row r="562" ht="16.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0"/>
      <c r="BQ562" s="90"/>
      <c r="BR562" s="90"/>
      <c r="BS562" s="90"/>
      <c r="BT562" s="90"/>
      <c r="BU562" s="90"/>
      <c r="BV562" s="90"/>
      <c r="BW562" s="90"/>
      <c r="BX562" s="90"/>
      <c r="BY562" s="90"/>
      <c r="BZ562" s="90"/>
      <c r="CA562" s="90"/>
      <c r="CB562" s="90"/>
      <c r="CC562" s="90"/>
      <c r="CD562" s="90"/>
      <c r="CE562" s="90"/>
      <c r="CF562" s="90"/>
      <c r="CG562" s="90"/>
      <c r="CH562" s="90"/>
      <c r="CI562" s="90"/>
      <c r="CJ562" s="90"/>
      <c r="CK562" s="90"/>
      <c r="CL562" s="90"/>
      <c r="CM562" s="90"/>
      <c r="CN562" s="90"/>
      <c r="CO562" s="90"/>
      <c r="CP562" s="90"/>
      <c r="CQ562" s="90"/>
      <c r="CR562" s="90"/>
      <c r="CS562" s="90"/>
      <c r="CT562" s="90"/>
      <c r="CU562" s="90"/>
      <c r="CV562" s="90"/>
      <c r="CW562" s="90"/>
    </row>
    <row r="563" ht="16.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  <c r="BO563" s="90"/>
      <c r="BP563" s="90"/>
      <c r="BQ563" s="90"/>
      <c r="BR563" s="90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  <c r="CN563" s="90"/>
      <c r="CO563" s="90"/>
      <c r="CP563" s="90"/>
      <c r="CQ563" s="90"/>
      <c r="CR563" s="90"/>
      <c r="CS563" s="90"/>
      <c r="CT563" s="90"/>
      <c r="CU563" s="90"/>
      <c r="CV563" s="90"/>
      <c r="CW563" s="90"/>
    </row>
    <row r="564" ht="16.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0"/>
      <c r="BQ564" s="90"/>
      <c r="BR564" s="90"/>
      <c r="BS564" s="90"/>
      <c r="BT564" s="90"/>
      <c r="BU564" s="90"/>
      <c r="BV564" s="90"/>
      <c r="BW564" s="90"/>
      <c r="BX564" s="90"/>
      <c r="BY564" s="90"/>
      <c r="BZ564" s="90"/>
      <c r="CA564" s="90"/>
      <c r="CB564" s="90"/>
      <c r="CC564" s="90"/>
      <c r="CD564" s="90"/>
      <c r="CE564" s="90"/>
      <c r="CF564" s="90"/>
      <c r="CG564" s="90"/>
      <c r="CH564" s="90"/>
      <c r="CI564" s="90"/>
      <c r="CJ564" s="90"/>
      <c r="CK564" s="90"/>
      <c r="CL564" s="90"/>
      <c r="CM564" s="90"/>
      <c r="CN564" s="90"/>
      <c r="CO564" s="90"/>
      <c r="CP564" s="90"/>
      <c r="CQ564" s="90"/>
      <c r="CR564" s="90"/>
      <c r="CS564" s="90"/>
      <c r="CT564" s="90"/>
      <c r="CU564" s="90"/>
      <c r="CV564" s="90"/>
      <c r="CW564" s="90"/>
    </row>
    <row r="565" ht="16.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  <c r="BO565" s="90"/>
      <c r="BP565" s="90"/>
      <c r="BQ565" s="90"/>
      <c r="BR565" s="90"/>
      <c r="BS565" s="90"/>
      <c r="BT565" s="90"/>
      <c r="BU565" s="90"/>
      <c r="BV565" s="90"/>
      <c r="BW565" s="90"/>
      <c r="BX565" s="90"/>
      <c r="BY565" s="90"/>
      <c r="BZ565" s="90"/>
      <c r="CA565" s="90"/>
      <c r="CB565" s="90"/>
      <c r="CC565" s="90"/>
      <c r="CD565" s="90"/>
      <c r="CE565" s="90"/>
      <c r="CF565" s="90"/>
      <c r="CG565" s="90"/>
      <c r="CH565" s="90"/>
      <c r="CI565" s="90"/>
      <c r="CJ565" s="90"/>
      <c r="CK565" s="90"/>
      <c r="CL565" s="90"/>
      <c r="CM565" s="90"/>
      <c r="CN565" s="90"/>
      <c r="CO565" s="90"/>
      <c r="CP565" s="90"/>
      <c r="CQ565" s="90"/>
      <c r="CR565" s="90"/>
      <c r="CS565" s="90"/>
      <c r="CT565" s="90"/>
      <c r="CU565" s="90"/>
      <c r="CV565" s="90"/>
      <c r="CW565" s="90"/>
    </row>
    <row r="566" ht="16.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0"/>
      <c r="BQ566" s="90"/>
      <c r="BR566" s="90"/>
      <c r="BS566" s="90"/>
      <c r="BT566" s="90"/>
      <c r="BU566" s="90"/>
      <c r="BV566" s="90"/>
      <c r="BW566" s="90"/>
      <c r="BX566" s="90"/>
      <c r="BY566" s="90"/>
      <c r="BZ566" s="90"/>
      <c r="CA566" s="90"/>
      <c r="CB566" s="90"/>
      <c r="CC566" s="90"/>
      <c r="CD566" s="90"/>
      <c r="CE566" s="90"/>
      <c r="CF566" s="90"/>
      <c r="CG566" s="90"/>
      <c r="CH566" s="90"/>
      <c r="CI566" s="90"/>
      <c r="CJ566" s="90"/>
      <c r="CK566" s="90"/>
      <c r="CL566" s="90"/>
      <c r="CM566" s="90"/>
      <c r="CN566" s="90"/>
      <c r="CO566" s="90"/>
      <c r="CP566" s="90"/>
      <c r="CQ566" s="90"/>
      <c r="CR566" s="90"/>
      <c r="CS566" s="90"/>
      <c r="CT566" s="90"/>
      <c r="CU566" s="90"/>
      <c r="CV566" s="90"/>
      <c r="CW566" s="90"/>
    </row>
    <row r="567" ht="16.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  <c r="BO567" s="90"/>
      <c r="BP567" s="90"/>
      <c r="BQ567" s="90"/>
      <c r="BR567" s="90"/>
      <c r="BS567" s="90"/>
      <c r="BT567" s="90"/>
      <c r="BU567" s="90"/>
      <c r="BV567" s="90"/>
      <c r="BW567" s="90"/>
      <c r="BX567" s="90"/>
      <c r="BY567" s="90"/>
      <c r="BZ567" s="90"/>
      <c r="CA567" s="90"/>
      <c r="CB567" s="90"/>
      <c r="CC567" s="90"/>
      <c r="CD567" s="90"/>
      <c r="CE567" s="90"/>
      <c r="CF567" s="90"/>
      <c r="CG567" s="90"/>
      <c r="CH567" s="90"/>
      <c r="CI567" s="90"/>
      <c r="CJ567" s="90"/>
      <c r="CK567" s="90"/>
      <c r="CL567" s="90"/>
      <c r="CM567" s="90"/>
      <c r="CN567" s="90"/>
      <c r="CO567" s="90"/>
      <c r="CP567" s="90"/>
      <c r="CQ567" s="90"/>
      <c r="CR567" s="90"/>
      <c r="CS567" s="90"/>
      <c r="CT567" s="90"/>
      <c r="CU567" s="90"/>
      <c r="CV567" s="90"/>
      <c r="CW567" s="90"/>
    </row>
    <row r="568" ht="16.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0"/>
      <c r="BQ568" s="90"/>
      <c r="BR568" s="90"/>
      <c r="BS568" s="90"/>
      <c r="BT568" s="90"/>
      <c r="BU568" s="90"/>
      <c r="BV568" s="90"/>
      <c r="BW568" s="90"/>
      <c r="BX568" s="90"/>
      <c r="BY568" s="90"/>
      <c r="BZ568" s="90"/>
      <c r="CA568" s="90"/>
      <c r="CB568" s="90"/>
      <c r="CC568" s="90"/>
      <c r="CD568" s="90"/>
      <c r="CE568" s="90"/>
      <c r="CF568" s="90"/>
      <c r="CG568" s="90"/>
      <c r="CH568" s="90"/>
      <c r="CI568" s="90"/>
      <c r="CJ568" s="90"/>
      <c r="CK568" s="90"/>
      <c r="CL568" s="90"/>
      <c r="CM568" s="90"/>
      <c r="CN568" s="90"/>
      <c r="CO568" s="90"/>
      <c r="CP568" s="90"/>
      <c r="CQ568" s="90"/>
      <c r="CR568" s="90"/>
      <c r="CS568" s="90"/>
      <c r="CT568" s="90"/>
      <c r="CU568" s="90"/>
      <c r="CV568" s="90"/>
      <c r="CW568" s="90"/>
    </row>
    <row r="569" ht="16.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  <c r="BO569" s="90"/>
      <c r="BP569" s="90"/>
      <c r="BQ569" s="90"/>
      <c r="BR569" s="90"/>
      <c r="BS569" s="90"/>
      <c r="BT569" s="90"/>
      <c r="BU569" s="90"/>
      <c r="BV569" s="90"/>
      <c r="BW569" s="90"/>
      <c r="BX569" s="90"/>
      <c r="BY569" s="90"/>
      <c r="BZ569" s="90"/>
      <c r="CA569" s="90"/>
      <c r="CB569" s="90"/>
      <c r="CC569" s="90"/>
      <c r="CD569" s="90"/>
      <c r="CE569" s="90"/>
      <c r="CF569" s="90"/>
      <c r="CG569" s="90"/>
      <c r="CH569" s="90"/>
      <c r="CI569" s="90"/>
      <c r="CJ569" s="90"/>
      <c r="CK569" s="90"/>
      <c r="CL569" s="90"/>
      <c r="CM569" s="90"/>
      <c r="CN569" s="90"/>
      <c r="CO569" s="90"/>
      <c r="CP569" s="90"/>
      <c r="CQ569" s="90"/>
      <c r="CR569" s="90"/>
      <c r="CS569" s="90"/>
      <c r="CT569" s="90"/>
      <c r="CU569" s="90"/>
      <c r="CV569" s="90"/>
      <c r="CW569" s="90"/>
    </row>
    <row r="570" ht="16.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0"/>
      <c r="BQ570" s="90"/>
      <c r="BR570" s="90"/>
      <c r="BS570" s="90"/>
      <c r="BT570" s="90"/>
      <c r="BU570" s="90"/>
      <c r="BV570" s="90"/>
      <c r="BW570" s="90"/>
      <c r="BX570" s="90"/>
      <c r="BY570" s="90"/>
      <c r="BZ570" s="90"/>
      <c r="CA570" s="90"/>
      <c r="CB570" s="90"/>
      <c r="CC570" s="90"/>
      <c r="CD570" s="90"/>
      <c r="CE570" s="90"/>
      <c r="CF570" s="90"/>
      <c r="CG570" s="90"/>
      <c r="CH570" s="90"/>
      <c r="CI570" s="90"/>
      <c r="CJ570" s="90"/>
      <c r="CK570" s="90"/>
      <c r="CL570" s="90"/>
      <c r="CM570" s="90"/>
      <c r="CN570" s="90"/>
      <c r="CO570" s="90"/>
      <c r="CP570" s="90"/>
      <c r="CQ570" s="90"/>
      <c r="CR570" s="90"/>
      <c r="CS570" s="90"/>
      <c r="CT570" s="90"/>
      <c r="CU570" s="90"/>
      <c r="CV570" s="90"/>
      <c r="CW570" s="90"/>
    </row>
    <row r="571" ht="16.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  <c r="BO571" s="90"/>
      <c r="BP571" s="90"/>
      <c r="BQ571" s="90"/>
      <c r="BR571" s="90"/>
      <c r="BS571" s="90"/>
      <c r="BT571" s="90"/>
      <c r="BU571" s="90"/>
      <c r="BV571" s="90"/>
      <c r="BW571" s="90"/>
      <c r="BX571" s="90"/>
      <c r="BY571" s="90"/>
      <c r="BZ571" s="90"/>
      <c r="CA571" s="90"/>
      <c r="CB571" s="90"/>
      <c r="CC571" s="90"/>
      <c r="CD571" s="90"/>
      <c r="CE571" s="90"/>
      <c r="CF571" s="90"/>
      <c r="CG571" s="90"/>
      <c r="CH571" s="90"/>
      <c r="CI571" s="90"/>
      <c r="CJ571" s="90"/>
      <c r="CK571" s="90"/>
      <c r="CL571" s="90"/>
      <c r="CM571" s="90"/>
      <c r="CN571" s="90"/>
      <c r="CO571" s="90"/>
      <c r="CP571" s="90"/>
      <c r="CQ571" s="90"/>
      <c r="CR571" s="90"/>
      <c r="CS571" s="90"/>
      <c r="CT571" s="90"/>
      <c r="CU571" s="90"/>
      <c r="CV571" s="90"/>
      <c r="CW571" s="90"/>
    </row>
    <row r="572" ht="16.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0"/>
      <c r="BQ572" s="90"/>
      <c r="BR572" s="90"/>
      <c r="BS572" s="90"/>
      <c r="BT572" s="90"/>
      <c r="BU572" s="90"/>
      <c r="BV572" s="90"/>
      <c r="BW572" s="90"/>
      <c r="BX572" s="90"/>
      <c r="BY572" s="90"/>
      <c r="BZ572" s="90"/>
      <c r="CA572" s="90"/>
      <c r="CB572" s="90"/>
      <c r="CC572" s="90"/>
      <c r="CD572" s="90"/>
      <c r="CE572" s="90"/>
      <c r="CF572" s="90"/>
      <c r="CG572" s="90"/>
      <c r="CH572" s="90"/>
      <c r="CI572" s="90"/>
      <c r="CJ572" s="90"/>
      <c r="CK572" s="90"/>
      <c r="CL572" s="90"/>
      <c r="CM572" s="90"/>
      <c r="CN572" s="90"/>
      <c r="CO572" s="90"/>
      <c r="CP572" s="90"/>
      <c r="CQ572" s="90"/>
      <c r="CR572" s="90"/>
      <c r="CS572" s="90"/>
      <c r="CT572" s="90"/>
      <c r="CU572" s="90"/>
      <c r="CV572" s="90"/>
      <c r="CW572" s="90"/>
    </row>
    <row r="573" ht="16.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  <c r="BO573" s="90"/>
      <c r="BP573" s="90"/>
      <c r="BQ573" s="90"/>
      <c r="BR573" s="90"/>
      <c r="BS573" s="90"/>
      <c r="BT573" s="90"/>
      <c r="BU573" s="90"/>
      <c r="BV573" s="90"/>
      <c r="BW573" s="90"/>
      <c r="BX573" s="90"/>
      <c r="BY573" s="90"/>
      <c r="BZ573" s="90"/>
      <c r="CA573" s="90"/>
      <c r="CB573" s="90"/>
      <c r="CC573" s="90"/>
      <c r="CD573" s="90"/>
      <c r="CE573" s="90"/>
      <c r="CF573" s="90"/>
      <c r="CG573" s="90"/>
      <c r="CH573" s="90"/>
      <c r="CI573" s="90"/>
      <c r="CJ573" s="90"/>
      <c r="CK573" s="90"/>
      <c r="CL573" s="90"/>
      <c r="CM573" s="90"/>
      <c r="CN573" s="90"/>
      <c r="CO573" s="90"/>
      <c r="CP573" s="90"/>
      <c r="CQ573" s="90"/>
      <c r="CR573" s="90"/>
      <c r="CS573" s="90"/>
      <c r="CT573" s="90"/>
      <c r="CU573" s="90"/>
      <c r="CV573" s="90"/>
      <c r="CW573" s="90"/>
    </row>
    <row r="574" ht="16.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0"/>
      <c r="BQ574" s="90"/>
      <c r="BR574" s="90"/>
      <c r="BS574" s="90"/>
      <c r="BT574" s="90"/>
      <c r="BU574" s="90"/>
      <c r="BV574" s="90"/>
      <c r="BW574" s="90"/>
      <c r="BX574" s="90"/>
      <c r="BY574" s="90"/>
      <c r="BZ574" s="90"/>
      <c r="CA574" s="90"/>
      <c r="CB574" s="90"/>
      <c r="CC574" s="90"/>
      <c r="CD574" s="90"/>
      <c r="CE574" s="90"/>
      <c r="CF574" s="90"/>
      <c r="CG574" s="90"/>
      <c r="CH574" s="90"/>
      <c r="CI574" s="90"/>
      <c r="CJ574" s="90"/>
      <c r="CK574" s="90"/>
      <c r="CL574" s="90"/>
      <c r="CM574" s="90"/>
      <c r="CN574" s="90"/>
      <c r="CO574" s="90"/>
      <c r="CP574" s="90"/>
      <c r="CQ574" s="90"/>
      <c r="CR574" s="90"/>
      <c r="CS574" s="90"/>
      <c r="CT574" s="90"/>
      <c r="CU574" s="90"/>
      <c r="CV574" s="90"/>
      <c r="CW574" s="90"/>
    </row>
    <row r="575" ht="16.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  <c r="BO575" s="90"/>
      <c r="BP575" s="90"/>
      <c r="BQ575" s="90"/>
      <c r="BR575" s="90"/>
      <c r="BS575" s="90"/>
      <c r="BT575" s="90"/>
      <c r="BU575" s="90"/>
      <c r="BV575" s="90"/>
      <c r="BW575" s="90"/>
      <c r="BX575" s="90"/>
      <c r="BY575" s="90"/>
      <c r="BZ575" s="90"/>
      <c r="CA575" s="90"/>
      <c r="CB575" s="90"/>
      <c r="CC575" s="90"/>
      <c r="CD575" s="90"/>
      <c r="CE575" s="90"/>
      <c r="CF575" s="90"/>
      <c r="CG575" s="90"/>
      <c r="CH575" s="90"/>
      <c r="CI575" s="90"/>
      <c r="CJ575" s="90"/>
      <c r="CK575" s="90"/>
      <c r="CL575" s="90"/>
      <c r="CM575" s="90"/>
      <c r="CN575" s="90"/>
      <c r="CO575" s="90"/>
      <c r="CP575" s="90"/>
      <c r="CQ575" s="90"/>
      <c r="CR575" s="90"/>
      <c r="CS575" s="90"/>
      <c r="CT575" s="90"/>
      <c r="CU575" s="90"/>
      <c r="CV575" s="90"/>
      <c r="CW575" s="90"/>
    </row>
    <row r="576" ht="16.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0"/>
      <c r="BQ576" s="90"/>
      <c r="BR576" s="90"/>
      <c r="BS576" s="90"/>
      <c r="BT576" s="90"/>
      <c r="BU576" s="90"/>
      <c r="BV576" s="90"/>
      <c r="BW576" s="90"/>
      <c r="BX576" s="90"/>
      <c r="BY576" s="90"/>
      <c r="BZ576" s="90"/>
      <c r="CA576" s="90"/>
      <c r="CB576" s="90"/>
      <c r="CC576" s="90"/>
      <c r="CD576" s="90"/>
      <c r="CE576" s="90"/>
      <c r="CF576" s="90"/>
      <c r="CG576" s="90"/>
      <c r="CH576" s="90"/>
      <c r="CI576" s="90"/>
      <c r="CJ576" s="90"/>
      <c r="CK576" s="90"/>
      <c r="CL576" s="90"/>
      <c r="CM576" s="90"/>
      <c r="CN576" s="90"/>
      <c r="CO576" s="90"/>
      <c r="CP576" s="90"/>
      <c r="CQ576" s="90"/>
      <c r="CR576" s="90"/>
      <c r="CS576" s="90"/>
      <c r="CT576" s="90"/>
      <c r="CU576" s="90"/>
      <c r="CV576" s="90"/>
      <c r="CW576" s="90"/>
    </row>
    <row r="577" ht="16.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  <c r="BO577" s="90"/>
      <c r="BP577" s="90"/>
      <c r="BQ577" s="90"/>
      <c r="BR577" s="90"/>
      <c r="BS577" s="90"/>
      <c r="BT577" s="90"/>
      <c r="BU577" s="90"/>
      <c r="BV577" s="90"/>
      <c r="BW577" s="90"/>
      <c r="BX577" s="90"/>
      <c r="BY577" s="90"/>
      <c r="BZ577" s="90"/>
      <c r="CA577" s="90"/>
      <c r="CB577" s="90"/>
      <c r="CC577" s="90"/>
      <c r="CD577" s="90"/>
      <c r="CE577" s="90"/>
      <c r="CF577" s="90"/>
      <c r="CG577" s="90"/>
      <c r="CH577" s="90"/>
      <c r="CI577" s="90"/>
      <c r="CJ577" s="90"/>
      <c r="CK577" s="90"/>
      <c r="CL577" s="90"/>
      <c r="CM577" s="90"/>
      <c r="CN577" s="90"/>
      <c r="CO577" s="90"/>
      <c r="CP577" s="90"/>
      <c r="CQ577" s="90"/>
      <c r="CR577" s="90"/>
      <c r="CS577" s="90"/>
      <c r="CT577" s="90"/>
      <c r="CU577" s="90"/>
      <c r="CV577" s="90"/>
      <c r="CW577" s="90"/>
    </row>
    <row r="578" ht="16.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0"/>
      <c r="BQ578" s="90"/>
      <c r="BR578" s="90"/>
      <c r="BS578" s="90"/>
      <c r="BT578" s="90"/>
      <c r="BU578" s="90"/>
      <c r="BV578" s="90"/>
      <c r="BW578" s="90"/>
      <c r="BX578" s="90"/>
      <c r="BY578" s="90"/>
      <c r="BZ578" s="90"/>
      <c r="CA578" s="90"/>
      <c r="CB578" s="90"/>
      <c r="CC578" s="90"/>
      <c r="CD578" s="90"/>
      <c r="CE578" s="90"/>
      <c r="CF578" s="90"/>
      <c r="CG578" s="90"/>
      <c r="CH578" s="90"/>
      <c r="CI578" s="90"/>
      <c r="CJ578" s="90"/>
      <c r="CK578" s="90"/>
      <c r="CL578" s="90"/>
      <c r="CM578" s="90"/>
      <c r="CN578" s="90"/>
      <c r="CO578" s="90"/>
      <c r="CP578" s="90"/>
      <c r="CQ578" s="90"/>
      <c r="CR578" s="90"/>
      <c r="CS578" s="90"/>
      <c r="CT578" s="90"/>
      <c r="CU578" s="90"/>
      <c r="CV578" s="90"/>
      <c r="CW578" s="90"/>
    </row>
    <row r="579" ht="16.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  <c r="BO579" s="90"/>
      <c r="BP579" s="90"/>
      <c r="BQ579" s="90"/>
      <c r="BR579" s="90"/>
      <c r="BS579" s="90"/>
      <c r="BT579" s="90"/>
      <c r="BU579" s="90"/>
      <c r="BV579" s="90"/>
      <c r="BW579" s="90"/>
      <c r="BX579" s="90"/>
      <c r="BY579" s="90"/>
      <c r="BZ579" s="90"/>
      <c r="CA579" s="90"/>
      <c r="CB579" s="90"/>
      <c r="CC579" s="90"/>
      <c r="CD579" s="90"/>
      <c r="CE579" s="90"/>
      <c r="CF579" s="90"/>
      <c r="CG579" s="90"/>
      <c r="CH579" s="90"/>
      <c r="CI579" s="90"/>
      <c r="CJ579" s="90"/>
      <c r="CK579" s="90"/>
      <c r="CL579" s="90"/>
      <c r="CM579" s="90"/>
      <c r="CN579" s="90"/>
      <c r="CO579" s="90"/>
      <c r="CP579" s="90"/>
      <c r="CQ579" s="90"/>
      <c r="CR579" s="90"/>
      <c r="CS579" s="90"/>
      <c r="CT579" s="90"/>
      <c r="CU579" s="90"/>
      <c r="CV579" s="90"/>
      <c r="CW579" s="90"/>
    </row>
    <row r="580" ht="16.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0"/>
      <c r="BS580" s="90"/>
      <c r="BT580" s="90"/>
      <c r="BU580" s="90"/>
      <c r="BV580" s="90"/>
      <c r="BW580" s="90"/>
      <c r="BX580" s="90"/>
      <c r="BY580" s="90"/>
      <c r="BZ580" s="90"/>
      <c r="CA580" s="90"/>
      <c r="CB580" s="90"/>
      <c r="CC580" s="90"/>
      <c r="CD580" s="90"/>
      <c r="CE580" s="90"/>
      <c r="CF580" s="90"/>
      <c r="CG580" s="90"/>
      <c r="CH580" s="90"/>
      <c r="CI580" s="90"/>
      <c r="CJ580" s="90"/>
      <c r="CK580" s="90"/>
      <c r="CL580" s="90"/>
      <c r="CM580" s="90"/>
      <c r="CN580" s="90"/>
      <c r="CO580" s="90"/>
      <c r="CP580" s="90"/>
      <c r="CQ580" s="90"/>
      <c r="CR580" s="90"/>
      <c r="CS580" s="90"/>
      <c r="CT580" s="90"/>
      <c r="CU580" s="90"/>
      <c r="CV580" s="90"/>
      <c r="CW580" s="90"/>
    </row>
    <row r="581" ht="16.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  <c r="CN581" s="90"/>
      <c r="CO581" s="90"/>
      <c r="CP581" s="90"/>
      <c r="CQ581" s="90"/>
      <c r="CR581" s="90"/>
      <c r="CS581" s="90"/>
      <c r="CT581" s="90"/>
      <c r="CU581" s="90"/>
      <c r="CV581" s="90"/>
      <c r="CW581" s="90"/>
    </row>
    <row r="582" ht="16.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0"/>
      <c r="BQ582" s="90"/>
      <c r="BR582" s="90"/>
      <c r="BS582" s="90"/>
      <c r="BT582" s="90"/>
      <c r="BU582" s="90"/>
      <c r="BV582" s="90"/>
      <c r="BW582" s="90"/>
      <c r="BX582" s="90"/>
      <c r="BY582" s="90"/>
      <c r="BZ582" s="90"/>
      <c r="CA582" s="90"/>
      <c r="CB582" s="90"/>
      <c r="CC582" s="90"/>
      <c r="CD582" s="90"/>
      <c r="CE582" s="90"/>
      <c r="CF582" s="90"/>
      <c r="CG582" s="90"/>
      <c r="CH582" s="90"/>
      <c r="CI582" s="90"/>
      <c r="CJ582" s="90"/>
      <c r="CK582" s="90"/>
      <c r="CL582" s="90"/>
      <c r="CM582" s="90"/>
      <c r="CN582" s="90"/>
      <c r="CO582" s="90"/>
      <c r="CP582" s="90"/>
      <c r="CQ582" s="90"/>
      <c r="CR582" s="90"/>
      <c r="CS582" s="90"/>
      <c r="CT582" s="90"/>
      <c r="CU582" s="90"/>
      <c r="CV582" s="90"/>
      <c r="CW582" s="90"/>
    </row>
    <row r="583" ht="16.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  <c r="CN583" s="90"/>
      <c r="CO583" s="90"/>
      <c r="CP583" s="90"/>
      <c r="CQ583" s="90"/>
      <c r="CR583" s="90"/>
      <c r="CS583" s="90"/>
      <c r="CT583" s="90"/>
      <c r="CU583" s="90"/>
      <c r="CV583" s="90"/>
      <c r="CW583" s="90"/>
    </row>
    <row r="584" ht="16.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0"/>
      <c r="BQ584" s="90"/>
      <c r="BR584" s="90"/>
      <c r="BS584" s="90"/>
      <c r="BT584" s="90"/>
      <c r="BU584" s="90"/>
      <c r="BV584" s="90"/>
      <c r="BW584" s="90"/>
      <c r="BX584" s="90"/>
      <c r="BY584" s="90"/>
      <c r="BZ584" s="90"/>
      <c r="CA584" s="90"/>
      <c r="CB584" s="90"/>
      <c r="CC584" s="90"/>
      <c r="CD584" s="90"/>
      <c r="CE584" s="90"/>
      <c r="CF584" s="90"/>
      <c r="CG584" s="90"/>
      <c r="CH584" s="90"/>
      <c r="CI584" s="90"/>
      <c r="CJ584" s="90"/>
      <c r="CK584" s="90"/>
      <c r="CL584" s="90"/>
      <c r="CM584" s="90"/>
      <c r="CN584" s="90"/>
      <c r="CO584" s="90"/>
      <c r="CP584" s="90"/>
      <c r="CQ584" s="90"/>
      <c r="CR584" s="90"/>
      <c r="CS584" s="90"/>
      <c r="CT584" s="90"/>
      <c r="CU584" s="90"/>
      <c r="CV584" s="90"/>
      <c r="CW584" s="90"/>
    </row>
    <row r="585" ht="16.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  <c r="BO585" s="90"/>
      <c r="BP585" s="90"/>
      <c r="BQ585" s="90"/>
      <c r="BR585" s="90"/>
      <c r="BS585" s="90"/>
      <c r="BT585" s="90"/>
      <c r="BU585" s="90"/>
      <c r="BV585" s="90"/>
      <c r="BW585" s="90"/>
      <c r="BX585" s="90"/>
      <c r="BY585" s="90"/>
      <c r="BZ585" s="90"/>
      <c r="CA585" s="90"/>
      <c r="CB585" s="90"/>
      <c r="CC585" s="90"/>
      <c r="CD585" s="90"/>
      <c r="CE585" s="90"/>
      <c r="CF585" s="90"/>
      <c r="CG585" s="90"/>
      <c r="CH585" s="90"/>
      <c r="CI585" s="90"/>
      <c r="CJ585" s="90"/>
      <c r="CK585" s="90"/>
      <c r="CL585" s="90"/>
      <c r="CM585" s="90"/>
      <c r="CN585" s="90"/>
      <c r="CO585" s="90"/>
      <c r="CP585" s="90"/>
      <c r="CQ585" s="90"/>
      <c r="CR585" s="90"/>
      <c r="CS585" s="90"/>
      <c r="CT585" s="90"/>
      <c r="CU585" s="90"/>
      <c r="CV585" s="90"/>
      <c r="CW585" s="90"/>
    </row>
    <row r="586" ht="16.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0"/>
      <c r="BQ586" s="90"/>
      <c r="BR586" s="90"/>
      <c r="BS586" s="90"/>
      <c r="BT586" s="90"/>
      <c r="BU586" s="90"/>
      <c r="BV586" s="90"/>
      <c r="BW586" s="90"/>
      <c r="BX586" s="90"/>
      <c r="BY586" s="90"/>
      <c r="BZ586" s="90"/>
      <c r="CA586" s="90"/>
      <c r="CB586" s="90"/>
      <c r="CC586" s="90"/>
      <c r="CD586" s="90"/>
      <c r="CE586" s="90"/>
      <c r="CF586" s="90"/>
      <c r="CG586" s="90"/>
      <c r="CH586" s="90"/>
      <c r="CI586" s="90"/>
      <c r="CJ586" s="90"/>
      <c r="CK586" s="90"/>
      <c r="CL586" s="90"/>
      <c r="CM586" s="90"/>
      <c r="CN586" s="90"/>
      <c r="CO586" s="90"/>
      <c r="CP586" s="90"/>
      <c r="CQ586" s="90"/>
      <c r="CR586" s="90"/>
      <c r="CS586" s="90"/>
      <c r="CT586" s="90"/>
      <c r="CU586" s="90"/>
      <c r="CV586" s="90"/>
      <c r="CW586" s="90"/>
    </row>
    <row r="587" ht="16.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  <c r="BO587" s="90"/>
      <c r="BP587" s="90"/>
      <c r="BQ587" s="90"/>
      <c r="BR587" s="90"/>
      <c r="BS587" s="90"/>
      <c r="BT587" s="90"/>
      <c r="BU587" s="90"/>
      <c r="BV587" s="90"/>
      <c r="BW587" s="90"/>
      <c r="BX587" s="90"/>
      <c r="BY587" s="90"/>
      <c r="BZ587" s="90"/>
      <c r="CA587" s="90"/>
      <c r="CB587" s="90"/>
      <c r="CC587" s="90"/>
      <c r="CD587" s="90"/>
      <c r="CE587" s="90"/>
      <c r="CF587" s="90"/>
      <c r="CG587" s="90"/>
      <c r="CH587" s="90"/>
      <c r="CI587" s="90"/>
      <c r="CJ587" s="90"/>
      <c r="CK587" s="90"/>
      <c r="CL587" s="90"/>
      <c r="CM587" s="90"/>
      <c r="CN587" s="90"/>
      <c r="CO587" s="90"/>
      <c r="CP587" s="90"/>
      <c r="CQ587" s="90"/>
      <c r="CR587" s="90"/>
      <c r="CS587" s="90"/>
      <c r="CT587" s="90"/>
      <c r="CU587" s="90"/>
      <c r="CV587" s="90"/>
      <c r="CW587" s="90"/>
    </row>
    <row r="588" ht="16.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0"/>
      <c r="BQ588" s="90"/>
      <c r="BR588" s="90"/>
      <c r="BS588" s="90"/>
      <c r="BT588" s="90"/>
      <c r="BU588" s="90"/>
      <c r="BV588" s="90"/>
      <c r="BW588" s="90"/>
      <c r="BX588" s="90"/>
      <c r="BY588" s="90"/>
      <c r="BZ588" s="90"/>
      <c r="CA588" s="90"/>
      <c r="CB588" s="90"/>
      <c r="CC588" s="90"/>
      <c r="CD588" s="90"/>
      <c r="CE588" s="90"/>
      <c r="CF588" s="90"/>
      <c r="CG588" s="90"/>
      <c r="CH588" s="90"/>
      <c r="CI588" s="90"/>
      <c r="CJ588" s="90"/>
      <c r="CK588" s="90"/>
      <c r="CL588" s="90"/>
      <c r="CM588" s="90"/>
      <c r="CN588" s="90"/>
      <c r="CO588" s="90"/>
      <c r="CP588" s="90"/>
      <c r="CQ588" s="90"/>
      <c r="CR588" s="90"/>
      <c r="CS588" s="90"/>
      <c r="CT588" s="90"/>
      <c r="CU588" s="90"/>
      <c r="CV588" s="90"/>
      <c r="CW588" s="90"/>
    </row>
    <row r="589" ht="16.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90"/>
    </row>
    <row r="590" ht="16.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0"/>
      <c r="BS590" s="90"/>
      <c r="BT590" s="90"/>
      <c r="BU590" s="90"/>
      <c r="BV590" s="90"/>
      <c r="BW590" s="90"/>
      <c r="BX590" s="90"/>
      <c r="BY590" s="90"/>
      <c r="BZ590" s="90"/>
      <c r="CA590" s="90"/>
      <c r="CB590" s="90"/>
      <c r="CC590" s="90"/>
      <c r="CD590" s="90"/>
      <c r="CE590" s="90"/>
      <c r="CF590" s="90"/>
      <c r="CG590" s="90"/>
      <c r="CH590" s="90"/>
      <c r="CI590" s="90"/>
      <c r="CJ590" s="90"/>
      <c r="CK590" s="90"/>
      <c r="CL590" s="90"/>
      <c r="CM590" s="90"/>
      <c r="CN590" s="90"/>
      <c r="CO590" s="90"/>
      <c r="CP590" s="90"/>
      <c r="CQ590" s="90"/>
      <c r="CR590" s="90"/>
      <c r="CS590" s="90"/>
      <c r="CT590" s="90"/>
      <c r="CU590" s="90"/>
      <c r="CV590" s="90"/>
      <c r="CW590" s="90"/>
    </row>
    <row r="591" ht="16.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  <c r="BO591" s="90"/>
      <c r="BP591" s="90"/>
      <c r="BQ591" s="90"/>
      <c r="BR591" s="90"/>
      <c r="BS591" s="90"/>
      <c r="BT591" s="90"/>
      <c r="BU591" s="90"/>
      <c r="BV591" s="90"/>
      <c r="BW591" s="90"/>
      <c r="BX591" s="90"/>
      <c r="BY591" s="90"/>
      <c r="BZ591" s="90"/>
      <c r="CA591" s="90"/>
      <c r="CB591" s="90"/>
      <c r="CC591" s="90"/>
      <c r="CD591" s="90"/>
      <c r="CE591" s="90"/>
      <c r="CF591" s="90"/>
      <c r="CG591" s="90"/>
      <c r="CH591" s="90"/>
      <c r="CI591" s="90"/>
      <c r="CJ591" s="90"/>
      <c r="CK591" s="90"/>
      <c r="CL591" s="90"/>
      <c r="CM591" s="90"/>
      <c r="CN591" s="90"/>
      <c r="CO591" s="90"/>
      <c r="CP591" s="90"/>
      <c r="CQ591" s="90"/>
      <c r="CR591" s="90"/>
      <c r="CS591" s="90"/>
      <c r="CT591" s="90"/>
      <c r="CU591" s="90"/>
      <c r="CV591" s="90"/>
      <c r="CW591" s="90"/>
    </row>
    <row r="592" ht="16.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0"/>
      <c r="BQ592" s="90"/>
      <c r="BR592" s="90"/>
      <c r="BS592" s="90"/>
      <c r="BT592" s="90"/>
      <c r="BU592" s="90"/>
      <c r="BV592" s="90"/>
      <c r="BW592" s="90"/>
      <c r="BX592" s="90"/>
      <c r="BY592" s="90"/>
      <c r="BZ592" s="90"/>
      <c r="CA592" s="90"/>
      <c r="CB592" s="90"/>
      <c r="CC592" s="90"/>
      <c r="CD592" s="90"/>
      <c r="CE592" s="90"/>
      <c r="CF592" s="90"/>
      <c r="CG592" s="90"/>
      <c r="CH592" s="90"/>
      <c r="CI592" s="90"/>
      <c r="CJ592" s="90"/>
      <c r="CK592" s="90"/>
      <c r="CL592" s="90"/>
      <c r="CM592" s="90"/>
      <c r="CN592" s="90"/>
      <c r="CO592" s="90"/>
      <c r="CP592" s="90"/>
      <c r="CQ592" s="90"/>
      <c r="CR592" s="90"/>
      <c r="CS592" s="90"/>
      <c r="CT592" s="90"/>
      <c r="CU592" s="90"/>
      <c r="CV592" s="90"/>
      <c r="CW592" s="90"/>
    </row>
    <row r="593" ht="16.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  <c r="BO593" s="90"/>
      <c r="BP593" s="90"/>
      <c r="BQ593" s="90"/>
      <c r="BR593" s="90"/>
      <c r="BS593" s="90"/>
      <c r="BT593" s="90"/>
      <c r="BU593" s="90"/>
      <c r="BV593" s="90"/>
      <c r="BW593" s="90"/>
      <c r="BX593" s="90"/>
      <c r="BY593" s="90"/>
      <c r="BZ593" s="90"/>
      <c r="CA593" s="90"/>
      <c r="CB593" s="90"/>
      <c r="CC593" s="90"/>
      <c r="CD593" s="90"/>
      <c r="CE593" s="90"/>
      <c r="CF593" s="90"/>
      <c r="CG593" s="90"/>
      <c r="CH593" s="90"/>
      <c r="CI593" s="90"/>
      <c r="CJ593" s="90"/>
      <c r="CK593" s="90"/>
      <c r="CL593" s="90"/>
      <c r="CM593" s="90"/>
      <c r="CN593" s="90"/>
      <c r="CO593" s="90"/>
      <c r="CP593" s="90"/>
      <c r="CQ593" s="90"/>
      <c r="CR593" s="90"/>
      <c r="CS593" s="90"/>
      <c r="CT593" s="90"/>
      <c r="CU593" s="90"/>
      <c r="CV593" s="90"/>
      <c r="CW593" s="90"/>
    </row>
    <row r="594" ht="16.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0"/>
      <c r="BQ594" s="90"/>
      <c r="BR594" s="90"/>
      <c r="BS594" s="90"/>
      <c r="BT594" s="90"/>
      <c r="BU594" s="90"/>
      <c r="BV594" s="90"/>
      <c r="BW594" s="90"/>
      <c r="BX594" s="90"/>
      <c r="BY594" s="90"/>
      <c r="BZ594" s="90"/>
      <c r="CA594" s="90"/>
      <c r="CB594" s="90"/>
      <c r="CC594" s="90"/>
      <c r="CD594" s="90"/>
      <c r="CE594" s="90"/>
      <c r="CF594" s="90"/>
      <c r="CG594" s="90"/>
      <c r="CH594" s="90"/>
      <c r="CI594" s="90"/>
      <c r="CJ594" s="90"/>
      <c r="CK594" s="90"/>
      <c r="CL594" s="90"/>
      <c r="CM594" s="90"/>
      <c r="CN594" s="90"/>
      <c r="CO594" s="90"/>
      <c r="CP594" s="90"/>
      <c r="CQ594" s="90"/>
      <c r="CR594" s="90"/>
      <c r="CS594" s="90"/>
      <c r="CT594" s="90"/>
      <c r="CU594" s="90"/>
      <c r="CV594" s="90"/>
      <c r="CW594" s="90"/>
    </row>
    <row r="595" ht="16.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  <c r="BO595" s="90"/>
      <c r="BP595" s="90"/>
      <c r="BQ595" s="90"/>
      <c r="BR595" s="90"/>
      <c r="BS595" s="90"/>
      <c r="BT595" s="90"/>
      <c r="BU595" s="90"/>
      <c r="BV595" s="90"/>
      <c r="BW595" s="90"/>
      <c r="BX595" s="90"/>
      <c r="BY595" s="90"/>
      <c r="BZ595" s="90"/>
      <c r="CA595" s="90"/>
      <c r="CB595" s="90"/>
      <c r="CC595" s="90"/>
      <c r="CD595" s="90"/>
      <c r="CE595" s="90"/>
      <c r="CF595" s="90"/>
      <c r="CG595" s="90"/>
      <c r="CH595" s="90"/>
      <c r="CI595" s="90"/>
      <c r="CJ595" s="90"/>
      <c r="CK595" s="90"/>
      <c r="CL595" s="90"/>
      <c r="CM595" s="90"/>
      <c r="CN595" s="90"/>
      <c r="CO595" s="90"/>
      <c r="CP595" s="90"/>
      <c r="CQ595" s="90"/>
      <c r="CR595" s="90"/>
      <c r="CS595" s="90"/>
      <c r="CT595" s="90"/>
      <c r="CU595" s="90"/>
      <c r="CV595" s="90"/>
      <c r="CW595" s="90"/>
    </row>
    <row r="596" ht="16.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0"/>
      <c r="BQ596" s="90"/>
      <c r="BR596" s="90"/>
      <c r="BS596" s="90"/>
      <c r="BT596" s="90"/>
      <c r="BU596" s="90"/>
      <c r="BV596" s="90"/>
      <c r="BW596" s="90"/>
      <c r="BX596" s="90"/>
      <c r="BY596" s="90"/>
      <c r="BZ596" s="90"/>
      <c r="CA596" s="90"/>
      <c r="CB596" s="90"/>
      <c r="CC596" s="90"/>
      <c r="CD596" s="90"/>
      <c r="CE596" s="90"/>
      <c r="CF596" s="90"/>
      <c r="CG596" s="90"/>
      <c r="CH596" s="90"/>
      <c r="CI596" s="90"/>
      <c r="CJ596" s="90"/>
      <c r="CK596" s="90"/>
      <c r="CL596" s="90"/>
      <c r="CM596" s="90"/>
      <c r="CN596" s="90"/>
      <c r="CO596" s="90"/>
      <c r="CP596" s="90"/>
      <c r="CQ596" s="90"/>
      <c r="CR596" s="90"/>
      <c r="CS596" s="90"/>
      <c r="CT596" s="90"/>
      <c r="CU596" s="90"/>
      <c r="CV596" s="90"/>
      <c r="CW596" s="90"/>
    </row>
    <row r="597" ht="16.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  <c r="BO597" s="90"/>
      <c r="BP597" s="90"/>
      <c r="BQ597" s="90"/>
      <c r="BR597" s="90"/>
      <c r="BS597" s="90"/>
      <c r="BT597" s="90"/>
      <c r="BU597" s="90"/>
      <c r="BV597" s="90"/>
      <c r="BW597" s="90"/>
      <c r="BX597" s="90"/>
      <c r="BY597" s="90"/>
      <c r="BZ597" s="90"/>
      <c r="CA597" s="90"/>
      <c r="CB597" s="90"/>
      <c r="CC597" s="90"/>
      <c r="CD597" s="90"/>
      <c r="CE597" s="90"/>
      <c r="CF597" s="90"/>
      <c r="CG597" s="90"/>
      <c r="CH597" s="90"/>
      <c r="CI597" s="90"/>
      <c r="CJ597" s="90"/>
      <c r="CK597" s="90"/>
      <c r="CL597" s="90"/>
      <c r="CM597" s="90"/>
      <c r="CN597" s="90"/>
      <c r="CO597" s="90"/>
      <c r="CP597" s="90"/>
      <c r="CQ597" s="90"/>
      <c r="CR597" s="90"/>
      <c r="CS597" s="90"/>
      <c r="CT597" s="90"/>
      <c r="CU597" s="90"/>
      <c r="CV597" s="90"/>
      <c r="CW597" s="90"/>
    </row>
    <row r="598" ht="16.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0"/>
      <c r="BQ598" s="90"/>
      <c r="BR598" s="90"/>
      <c r="BS598" s="90"/>
      <c r="BT598" s="90"/>
      <c r="BU598" s="90"/>
      <c r="BV598" s="90"/>
      <c r="BW598" s="90"/>
      <c r="BX598" s="90"/>
      <c r="BY598" s="90"/>
      <c r="BZ598" s="90"/>
      <c r="CA598" s="90"/>
      <c r="CB598" s="90"/>
      <c r="CC598" s="90"/>
      <c r="CD598" s="90"/>
      <c r="CE598" s="90"/>
      <c r="CF598" s="90"/>
      <c r="CG598" s="90"/>
      <c r="CH598" s="90"/>
      <c r="CI598" s="90"/>
      <c r="CJ598" s="90"/>
      <c r="CK598" s="90"/>
      <c r="CL598" s="90"/>
      <c r="CM598" s="90"/>
      <c r="CN598" s="90"/>
      <c r="CO598" s="90"/>
      <c r="CP598" s="90"/>
      <c r="CQ598" s="90"/>
      <c r="CR598" s="90"/>
      <c r="CS598" s="90"/>
      <c r="CT598" s="90"/>
      <c r="CU598" s="90"/>
      <c r="CV598" s="90"/>
      <c r="CW598" s="90"/>
    </row>
    <row r="599" ht="16.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  <c r="BO599" s="90"/>
      <c r="BP599" s="90"/>
      <c r="BQ599" s="90"/>
      <c r="BR599" s="90"/>
      <c r="BS599" s="90"/>
      <c r="BT599" s="90"/>
      <c r="BU599" s="90"/>
      <c r="BV599" s="90"/>
      <c r="BW599" s="90"/>
      <c r="BX599" s="90"/>
      <c r="BY599" s="90"/>
      <c r="BZ599" s="90"/>
      <c r="CA599" s="90"/>
      <c r="CB599" s="90"/>
      <c r="CC599" s="90"/>
      <c r="CD599" s="90"/>
      <c r="CE599" s="90"/>
      <c r="CF599" s="90"/>
      <c r="CG599" s="90"/>
      <c r="CH599" s="90"/>
      <c r="CI599" s="90"/>
      <c r="CJ599" s="90"/>
      <c r="CK599" s="90"/>
      <c r="CL599" s="90"/>
      <c r="CM599" s="90"/>
      <c r="CN599" s="90"/>
      <c r="CO599" s="90"/>
      <c r="CP599" s="90"/>
      <c r="CQ599" s="90"/>
      <c r="CR599" s="90"/>
      <c r="CS599" s="90"/>
      <c r="CT599" s="90"/>
      <c r="CU599" s="90"/>
      <c r="CV599" s="90"/>
      <c r="CW599" s="90"/>
    </row>
    <row r="600" ht="16.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0"/>
      <c r="BQ600" s="90"/>
      <c r="BR600" s="90"/>
      <c r="BS600" s="90"/>
      <c r="BT600" s="90"/>
      <c r="BU600" s="90"/>
      <c r="BV600" s="90"/>
      <c r="BW600" s="90"/>
      <c r="BX600" s="90"/>
      <c r="BY600" s="90"/>
      <c r="BZ600" s="90"/>
      <c r="CA600" s="90"/>
      <c r="CB600" s="90"/>
      <c r="CC600" s="90"/>
      <c r="CD600" s="90"/>
      <c r="CE600" s="90"/>
      <c r="CF600" s="90"/>
      <c r="CG600" s="90"/>
      <c r="CH600" s="90"/>
      <c r="CI600" s="90"/>
      <c r="CJ600" s="90"/>
      <c r="CK600" s="90"/>
      <c r="CL600" s="90"/>
      <c r="CM600" s="90"/>
      <c r="CN600" s="90"/>
      <c r="CO600" s="90"/>
      <c r="CP600" s="90"/>
      <c r="CQ600" s="90"/>
      <c r="CR600" s="90"/>
      <c r="CS600" s="90"/>
      <c r="CT600" s="90"/>
      <c r="CU600" s="90"/>
      <c r="CV600" s="90"/>
      <c r="CW600" s="90"/>
    </row>
    <row r="601" ht="16.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  <c r="BO601" s="90"/>
      <c r="BP601" s="90"/>
      <c r="BQ601" s="90"/>
      <c r="BR601" s="90"/>
      <c r="BS601" s="90"/>
      <c r="BT601" s="90"/>
      <c r="BU601" s="90"/>
      <c r="BV601" s="90"/>
      <c r="BW601" s="90"/>
      <c r="BX601" s="90"/>
      <c r="BY601" s="90"/>
      <c r="BZ601" s="90"/>
      <c r="CA601" s="90"/>
      <c r="CB601" s="90"/>
      <c r="CC601" s="90"/>
      <c r="CD601" s="90"/>
      <c r="CE601" s="90"/>
      <c r="CF601" s="90"/>
      <c r="CG601" s="90"/>
      <c r="CH601" s="90"/>
      <c r="CI601" s="90"/>
      <c r="CJ601" s="90"/>
      <c r="CK601" s="90"/>
      <c r="CL601" s="90"/>
      <c r="CM601" s="90"/>
      <c r="CN601" s="90"/>
      <c r="CO601" s="90"/>
      <c r="CP601" s="90"/>
      <c r="CQ601" s="90"/>
      <c r="CR601" s="90"/>
      <c r="CS601" s="90"/>
      <c r="CT601" s="90"/>
      <c r="CU601" s="90"/>
      <c r="CV601" s="90"/>
      <c r="CW601" s="90"/>
    </row>
    <row r="602" ht="16.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0"/>
      <c r="BQ602" s="90"/>
      <c r="BR602" s="90"/>
      <c r="BS602" s="90"/>
      <c r="BT602" s="90"/>
      <c r="BU602" s="90"/>
      <c r="BV602" s="90"/>
      <c r="BW602" s="90"/>
      <c r="BX602" s="90"/>
      <c r="BY602" s="90"/>
      <c r="BZ602" s="90"/>
      <c r="CA602" s="90"/>
      <c r="CB602" s="90"/>
      <c r="CC602" s="90"/>
      <c r="CD602" s="90"/>
      <c r="CE602" s="90"/>
      <c r="CF602" s="90"/>
      <c r="CG602" s="90"/>
      <c r="CH602" s="90"/>
      <c r="CI602" s="90"/>
      <c r="CJ602" s="90"/>
      <c r="CK602" s="90"/>
      <c r="CL602" s="90"/>
      <c r="CM602" s="90"/>
      <c r="CN602" s="90"/>
      <c r="CO602" s="90"/>
      <c r="CP602" s="90"/>
      <c r="CQ602" s="90"/>
      <c r="CR602" s="90"/>
      <c r="CS602" s="90"/>
      <c r="CT602" s="90"/>
      <c r="CU602" s="90"/>
      <c r="CV602" s="90"/>
      <c r="CW602" s="90"/>
    </row>
    <row r="603" ht="16.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  <c r="BO603" s="90"/>
      <c r="BP603" s="90"/>
      <c r="BQ603" s="90"/>
      <c r="BR603" s="90"/>
      <c r="BS603" s="90"/>
      <c r="BT603" s="90"/>
      <c r="BU603" s="90"/>
      <c r="BV603" s="90"/>
      <c r="BW603" s="90"/>
      <c r="BX603" s="90"/>
      <c r="BY603" s="90"/>
      <c r="BZ603" s="90"/>
      <c r="CA603" s="90"/>
      <c r="CB603" s="90"/>
      <c r="CC603" s="90"/>
      <c r="CD603" s="90"/>
      <c r="CE603" s="90"/>
      <c r="CF603" s="90"/>
      <c r="CG603" s="90"/>
      <c r="CH603" s="90"/>
      <c r="CI603" s="90"/>
      <c r="CJ603" s="90"/>
      <c r="CK603" s="90"/>
      <c r="CL603" s="90"/>
      <c r="CM603" s="90"/>
      <c r="CN603" s="90"/>
      <c r="CO603" s="90"/>
      <c r="CP603" s="90"/>
      <c r="CQ603" s="90"/>
      <c r="CR603" s="90"/>
      <c r="CS603" s="90"/>
      <c r="CT603" s="90"/>
      <c r="CU603" s="90"/>
      <c r="CV603" s="90"/>
      <c r="CW603" s="90"/>
    </row>
    <row r="604" ht="16.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0"/>
      <c r="BQ604" s="90"/>
      <c r="BR604" s="90"/>
      <c r="BS604" s="90"/>
      <c r="BT604" s="90"/>
      <c r="BU604" s="90"/>
      <c r="BV604" s="90"/>
      <c r="BW604" s="90"/>
      <c r="BX604" s="90"/>
      <c r="BY604" s="90"/>
      <c r="BZ604" s="90"/>
      <c r="CA604" s="90"/>
      <c r="CB604" s="90"/>
      <c r="CC604" s="90"/>
      <c r="CD604" s="90"/>
      <c r="CE604" s="90"/>
      <c r="CF604" s="90"/>
      <c r="CG604" s="90"/>
      <c r="CH604" s="90"/>
      <c r="CI604" s="90"/>
      <c r="CJ604" s="90"/>
      <c r="CK604" s="90"/>
      <c r="CL604" s="90"/>
      <c r="CM604" s="90"/>
      <c r="CN604" s="90"/>
      <c r="CO604" s="90"/>
      <c r="CP604" s="90"/>
      <c r="CQ604" s="90"/>
      <c r="CR604" s="90"/>
      <c r="CS604" s="90"/>
      <c r="CT604" s="90"/>
      <c r="CU604" s="90"/>
      <c r="CV604" s="90"/>
      <c r="CW604" s="90"/>
    </row>
    <row r="605" ht="16.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  <c r="CN605" s="90"/>
      <c r="CO605" s="90"/>
      <c r="CP605" s="90"/>
      <c r="CQ605" s="90"/>
      <c r="CR605" s="90"/>
      <c r="CS605" s="90"/>
      <c r="CT605" s="90"/>
      <c r="CU605" s="90"/>
      <c r="CV605" s="90"/>
      <c r="CW605" s="90"/>
    </row>
    <row r="606" ht="16.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0"/>
      <c r="BQ606" s="90"/>
      <c r="BR606" s="90"/>
      <c r="BS606" s="90"/>
      <c r="BT606" s="90"/>
      <c r="BU606" s="90"/>
      <c r="BV606" s="90"/>
      <c r="BW606" s="90"/>
      <c r="BX606" s="90"/>
      <c r="BY606" s="90"/>
      <c r="BZ606" s="90"/>
      <c r="CA606" s="90"/>
      <c r="CB606" s="90"/>
      <c r="CC606" s="90"/>
      <c r="CD606" s="90"/>
      <c r="CE606" s="90"/>
      <c r="CF606" s="90"/>
      <c r="CG606" s="90"/>
      <c r="CH606" s="90"/>
      <c r="CI606" s="90"/>
      <c r="CJ606" s="90"/>
      <c r="CK606" s="90"/>
      <c r="CL606" s="90"/>
      <c r="CM606" s="90"/>
      <c r="CN606" s="90"/>
      <c r="CO606" s="90"/>
      <c r="CP606" s="90"/>
      <c r="CQ606" s="90"/>
      <c r="CR606" s="90"/>
      <c r="CS606" s="90"/>
      <c r="CT606" s="90"/>
      <c r="CU606" s="90"/>
      <c r="CV606" s="90"/>
      <c r="CW606" s="90"/>
    </row>
    <row r="607" ht="16.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  <c r="BO607" s="90"/>
      <c r="BP607" s="90"/>
      <c r="BQ607" s="90"/>
      <c r="BR607" s="90"/>
      <c r="BS607" s="90"/>
      <c r="BT607" s="90"/>
      <c r="BU607" s="90"/>
      <c r="BV607" s="90"/>
      <c r="BW607" s="90"/>
      <c r="BX607" s="90"/>
      <c r="BY607" s="90"/>
      <c r="BZ607" s="90"/>
      <c r="CA607" s="90"/>
      <c r="CB607" s="90"/>
      <c r="CC607" s="90"/>
      <c r="CD607" s="90"/>
      <c r="CE607" s="90"/>
      <c r="CF607" s="90"/>
      <c r="CG607" s="90"/>
      <c r="CH607" s="90"/>
      <c r="CI607" s="90"/>
      <c r="CJ607" s="90"/>
      <c r="CK607" s="90"/>
      <c r="CL607" s="90"/>
      <c r="CM607" s="90"/>
      <c r="CN607" s="90"/>
      <c r="CO607" s="90"/>
      <c r="CP607" s="90"/>
      <c r="CQ607" s="90"/>
      <c r="CR607" s="90"/>
      <c r="CS607" s="90"/>
      <c r="CT607" s="90"/>
      <c r="CU607" s="90"/>
      <c r="CV607" s="90"/>
      <c r="CW607" s="90"/>
    </row>
    <row r="608" ht="16.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0"/>
      <c r="BQ608" s="90"/>
      <c r="BR608" s="90"/>
      <c r="BS608" s="90"/>
      <c r="BT608" s="90"/>
      <c r="BU608" s="90"/>
      <c r="BV608" s="90"/>
      <c r="BW608" s="90"/>
      <c r="BX608" s="90"/>
      <c r="BY608" s="90"/>
      <c r="BZ608" s="90"/>
      <c r="CA608" s="90"/>
      <c r="CB608" s="90"/>
      <c r="CC608" s="90"/>
      <c r="CD608" s="90"/>
      <c r="CE608" s="90"/>
      <c r="CF608" s="90"/>
      <c r="CG608" s="90"/>
      <c r="CH608" s="90"/>
      <c r="CI608" s="90"/>
      <c r="CJ608" s="90"/>
      <c r="CK608" s="90"/>
      <c r="CL608" s="90"/>
      <c r="CM608" s="90"/>
      <c r="CN608" s="90"/>
      <c r="CO608" s="90"/>
      <c r="CP608" s="90"/>
      <c r="CQ608" s="90"/>
      <c r="CR608" s="90"/>
      <c r="CS608" s="90"/>
      <c r="CT608" s="90"/>
      <c r="CU608" s="90"/>
      <c r="CV608" s="90"/>
      <c r="CW608" s="90"/>
    </row>
    <row r="609" ht="16.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  <c r="BO609" s="90"/>
      <c r="BP609" s="90"/>
      <c r="BQ609" s="90"/>
      <c r="BR609" s="90"/>
      <c r="BS609" s="90"/>
      <c r="BT609" s="90"/>
      <c r="BU609" s="90"/>
      <c r="BV609" s="90"/>
      <c r="BW609" s="90"/>
      <c r="BX609" s="90"/>
      <c r="BY609" s="90"/>
      <c r="BZ609" s="90"/>
      <c r="CA609" s="90"/>
      <c r="CB609" s="90"/>
      <c r="CC609" s="90"/>
      <c r="CD609" s="90"/>
      <c r="CE609" s="90"/>
      <c r="CF609" s="90"/>
      <c r="CG609" s="90"/>
      <c r="CH609" s="90"/>
      <c r="CI609" s="90"/>
      <c r="CJ609" s="90"/>
      <c r="CK609" s="90"/>
      <c r="CL609" s="90"/>
      <c r="CM609" s="90"/>
      <c r="CN609" s="90"/>
      <c r="CO609" s="90"/>
      <c r="CP609" s="90"/>
      <c r="CQ609" s="90"/>
      <c r="CR609" s="90"/>
      <c r="CS609" s="90"/>
      <c r="CT609" s="90"/>
      <c r="CU609" s="90"/>
      <c r="CV609" s="90"/>
      <c r="CW609" s="90"/>
    </row>
    <row r="610" ht="16.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0"/>
      <c r="BQ610" s="90"/>
      <c r="BR610" s="90"/>
      <c r="BS610" s="90"/>
      <c r="BT610" s="90"/>
      <c r="BU610" s="90"/>
      <c r="BV610" s="90"/>
      <c r="BW610" s="90"/>
      <c r="BX610" s="90"/>
      <c r="BY610" s="90"/>
      <c r="BZ610" s="90"/>
      <c r="CA610" s="90"/>
      <c r="CB610" s="90"/>
      <c r="CC610" s="90"/>
      <c r="CD610" s="90"/>
      <c r="CE610" s="90"/>
      <c r="CF610" s="90"/>
      <c r="CG610" s="90"/>
      <c r="CH610" s="90"/>
      <c r="CI610" s="90"/>
      <c r="CJ610" s="90"/>
      <c r="CK610" s="90"/>
      <c r="CL610" s="90"/>
      <c r="CM610" s="90"/>
      <c r="CN610" s="90"/>
      <c r="CO610" s="90"/>
      <c r="CP610" s="90"/>
      <c r="CQ610" s="90"/>
      <c r="CR610" s="90"/>
      <c r="CS610" s="90"/>
      <c r="CT610" s="90"/>
      <c r="CU610" s="90"/>
      <c r="CV610" s="90"/>
      <c r="CW610" s="90"/>
    </row>
    <row r="611" ht="16.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  <c r="BO611" s="90"/>
      <c r="BP611" s="90"/>
      <c r="BQ611" s="90"/>
      <c r="BR611" s="90"/>
      <c r="BS611" s="90"/>
      <c r="BT611" s="90"/>
      <c r="BU611" s="90"/>
      <c r="BV611" s="90"/>
      <c r="BW611" s="90"/>
      <c r="BX611" s="90"/>
      <c r="BY611" s="90"/>
      <c r="BZ611" s="90"/>
      <c r="CA611" s="90"/>
      <c r="CB611" s="90"/>
      <c r="CC611" s="90"/>
      <c r="CD611" s="90"/>
      <c r="CE611" s="90"/>
      <c r="CF611" s="90"/>
      <c r="CG611" s="90"/>
      <c r="CH611" s="90"/>
      <c r="CI611" s="90"/>
      <c r="CJ611" s="90"/>
      <c r="CK611" s="90"/>
      <c r="CL611" s="90"/>
      <c r="CM611" s="90"/>
      <c r="CN611" s="90"/>
      <c r="CO611" s="90"/>
      <c r="CP611" s="90"/>
      <c r="CQ611" s="90"/>
      <c r="CR611" s="90"/>
      <c r="CS611" s="90"/>
      <c r="CT611" s="90"/>
      <c r="CU611" s="90"/>
      <c r="CV611" s="90"/>
      <c r="CW611" s="90"/>
    </row>
    <row r="612" ht="16.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0"/>
      <c r="BQ612" s="90"/>
      <c r="BR612" s="90"/>
      <c r="BS612" s="90"/>
      <c r="BT612" s="90"/>
      <c r="BU612" s="90"/>
      <c r="BV612" s="90"/>
      <c r="BW612" s="90"/>
      <c r="BX612" s="90"/>
      <c r="BY612" s="90"/>
      <c r="BZ612" s="90"/>
      <c r="CA612" s="90"/>
      <c r="CB612" s="90"/>
      <c r="CC612" s="90"/>
      <c r="CD612" s="90"/>
      <c r="CE612" s="90"/>
      <c r="CF612" s="90"/>
      <c r="CG612" s="90"/>
      <c r="CH612" s="90"/>
      <c r="CI612" s="90"/>
      <c r="CJ612" s="90"/>
      <c r="CK612" s="90"/>
      <c r="CL612" s="90"/>
      <c r="CM612" s="90"/>
      <c r="CN612" s="90"/>
      <c r="CO612" s="90"/>
      <c r="CP612" s="90"/>
      <c r="CQ612" s="90"/>
      <c r="CR612" s="90"/>
      <c r="CS612" s="90"/>
      <c r="CT612" s="90"/>
      <c r="CU612" s="90"/>
      <c r="CV612" s="90"/>
      <c r="CW612" s="90"/>
    </row>
    <row r="613" ht="16.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  <c r="BO613" s="90"/>
      <c r="BP613" s="90"/>
      <c r="BQ613" s="90"/>
      <c r="BR613" s="90"/>
      <c r="BS613" s="90"/>
      <c r="BT613" s="90"/>
      <c r="BU613" s="90"/>
      <c r="BV613" s="90"/>
      <c r="BW613" s="90"/>
      <c r="BX613" s="90"/>
      <c r="BY613" s="90"/>
      <c r="BZ613" s="90"/>
      <c r="CA613" s="90"/>
      <c r="CB613" s="90"/>
      <c r="CC613" s="90"/>
      <c r="CD613" s="90"/>
      <c r="CE613" s="90"/>
      <c r="CF613" s="90"/>
      <c r="CG613" s="90"/>
      <c r="CH613" s="90"/>
      <c r="CI613" s="90"/>
      <c r="CJ613" s="90"/>
      <c r="CK613" s="90"/>
      <c r="CL613" s="90"/>
      <c r="CM613" s="90"/>
      <c r="CN613" s="90"/>
      <c r="CO613" s="90"/>
      <c r="CP613" s="90"/>
      <c r="CQ613" s="90"/>
      <c r="CR613" s="90"/>
      <c r="CS613" s="90"/>
      <c r="CT613" s="90"/>
      <c r="CU613" s="90"/>
      <c r="CV613" s="90"/>
      <c r="CW613" s="90"/>
    </row>
    <row r="614" ht="16.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0"/>
      <c r="BS614" s="90"/>
      <c r="BT614" s="90"/>
      <c r="BU614" s="90"/>
      <c r="BV614" s="90"/>
      <c r="BW614" s="90"/>
      <c r="BX614" s="90"/>
      <c r="BY614" s="90"/>
      <c r="BZ614" s="90"/>
      <c r="CA614" s="90"/>
      <c r="CB614" s="90"/>
      <c r="CC614" s="90"/>
      <c r="CD614" s="90"/>
      <c r="CE614" s="90"/>
      <c r="CF614" s="90"/>
      <c r="CG614" s="90"/>
      <c r="CH614" s="90"/>
      <c r="CI614" s="90"/>
      <c r="CJ614" s="90"/>
      <c r="CK614" s="90"/>
      <c r="CL614" s="90"/>
      <c r="CM614" s="90"/>
      <c r="CN614" s="90"/>
      <c r="CO614" s="90"/>
      <c r="CP614" s="90"/>
      <c r="CQ614" s="90"/>
      <c r="CR614" s="90"/>
      <c r="CS614" s="90"/>
      <c r="CT614" s="90"/>
      <c r="CU614" s="90"/>
      <c r="CV614" s="90"/>
      <c r="CW614" s="90"/>
    </row>
    <row r="615" ht="16.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  <c r="BO615" s="90"/>
      <c r="BP615" s="90"/>
      <c r="BQ615" s="90"/>
      <c r="BR615" s="90"/>
      <c r="BS615" s="90"/>
      <c r="BT615" s="90"/>
      <c r="BU615" s="90"/>
      <c r="BV615" s="90"/>
      <c r="BW615" s="90"/>
      <c r="BX615" s="90"/>
      <c r="BY615" s="90"/>
      <c r="BZ615" s="90"/>
      <c r="CA615" s="90"/>
      <c r="CB615" s="90"/>
      <c r="CC615" s="90"/>
      <c r="CD615" s="90"/>
      <c r="CE615" s="90"/>
      <c r="CF615" s="90"/>
      <c r="CG615" s="90"/>
      <c r="CH615" s="90"/>
      <c r="CI615" s="90"/>
      <c r="CJ615" s="90"/>
      <c r="CK615" s="90"/>
      <c r="CL615" s="90"/>
      <c r="CM615" s="90"/>
      <c r="CN615" s="90"/>
      <c r="CO615" s="90"/>
      <c r="CP615" s="90"/>
      <c r="CQ615" s="90"/>
      <c r="CR615" s="90"/>
      <c r="CS615" s="90"/>
      <c r="CT615" s="90"/>
      <c r="CU615" s="90"/>
      <c r="CV615" s="90"/>
      <c r="CW615" s="90"/>
    </row>
    <row r="616" ht="16.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0"/>
      <c r="BQ616" s="90"/>
      <c r="BR616" s="90"/>
      <c r="BS616" s="90"/>
      <c r="BT616" s="90"/>
      <c r="BU616" s="90"/>
      <c r="BV616" s="90"/>
      <c r="BW616" s="90"/>
      <c r="BX616" s="90"/>
      <c r="BY616" s="90"/>
      <c r="BZ616" s="90"/>
      <c r="CA616" s="90"/>
      <c r="CB616" s="90"/>
      <c r="CC616" s="90"/>
      <c r="CD616" s="90"/>
      <c r="CE616" s="90"/>
      <c r="CF616" s="90"/>
      <c r="CG616" s="90"/>
      <c r="CH616" s="90"/>
      <c r="CI616" s="90"/>
      <c r="CJ616" s="90"/>
      <c r="CK616" s="90"/>
      <c r="CL616" s="90"/>
      <c r="CM616" s="90"/>
      <c r="CN616" s="90"/>
      <c r="CO616" s="90"/>
      <c r="CP616" s="90"/>
      <c r="CQ616" s="90"/>
      <c r="CR616" s="90"/>
      <c r="CS616" s="90"/>
      <c r="CT616" s="90"/>
      <c r="CU616" s="90"/>
      <c r="CV616" s="90"/>
      <c r="CW616" s="90"/>
    </row>
    <row r="617" ht="16.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  <c r="BK617" s="90"/>
      <c r="BL617" s="90"/>
      <c r="BM617" s="90"/>
      <c r="BN617" s="90"/>
      <c r="BO617" s="90"/>
      <c r="BP617" s="90"/>
      <c r="BQ617" s="90"/>
      <c r="BR617" s="90"/>
      <c r="BS617" s="90"/>
      <c r="BT617" s="90"/>
      <c r="BU617" s="90"/>
      <c r="BV617" s="90"/>
      <c r="BW617" s="90"/>
      <c r="BX617" s="90"/>
      <c r="BY617" s="90"/>
      <c r="BZ617" s="90"/>
      <c r="CA617" s="90"/>
      <c r="CB617" s="90"/>
      <c r="CC617" s="90"/>
      <c r="CD617" s="90"/>
      <c r="CE617" s="90"/>
      <c r="CF617" s="90"/>
      <c r="CG617" s="90"/>
      <c r="CH617" s="90"/>
      <c r="CI617" s="90"/>
      <c r="CJ617" s="90"/>
      <c r="CK617" s="90"/>
      <c r="CL617" s="90"/>
      <c r="CM617" s="90"/>
      <c r="CN617" s="90"/>
      <c r="CO617" s="90"/>
      <c r="CP617" s="90"/>
      <c r="CQ617" s="90"/>
      <c r="CR617" s="90"/>
      <c r="CS617" s="90"/>
      <c r="CT617" s="90"/>
      <c r="CU617" s="90"/>
      <c r="CV617" s="90"/>
      <c r="CW617" s="90"/>
    </row>
    <row r="618" ht="16.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0"/>
      <c r="BQ618" s="90"/>
      <c r="BR618" s="90"/>
      <c r="BS618" s="90"/>
      <c r="BT618" s="90"/>
      <c r="BU618" s="90"/>
      <c r="BV618" s="90"/>
      <c r="BW618" s="90"/>
      <c r="BX618" s="90"/>
      <c r="BY618" s="90"/>
      <c r="BZ618" s="90"/>
      <c r="CA618" s="90"/>
      <c r="CB618" s="90"/>
      <c r="CC618" s="90"/>
      <c r="CD618" s="90"/>
      <c r="CE618" s="90"/>
      <c r="CF618" s="90"/>
      <c r="CG618" s="90"/>
      <c r="CH618" s="90"/>
      <c r="CI618" s="90"/>
      <c r="CJ618" s="90"/>
      <c r="CK618" s="90"/>
      <c r="CL618" s="90"/>
      <c r="CM618" s="90"/>
      <c r="CN618" s="90"/>
      <c r="CO618" s="90"/>
      <c r="CP618" s="90"/>
      <c r="CQ618" s="90"/>
      <c r="CR618" s="90"/>
      <c r="CS618" s="90"/>
      <c r="CT618" s="90"/>
      <c r="CU618" s="90"/>
      <c r="CV618" s="90"/>
      <c r="CW618" s="90"/>
    </row>
    <row r="619" ht="16.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  <c r="BK619" s="90"/>
      <c r="BL619" s="90"/>
      <c r="BM619" s="90"/>
      <c r="BN619" s="90"/>
      <c r="BO619" s="90"/>
      <c r="BP619" s="90"/>
      <c r="BQ619" s="90"/>
      <c r="BR619" s="90"/>
      <c r="BS619" s="90"/>
      <c r="BT619" s="90"/>
      <c r="BU619" s="90"/>
      <c r="BV619" s="90"/>
      <c r="BW619" s="90"/>
      <c r="BX619" s="90"/>
      <c r="BY619" s="90"/>
      <c r="BZ619" s="90"/>
      <c r="CA619" s="90"/>
      <c r="CB619" s="90"/>
      <c r="CC619" s="90"/>
      <c r="CD619" s="90"/>
      <c r="CE619" s="90"/>
      <c r="CF619" s="90"/>
      <c r="CG619" s="90"/>
      <c r="CH619" s="90"/>
      <c r="CI619" s="90"/>
      <c r="CJ619" s="90"/>
      <c r="CK619" s="90"/>
      <c r="CL619" s="90"/>
      <c r="CM619" s="90"/>
      <c r="CN619" s="90"/>
      <c r="CO619" s="90"/>
      <c r="CP619" s="90"/>
      <c r="CQ619" s="90"/>
      <c r="CR619" s="90"/>
      <c r="CS619" s="90"/>
      <c r="CT619" s="90"/>
      <c r="CU619" s="90"/>
      <c r="CV619" s="90"/>
      <c r="CW619" s="90"/>
    </row>
    <row r="620" ht="16.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0"/>
      <c r="BQ620" s="90"/>
      <c r="BR620" s="90"/>
      <c r="BS620" s="90"/>
      <c r="BT620" s="90"/>
      <c r="BU620" s="90"/>
      <c r="BV620" s="90"/>
      <c r="BW620" s="90"/>
      <c r="BX620" s="90"/>
      <c r="BY620" s="90"/>
      <c r="BZ620" s="90"/>
      <c r="CA620" s="90"/>
      <c r="CB620" s="90"/>
      <c r="CC620" s="90"/>
      <c r="CD620" s="90"/>
      <c r="CE620" s="90"/>
      <c r="CF620" s="90"/>
      <c r="CG620" s="90"/>
      <c r="CH620" s="90"/>
      <c r="CI620" s="90"/>
      <c r="CJ620" s="90"/>
      <c r="CK620" s="90"/>
      <c r="CL620" s="90"/>
      <c r="CM620" s="90"/>
      <c r="CN620" s="90"/>
      <c r="CO620" s="90"/>
      <c r="CP620" s="90"/>
      <c r="CQ620" s="90"/>
      <c r="CR620" s="90"/>
      <c r="CS620" s="90"/>
      <c r="CT620" s="90"/>
      <c r="CU620" s="90"/>
      <c r="CV620" s="90"/>
      <c r="CW620" s="90"/>
    </row>
    <row r="621" ht="16.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  <c r="BK621" s="90"/>
      <c r="BL621" s="90"/>
      <c r="BM621" s="90"/>
      <c r="BN621" s="90"/>
      <c r="BO621" s="90"/>
      <c r="BP621" s="90"/>
      <c r="BQ621" s="90"/>
      <c r="BR621" s="90"/>
      <c r="BS621" s="90"/>
      <c r="BT621" s="90"/>
      <c r="BU621" s="90"/>
      <c r="BV621" s="90"/>
      <c r="BW621" s="90"/>
      <c r="BX621" s="90"/>
      <c r="BY621" s="90"/>
      <c r="BZ621" s="90"/>
      <c r="CA621" s="90"/>
      <c r="CB621" s="90"/>
      <c r="CC621" s="90"/>
      <c r="CD621" s="90"/>
      <c r="CE621" s="90"/>
      <c r="CF621" s="90"/>
      <c r="CG621" s="90"/>
      <c r="CH621" s="90"/>
      <c r="CI621" s="90"/>
      <c r="CJ621" s="90"/>
      <c r="CK621" s="90"/>
      <c r="CL621" s="90"/>
      <c r="CM621" s="90"/>
      <c r="CN621" s="90"/>
      <c r="CO621" s="90"/>
      <c r="CP621" s="90"/>
      <c r="CQ621" s="90"/>
      <c r="CR621" s="90"/>
      <c r="CS621" s="90"/>
      <c r="CT621" s="90"/>
      <c r="CU621" s="90"/>
      <c r="CV621" s="90"/>
      <c r="CW621" s="90"/>
    </row>
    <row r="622" ht="16.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0"/>
      <c r="BQ622" s="90"/>
      <c r="BR622" s="90"/>
      <c r="BS622" s="90"/>
      <c r="BT622" s="90"/>
      <c r="BU622" s="90"/>
      <c r="BV622" s="90"/>
      <c r="BW622" s="90"/>
      <c r="BX622" s="90"/>
      <c r="BY622" s="90"/>
      <c r="BZ622" s="90"/>
      <c r="CA622" s="90"/>
      <c r="CB622" s="90"/>
      <c r="CC622" s="90"/>
      <c r="CD622" s="90"/>
      <c r="CE622" s="90"/>
      <c r="CF622" s="90"/>
      <c r="CG622" s="90"/>
      <c r="CH622" s="90"/>
      <c r="CI622" s="90"/>
      <c r="CJ622" s="90"/>
      <c r="CK622" s="90"/>
      <c r="CL622" s="90"/>
      <c r="CM622" s="90"/>
      <c r="CN622" s="90"/>
      <c r="CO622" s="90"/>
      <c r="CP622" s="90"/>
      <c r="CQ622" s="90"/>
      <c r="CR622" s="90"/>
      <c r="CS622" s="90"/>
      <c r="CT622" s="90"/>
      <c r="CU622" s="90"/>
      <c r="CV622" s="90"/>
      <c r="CW622" s="90"/>
    </row>
    <row r="623" ht="16.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  <c r="BK623" s="90"/>
      <c r="BL623" s="90"/>
      <c r="BM623" s="90"/>
      <c r="BN623" s="90"/>
      <c r="BO623" s="90"/>
      <c r="BP623" s="90"/>
      <c r="BQ623" s="90"/>
      <c r="BR623" s="90"/>
      <c r="BS623" s="90"/>
      <c r="BT623" s="90"/>
      <c r="BU623" s="90"/>
      <c r="BV623" s="90"/>
      <c r="BW623" s="90"/>
      <c r="BX623" s="90"/>
      <c r="BY623" s="90"/>
      <c r="BZ623" s="90"/>
      <c r="CA623" s="90"/>
      <c r="CB623" s="90"/>
      <c r="CC623" s="90"/>
      <c r="CD623" s="90"/>
      <c r="CE623" s="90"/>
      <c r="CF623" s="90"/>
      <c r="CG623" s="90"/>
      <c r="CH623" s="90"/>
      <c r="CI623" s="90"/>
      <c r="CJ623" s="90"/>
      <c r="CK623" s="90"/>
      <c r="CL623" s="90"/>
      <c r="CM623" s="90"/>
      <c r="CN623" s="90"/>
      <c r="CO623" s="90"/>
      <c r="CP623" s="90"/>
      <c r="CQ623" s="90"/>
      <c r="CR623" s="90"/>
      <c r="CS623" s="90"/>
      <c r="CT623" s="90"/>
      <c r="CU623" s="90"/>
      <c r="CV623" s="90"/>
      <c r="CW623" s="90"/>
    </row>
    <row r="624" ht="16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0"/>
      <c r="BS624" s="90"/>
      <c r="BT624" s="90"/>
      <c r="BU624" s="90"/>
      <c r="BV624" s="90"/>
      <c r="BW624" s="90"/>
      <c r="BX624" s="90"/>
      <c r="BY624" s="90"/>
      <c r="BZ624" s="90"/>
      <c r="CA624" s="90"/>
      <c r="CB624" s="90"/>
      <c r="CC624" s="90"/>
      <c r="CD624" s="90"/>
      <c r="CE624" s="90"/>
      <c r="CF624" s="90"/>
      <c r="CG624" s="90"/>
      <c r="CH624" s="90"/>
      <c r="CI624" s="90"/>
      <c r="CJ624" s="90"/>
      <c r="CK624" s="90"/>
      <c r="CL624" s="90"/>
      <c r="CM624" s="90"/>
      <c r="CN624" s="90"/>
      <c r="CO624" s="90"/>
      <c r="CP624" s="90"/>
      <c r="CQ624" s="90"/>
      <c r="CR624" s="90"/>
      <c r="CS624" s="90"/>
      <c r="CT624" s="90"/>
      <c r="CU624" s="90"/>
      <c r="CV624" s="90"/>
      <c r="CW624" s="90"/>
    </row>
    <row r="625" ht="16.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  <c r="BO625" s="90"/>
      <c r="BP625" s="90"/>
      <c r="BQ625" s="90"/>
      <c r="BR625" s="90"/>
      <c r="BS625" s="90"/>
      <c r="BT625" s="90"/>
      <c r="BU625" s="90"/>
      <c r="BV625" s="90"/>
      <c r="BW625" s="90"/>
      <c r="BX625" s="90"/>
      <c r="BY625" s="90"/>
      <c r="BZ625" s="90"/>
      <c r="CA625" s="90"/>
      <c r="CB625" s="90"/>
      <c r="CC625" s="90"/>
      <c r="CD625" s="90"/>
      <c r="CE625" s="90"/>
      <c r="CF625" s="90"/>
      <c r="CG625" s="90"/>
      <c r="CH625" s="90"/>
      <c r="CI625" s="90"/>
      <c r="CJ625" s="90"/>
      <c r="CK625" s="90"/>
      <c r="CL625" s="90"/>
      <c r="CM625" s="90"/>
      <c r="CN625" s="90"/>
      <c r="CO625" s="90"/>
      <c r="CP625" s="90"/>
      <c r="CQ625" s="90"/>
      <c r="CR625" s="90"/>
      <c r="CS625" s="90"/>
      <c r="CT625" s="90"/>
      <c r="CU625" s="90"/>
      <c r="CV625" s="90"/>
      <c r="CW625" s="90"/>
    </row>
    <row r="626" ht="16.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0"/>
      <c r="BQ626" s="90"/>
      <c r="BR626" s="90"/>
      <c r="BS626" s="90"/>
      <c r="BT626" s="90"/>
      <c r="BU626" s="90"/>
      <c r="BV626" s="90"/>
      <c r="BW626" s="90"/>
      <c r="BX626" s="90"/>
      <c r="BY626" s="90"/>
      <c r="BZ626" s="90"/>
      <c r="CA626" s="90"/>
      <c r="CB626" s="90"/>
      <c r="CC626" s="90"/>
      <c r="CD626" s="90"/>
      <c r="CE626" s="90"/>
      <c r="CF626" s="90"/>
      <c r="CG626" s="90"/>
      <c r="CH626" s="90"/>
      <c r="CI626" s="90"/>
      <c r="CJ626" s="90"/>
      <c r="CK626" s="90"/>
      <c r="CL626" s="90"/>
      <c r="CM626" s="90"/>
      <c r="CN626" s="90"/>
      <c r="CO626" s="90"/>
      <c r="CP626" s="90"/>
      <c r="CQ626" s="90"/>
      <c r="CR626" s="90"/>
      <c r="CS626" s="90"/>
      <c r="CT626" s="90"/>
      <c r="CU626" s="90"/>
      <c r="CV626" s="90"/>
      <c r="CW626" s="90"/>
    </row>
    <row r="627" ht="16.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  <c r="BK627" s="90"/>
      <c r="BL627" s="90"/>
      <c r="BM627" s="90"/>
      <c r="BN627" s="90"/>
      <c r="BO627" s="90"/>
      <c r="BP627" s="90"/>
      <c r="BQ627" s="90"/>
      <c r="BR627" s="90"/>
      <c r="BS627" s="90"/>
      <c r="BT627" s="90"/>
      <c r="BU627" s="90"/>
      <c r="BV627" s="90"/>
      <c r="BW627" s="90"/>
      <c r="BX627" s="90"/>
      <c r="BY627" s="90"/>
      <c r="BZ627" s="90"/>
      <c r="CA627" s="90"/>
      <c r="CB627" s="90"/>
      <c r="CC627" s="90"/>
      <c r="CD627" s="90"/>
      <c r="CE627" s="90"/>
      <c r="CF627" s="90"/>
      <c r="CG627" s="90"/>
      <c r="CH627" s="90"/>
      <c r="CI627" s="90"/>
      <c r="CJ627" s="90"/>
      <c r="CK627" s="90"/>
      <c r="CL627" s="90"/>
      <c r="CM627" s="90"/>
      <c r="CN627" s="90"/>
      <c r="CO627" s="90"/>
      <c r="CP627" s="90"/>
      <c r="CQ627" s="90"/>
      <c r="CR627" s="90"/>
      <c r="CS627" s="90"/>
      <c r="CT627" s="90"/>
      <c r="CU627" s="90"/>
      <c r="CV627" s="90"/>
      <c r="CW627" s="90"/>
    </row>
    <row r="628" ht="16.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0"/>
      <c r="BQ628" s="90"/>
      <c r="BR628" s="90"/>
      <c r="BS628" s="90"/>
      <c r="BT628" s="90"/>
      <c r="BU628" s="90"/>
      <c r="BV628" s="90"/>
      <c r="BW628" s="90"/>
      <c r="BX628" s="90"/>
      <c r="BY628" s="90"/>
      <c r="BZ628" s="90"/>
      <c r="CA628" s="90"/>
      <c r="CB628" s="90"/>
      <c r="CC628" s="90"/>
      <c r="CD628" s="90"/>
      <c r="CE628" s="90"/>
      <c r="CF628" s="90"/>
      <c r="CG628" s="90"/>
      <c r="CH628" s="90"/>
      <c r="CI628" s="90"/>
      <c r="CJ628" s="90"/>
      <c r="CK628" s="90"/>
      <c r="CL628" s="90"/>
      <c r="CM628" s="90"/>
      <c r="CN628" s="90"/>
      <c r="CO628" s="90"/>
      <c r="CP628" s="90"/>
      <c r="CQ628" s="90"/>
      <c r="CR628" s="90"/>
      <c r="CS628" s="90"/>
      <c r="CT628" s="90"/>
      <c r="CU628" s="90"/>
      <c r="CV628" s="90"/>
      <c r="CW628" s="90"/>
    </row>
    <row r="629" ht="16.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H629" s="90"/>
      <c r="BI629" s="90"/>
      <c r="BJ629" s="90"/>
      <c r="BK629" s="90"/>
      <c r="BL629" s="90"/>
      <c r="BM629" s="90"/>
      <c r="BN629" s="90"/>
      <c r="BO629" s="90"/>
      <c r="BP629" s="90"/>
      <c r="BQ629" s="90"/>
      <c r="BR629" s="90"/>
      <c r="BS629" s="90"/>
      <c r="BT629" s="90"/>
      <c r="BU629" s="90"/>
      <c r="BV629" s="90"/>
      <c r="BW629" s="90"/>
      <c r="BX629" s="90"/>
      <c r="BY629" s="90"/>
      <c r="BZ629" s="90"/>
      <c r="CA629" s="90"/>
      <c r="CB629" s="90"/>
      <c r="CC629" s="90"/>
      <c r="CD629" s="90"/>
      <c r="CE629" s="90"/>
      <c r="CF629" s="90"/>
      <c r="CG629" s="90"/>
      <c r="CH629" s="90"/>
      <c r="CI629" s="90"/>
      <c r="CJ629" s="90"/>
      <c r="CK629" s="90"/>
      <c r="CL629" s="90"/>
      <c r="CM629" s="90"/>
      <c r="CN629" s="90"/>
      <c r="CO629" s="90"/>
      <c r="CP629" s="90"/>
      <c r="CQ629" s="90"/>
      <c r="CR629" s="90"/>
      <c r="CS629" s="90"/>
      <c r="CT629" s="90"/>
      <c r="CU629" s="90"/>
      <c r="CV629" s="90"/>
      <c r="CW629" s="90"/>
    </row>
    <row r="630" ht="16.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0"/>
      <c r="BQ630" s="90"/>
      <c r="BR630" s="90"/>
      <c r="BS630" s="90"/>
      <c r="BT630" s="90"/>
      <c r="BU630" s="90"/>
      <c r="BV630" s="90"/>
      <c r="BW630" s="90"/>
      <c r="BX630" s="90"/>
      <c r="BY630" s="90"/>
      <c r="BZ630" s="90"/>
      <c r="CA630" s="90"/>
      <c r="CB630" s="90"/>
      <c r="CC630" s="90"/>
      <c r="CD630" s="90"/>
      <c r="CE630" s="90"/>
      <c r="CF630" s="90"/>
      <c r="CG630" s="90"/>
      <c r="CH630" s="90"/>
      <c r="CI630" s="90"/>
      <c r="CJ630" s="90"/>
      <c r="CK630" s="90"/>
      <c r="CL630" s="90"/>
      <c r="CM630" s="90"/>
      <c r="CN630" s="90"/>
      <c r="CO630" s="90"/>
      <c r="CP630" s="90"/>
      <c r="CQ630" s="90"/>
      <c r="CR630" s="90"/>
      <c r="CS630" s="90"/>
      <c r="CT630" s="90"/>
      <c r="CU630" s="90"/>
      <c r="CV630" s="90"/>
      <c r="CW630" s="90"/>
    </row>
    <row r="631" ht="16.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H631" s="90"/>
      <c r="BI631" s="90"/>
      <c r="BJ631" s="90"/>
      <c r="BK631" s="90"/>
      <c r="BL631" s="90"/>
      <c r="BM631" s="90"/>
      <c r="BN631" s="90"/>
      <c r="BO631" s="90"/>
      <c r="BP631" s="90"/>
      <c r="BQ631" s="90"/>
      <c r="BR631" s="90"/>
      <c r="BS631" s="90"/>
      <c r="BT631" s="90"/>
      <c r="BU631" s="90"/>
      <c r="BV631" s="90"/>
      <c r="BW631" s="90"/>
      <c r="BX631" s="90"/>
      <c r="BY631" s="90"/>
      <c r="BZ631" s="90"/>
      <c r="CA631" s="90"/>
      <c r="CB631" s="90"/>
      <c r="CC631" s="90"/>
      <c r="CD631" s="90"/>
      <c r="CE631" s="90"/>
      <c r="CF631" s="90"/>
      <c r="CG631" s="90"/>
      <c r="CH631" s="90"/>
      <c r="CI631" s="90"/>
      <c r="CJ631" s="90"/>
      <c r="CK631" s="90"/>
      <c r="CL631" s="90"/>
      <c r="CM631" s="90"/>
      <c r="CN631" s="90"/>
      <c r="CO631" s="90"/>
      <c r="CP631" s="90"/>
      <c r="CQ631" s="90"/>
      <c r="CR631" s="90"/>
      <c r="CS631" s="90"/>
      <c r="CT631" s="90"/>
      <c r="CU631" s="90"/>
      <c r="CV631" s="90"/>
      <c r="CW631" s="90"/>
    </row>
    <row r="632" ht="16.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0"/>
      <c r="BQ632" s="90"/>
      <c r="BR632" s="90"/>
      <c r="BS632" s="90"/>
      <c r="BT632" s="90"/>
      <c r="BU632" s="90"/>
      <c r="BV632" s="90"/>
      <c r="BW632" s="90"/>
      <c r="BX632" s="90"/>
      <c r="BY632" s="90"/>
      <c r="BZ632" s="90"/>
      <c r="CA632" s="90"/>
      <c r="CB632" s="90"/>
      <c r="CC632" s="90"/>
      <c r="CD632" s="90"/>
      <c r="CE632" s="90"/>
      <c r="CF632" s="90"/>
      <c r="CG632" s="90"/>
      <c r="CH632" s="90"/>
      <c r="CI632" s="90"/>
      <c r="CJ632" s="90"/>
      <c r="CK632" s="90"/>
      <c r="CL632" s="90"/>
      <c r="CM632" s="90"/>
      <c r="CN632" s="90"/>
      <c r="CO632" s="90"/>
      <c r="CP632" s="90"/>
      <c r="CQ632" s="90"/>
      <c r="CR632" s="90"/>
      <c r="CS632" s="90"/>
      <c r="CT632" s="90"/>
      <c r="CU632" s="90"/>
      <c r="CV632" s="90"/>
      <c r="CW632" s="90"/>
    </row>
    <row r="633" ht="16.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  <c r="BK633" s="90"/>
      <c r="BL633" s="90"/>
      <c r="BM633" s="90"/>
      <c r="BN633" s="90"/>
      <c r="BO633" s="90"/>
      <c r="BP633" s="90"/>
      <c r="BQ633" s="90"/>
      <c r="BR633" s="90"/>
      <c r="BS633" s="90"/>
      <c r="BT633" s="90"/>
      <c r="BU633" s="90"/>
      <c r="BV633" s="90"/>
      <c r="BW633" s="90"/>
      <c r="BX633" s="90"/>
      <c r="BY633" s="90"/>
      <c r="BZ633" s="90"/>
      <c r="CA633" s="90"/>
      <c r="CB633" s="90"/>
      <c r="CC633" s="90"/>
      <c r="CD633" s="90"/>
      <c r="CE633" s="90"/>
      <c r="CF633" s="90"/>
      <c r="CG633" s="90"/>
      <c r="CH633" s="90"/>
      <c r="CI633" s="90"/>
      <c r="CJ633" s="90"/>
      <c r="CK633" s="90"/>
      <c r="CL633" s="90"/>
      <c r="CM633" s="90"/>
      <c r="CN633" s="90"/>
      <c r="CO633" s="90"/>
      <c r="CP633" s="90"/>
      <c r="CQ633" s="90"/>
      <c r="CR633" s="90"/>
      <c r="CS633" s="90"/>
      <c r="CT633" s="90"/>
      <c r="CU633" s="90"/>
      <c r="CV633" s="90"/>
      <c r="CW633" s="90"/>
    </row>
    <row r="634" ht="16.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0"/>
      <c r="BQ634" s="90"/>
      <c r="BR634" s="90"/>
      <c r="BS634" s="90"/>
      <c r="BT634" s="90"/>
      <c r="BU634" s="90"/>
      <c r="BV634" s="90"/>
      <c r="BW634" s="90"/>
      <c r="BX634" s="90"/>
      <c r="BY634" s="90"/>
      <c r="BZ634" s="90"/>
      <c r="CA634" s="90"/>
      <c r="CB634" s="90"/>
      <c r="CC634" s="90"/>
      <c r="CD634" s="90"/>
      <c r="CE634" s="90"/>
      <c r="CF634" s="90"/>
      <c r="CG634" s="90"/>
      <c r="CH634" s="90"/>
      <c r="CI634" s="90"/>
      <c r="CJ634" s="90"/>
      <c r="CK634" s="90"/>
      <c r="CL634" s="90"/>
      <c r="CM634" s="90"/>
      <c r="CN634" s="90"/>
      <c r="CO634" s="90"/>
      <c r="CP634" s="90"/>
      <c r="CQ634" s="90"/>
      <c r="CR634" s="90"/>
      <c r="CS634" s="90"/>
      <c r="CT634" s="90"/>
      <c r="CU634" s="90"/>
      <c r="CV634" s="90"/>
      <c r="CW634" s="90"/>
    </row>
    <row r="635" ht="16.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H635" s="90"/>
      <c r="BI635" s="90"/>
      <c r="BJ635" s="90"/>
      <c r="BK635" s="90"/>
      <c r="BL635" s="90"/>
      <c r="BM635" s="90"/>
      <c r="BN635" s="90"/>
      <c r="BO635" s="90"/>
      <c r="BP635" s="90"/>
      <c r="BQ635" s="90"/>
      <c r="BR635" s="90"/>
      <c r="BS635" s="90"/>
      <c r="BT635" s="90"/>
      <c r="BU635" s="90"/>
      <c r="BV635" s="90"/>
      <c r="BW635" s="90"/>
      <c r="BX635" s="90"/>
      <c r="BY635" s="90"/>
      <c r="BZ635" s="90"/>
      <c r="CA635" s="90"/>
      <c r="CB635" s="90"/>
      <c r="CC635" s="90"/>
      <c r="CD635" s="90"/>
      <c r="CE635" s="90"/>
      <c r="CF635" s="90"/>
      <c r="CG635" s="90"/>
      <c r="CH635" s="90"/>
      <c r="CI635" s="90"/>
      <c r="CJ635" s="90"/>
      <c r="CK635" s="90"/>
      <c r="CL635" s="90"/>
      <c r="CM635" s="90"/>
      <c r="CN635" s="90"/>
      <c r="CO635" s="90"/>
      <c r="CP635" s="90"/>
      <c r="CQ635" s="90"/>
      <c r="CR635" s="90"/>
      <c r="CS635" s="90"/>
      <c r="CT635" s="90"/>
      <c r="CU635" s="90"/>
      <c r="CV635" s="90"/>
      <c r="CW635" s="90"/>
    </row>
    <row r="636" ht="16.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0"/>
      <c r="BQ636" s="90"/>
      <c r="BR636" s="90"/>
      <c r="BS636" s="90"/>
      <c r="BT636" s="90"/>
      <c r="BU636" s="90"/>
      <c r="BV636" s="90"/>
      <c r="BW636" s="90"/>
      <c r="BX636" s="90"/>
      <c r="BY636" s="90"/>
      <c r="BZ636" s="90"/>
      <c r="CA636" s="90"/>
      <c r="CB636" s="90"/>
      <c r="CC636" s="90"/>
      <c r="CD636" s="90"/>
      <c r="CE636" s="90"/>
      <c r="CF636" s="90"/>
      <c r="CG636" s="90"/>
      <c r="CH636" s="90"/>
      <c r="CI636" s="90"/>
      <c r="CJ636" s="90"/>
      <c r="CK636" s="90"/>
      <c r="CL636" s="90"/>
      <c r="CM636" s="90"/>
      <c r="CN636" s="90"/>
      <c r="CO636" s="90"/>
      <c r="CP636" s="90"/>
      <c r="CQ636" s="90"/>
      <c r="CR636" s="90"/>
      <c r="CS636" s="90"/>
      <c r="CT636" s="90"/>
      <c r="CU636" s="90"/>
      <c r="CV636" s="90"/>
      <c r="CW636" s="90"/>
    </row>
    <row r="637" ht="16.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H637" s="90"/>
      <c r="BI637" s="90"/>
      <c r="BJ637" s="90"/>
      <c r="BK637" s="90"/>
      <c r="BL637" s="90"/>
      <c r="BM637" s="90"/>
      <c r="BN637" s="90"/>
      <c r="BO637" s="90"/>
      <c r="BP637" s="90"/>
      <c r="BQ637" s="90"/>
      <c r="BR637" s="90"/>
      <c r="BS637" s="90"/>
      <c r="BT637" s="90"/>
      <c r="BU637" s="90"/>
      <c r="BV637" s="90"/>
      <c r="BW637" s="90"/>
      <c r="BX637" s="90"/>
      <c r="BY637" s="90"/>
      <c r="BZ637" s="90"/>
      <c r="CA637" s="90"/>
      <c r="CB637" s="90"/>
      <c r="CC637" s="90"/>
      <c r="CD637" s="90"/>
      <c r="CE637" s="90"/>
      <c r="CF637" s="90"/>
      <c r="CG637" s="90"/>
      <c r="CH637" s="90"/>
      <c r="CI637" s="90"/>
      <c r="CJ637" s="90"/>
      <c r="CK637" s="90"/>
      <c r="CL637" s="90"/>
      <c r="CM637" s="90"/>
      <c r="CN637" s="90"/>
      <c r="CO637" s="90"/>
      <c r="CP637" s="90"/>
      <c r="CQ637" s="90"/>
      <c r="CR637" s="90"/>
      <c r="CS637" s="90"/>
      <c r="CT637" s="90"/>
      <c r="CU637" s="90"/>
      <c r="CV637" s="90"/>
      <c r="CW637" s="90"/>
    </row>
    <row r="638" ht="16.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0"/>
      <c r="BQ638" s="90"/>
      <c r="BR638" s="90"/>
      <c r="BS638" s="90"/>
      <c r="BT638" s="90"/>
      <c r="BU638" s="90"/>
      <c r="BV638" s="90"/>
      <c r="BW638" s="90"/>
      <c r="BX638" s="90"/>
      <c r="BY638" s="90"/>
      <c r="BZ638" s="90"/>
      <c r="CA638" s="90"/>
      <c r="CB638" s="90"/>
      <c r="CC638" s="90"/>
      <c r="CD638" s="90"/>
      <c r="CE638" s="90"/>
      <c r="CF638" s="90"/>
      <c r="CG638" s="90"/>
      <c r="CH638" s="90"/>
      <c r="CI638" s="90"/>
      <c r="CJ638" s="90"/>
      <c r="CK638" s="90"/>
      <c r="CL638" s="90"/>
      <c r="CM638" s="90"/>
      <c r="CN638" s="90"/>
      <c r="CO638" s="90"/>
      <c r="CP638" s="90"/>
      <c r="CQ638" s="90"/>
      <c r="CR638" s="90"/>
      <c r="CS638" s="90"/>
      <c r="CT638" s="90"/>
      <c r="CU638" s="90"/>
      <c r="CV638" s="90"/>
      <c r="CW638" s="90"/>
    </row>
    <row r="639" ht="16.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H639" s="90"/>
      <c r="BI639" s="90"/>
      <c r="BJ639" s="90"/>
      <c r="BK639" s="90"/>
      <c r="BL639" s="90"/>
      <c r="BM639" s="90"/>
      <c r="BN639" s="90"/>
      <c r="BO639" s="90"/>
      <c r="BP639" s="90"/>
      <c r="BQ639" s="90"/>
      <c r="BR639" s="90"/>
      <c r="BS639" s="90"/>
      <c r="BT639" s="90"/>
      <c r="BU639" s="90"/>
      <c r="BV639" s="90"/>
      <c r="BW639" s="90"/>
      <c r="BX639" s="90"/>
      <c r="BY639" s="90"/>
      <c r="BZ639" s="90"/>
      <c r="CA639" s="90"/>
      <c r="CB639" s="90"/>
      <c r="CC639" s="90"/>
      <c r="CD639" s="90"/>
      <c r="CE639" s="90"/>
      <c r="CF639" s="90"/>
      <c r="CG639" s="90"/>
      <c r="CH639" s="90"/>
      <c r="CI639" s="90"/>
      <c r="CJ639" s="90"/>
      <c r="CK639" s="90"/>
      <c r="CL639" s="90"/>
      <c r="CM639" s="90"/>
      <c r="CN639" s="90"/>
      <c r="CO639" s="90"/>
      <c r="CP639" s="90"/>
      <c r="CQ639" s="90"/>
      <c r="CR639" s="90"/>
      <c r="CS639" s="90"/>
      <c r="CT639" s="90"/>
      <c r="CU639" s="90"/>
      <c r="CV639" s="90"/>
      <c r="CW639" s="90"/>
    </row>
    <row r="640" ht="16.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0"/>
      <c r="BQ640" s="90"/>
      <c r="BR640" s="90"/>
      <c r="BS640" s="90"/>
      <c r="BT640" s="90"/>
      <c r="BU640" s="90"/>
      <c r="BV640" s="90"/>
      <c r="BW640" s="90"/>
      <c r="BX640" s="90"/>
      <c r="BY640" s="90"/>
      <c r="BZ640" s="90"/>
      <c r="CA640" s="90"/>
      <c r="CB640" s="90"/>
      <c r="CC640" s="90"/>
      <c r="CD640" s="90"/>
      <c r="CE640" s="90"/>
      <c r="CF640" s="90"/>
      <c r="CG640" s="90"/>
      <c r="CH640" s="90"/>
      <c r="CI640" s="90"/>
      <c r="CJ640" s="90"/>
      <c r="CK640" s="90"/>
      <c r="CL640" s="90"/>
      <c r="CM640" s="90"/>
      <c r="CN640" s="90"/>
      <c r="CO640" s="90"/>
      <c r="CP640" s="90"/>
      <c r="CQ640" s="90"/>
      <c r="CR640" s="90"/>
      <c r="CS640" s="90"/>
      <c r="CT640" s="90"/>
      <c r="CU640" s="90"/>
      <c r="CV640" s="90"/>
      <c r="CW640" s="90"/>
    </row>
    <row r="641" ht="16.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H641" s="90"/>
      <c r="BI641" s="90"/>
      <c r="BJ641" s="90"/>
      <c r="BK641" s="90"/>
      <c r="BL641" s="90"/>
      <c r="BM641" s="90"/>
      <c r="BN641" s="90"/>
      <c r="BO641" s="90"/>
      <c r="BP641" s="90"/>
      <c r="BQ641" s="90"/>
      <c r="BR641" s="90"/>
      <c r="BS641" s="90"/>
      <c r="BT641" s="90"/>
      <c r="BU641" s="90"/>
      <c r="BV641" s="90"/>
      <c r="BW641" s="90"/>
      <c r="BX641" s="90"/>
      <c r="BY641" s="90"/>
      <c r="BZ641" s="90"/>
      <c r="CA641" s="90"/>
      <c r="CB641" s="90"/>
      <c r="CC641" s="90"/>
      <c r="CD641" s="90"/>
      <c r="CE641" s="90"/>
      <c r="CF641" s="90"/>
      <c r="CG641" s="90"/>
      <c r="CH641" s="90"/>
      <c r="CI641" s="90"/>
      <c r="CJ641" s="90"/>
      <c r="CK641" s="90"/>
      <c r="CL641" s="90"/>
      <c r="CM641" s="90"/>
      <c r="CN641" s="90"/>
      <c r="CO641" s="90"/>
      <c r="CP641" s="90"/>
      <c r="CQ641" s="90"/>
      <c r="CR641" s="90"/>
      <c r="CS641" s="90"/>
      <c r="CT641" s="90"/>
      <c r="CU641" s="90"/>
      <c r="CV641" s="90"/>
      <c r="CW641" s="90"/>
    </row>
    <row r="642" ht="16.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0"/>
      <c r="BQ642" s="90"/>
      <c r="BR642" s="90"/>
      <c r="BS642" s="90"/>
      <c r="BT642" s="90"/>
      <c r="BU642" s="90"/>
      <c r="BV642" s="90"/>
      <c r="BW642" s="90"/>
      <c r="BX642" s="90"/>
      <c r="BY642" s="90"/>
      <c r="BZ642" s="90"/>
      <c r="CA642" s="90"/>
      <c r="CB642" s="90"/>
      <c r="CC642" s="90"/>
      <c r="CD642" s="90"/>
      <c r="CE642" s="90"/>
      <c r="CF642" s="90"/>
      <c r="CG642" s="90"/>
      <c r="CH642" s="90"/>
      <c r="CI642" s="90"/>
      <c r="CJ642" s="90"/>
      <c r="CK642" s="90"/>
      <c r="CL642" s="90"/>
      <c r="CM642" s="90"/>
      <c r="CN642" s="90"/>
      <c r="CO642" s="90"/>
      <c r="CP642" s="90"/>
      <c r="CQ642" s="90"/>
      <c r="CR642" s="90"/>
      <c r="CS642" s="90"/>
      <c r="CT642" s="90"/>
      <c r="CU642" s="90"/>
      <c r="CV642" s="90"/>
      <c r="CW642" s="90"/>
    </row>
    <row r="643" ht="16.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H643" s="90"/>
      <c r="BI643" s="90"/>
      <c r="BJ643" s="90"/>
      <c r="BK643" s="90"/>
      <c r="BL643" s="90"/>
      <c r="BM643" s="90"/>
      <c r="BN643" s="90"/>
      <c r="BO643" s="90"/>
      <c r="BP643" s="90"/>
      <c r="BQ643" s="90"/>
      <c r="BR643" s="90"/>
      <c r="BS643" s="90"/>
      <c r="BT643" s="90"/>
      <c r="BU643" s="90"/>
      <c r="BV643" s="90"/>
      <c r="BW643" s="90"/>
      <c r="BX643" s="90"/>
      <c r="BY643" s="90"/>
      <c r="BZ643" s="90"/>
      <c r="CA643" s="90"/>
      <c r="CB643" s="90"/>
      <c r="CC643" s="90"/>
      <c r="CD643" s="90"/>
      <c r="CE643" s="90"/>
      <c r="CF643" s="90"/>
      <c r="CG643" s="90"/>
      <c r="CH643" s="90"/>
      <c r="CI643" s="90"/>
      <c r="CJ643" s="90"/>
      <c r="CK643" s="90"/>
      <c r="CL643" s="90"/>
      <c r="CM643" s="90"/>
      <c r="CN643" s="90"/>
      <c r="CO643" s="90"/>
      <c r="CP643" s="90"/>
      <c r="CQ643" s="90"/>
      <c r="CR643" s="90"/>
      <c r="CS643" s="90"/>
      <c r="CT643" s="90"/>
      <c r="CU643" s="90"/>
      <c r="CV643" s="90"/>
      <c r="CW643" s="90"/>
    </row>
    <row r="644" ht="16.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0"/>
      <c r="BQ644" s="90"/>
      <c r="BR644" s="90"/>
      <c r="BS644" s="90"/>
      <c r="BT644" s="90"/>
      <c r="BU644" s="90"/>
      <c r="BV644" s="90"/>
      <c r="BW644" s="90"/>
      <c r="BX644" s="90"/>
      <c r="BY644" s="90"/>
      <c r="BZ644" s="90"/>
      <c r="CA644" s="90"/>
      <c r="CB644" s="90"/>
      <c r="CC644" s="90"/>
      <c r="CD644" s="90"/>
      <c r="CE644" s="90"/>
      <c r="CF644" s="90"/>
      <c r="CG644" s="90"/>
      <c r="CH644" s="90"/>
      <c r="CI644" s="90"/>
      <c r="CJ644" s="90"/>
      <c r="CK644" s="90"/>
      <c r="CL644" s="90"/>
      <c r="CM644" s="90"/>
      <c r="CN644" s="90"/>
      <c r="CO644" s="90"/>
      <c r="CP644" s="90"/>
      <c r="CQ644" s="90"/>
      <c r="CR644" s="90"/>
      <c r="CS644" s="90"/>
      <c r="CT644" s="90"/>
      <c r="CU644" s="90"/>
      <c r="CV644" s="90"/>
      <c r="CW644" s="90"/>
    </row>
    <row r="645" ht="16.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H645" s="90"/>
      <c r="BI645" s="90"/>
      <c r="BJ645" s="90"/>
      <c r="BK645" s="90"/>
      <c r="BL645" s="90"/>
      <c r="BM645" s="90"/>
      <c r="BN645" s="90"/>
      <c r="BO645" s="90"/>
      <c r="BP645" s="90"/>
      <c r="BQ645" s="90"/>
      <c r="BR645" s="90"/>
      <c r="BS645" s="90"/>
      <c r="BT645" s="90"/>
      <c r="BU645" s="90"/>
      <c r="BV645" s="90"/>
      <c r="BW645" s="90"/>
      <c r="BX645" s="90"/>
      <c r="BY645" s="90"/>
      <c r="BZ645" s="90"/>
      <c r="CA645" s="90"/>
      <c r="CB645" s="90"/>
      <c r="CC645" s="90"/>
      <c r="CD645" s="90"/>
      <c r="CE645" s="90"/>
      <c r="CF645" s="90"/>
      <c r="CG645" s="90"/>
      <c r="CH645" s="90"/>
      <c r="CI645" s="90"/>
      <c r="CJ645" s="90"/>
      <c r="CK645" s="90"/>
      <c r="CL645" s="90"/>
      <c r="CM645" s="90"/>
      <c r="CN645" s="90"/>
      <c r="CO645" s="90"/>
      <c r="CP645" s="90"/>
      <c r="CQ645" s="90"/>
      <c r="CR645" s="90"/>
      <c r="CS645" s="90"/>
      <c r="CT645" s="90"/>
      <c r="CU645" s="90"/>
      <c r="CV645" s="90"/>
      <c r="CW645" s="90"/>
    </row>
    <row r="646" ht="16.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0"/>
      <c r="BQ646" s="90"/>
      <c r="BR646" s="90"/>
      <c r="BS646" s="90"/>
      <c r="BT646" s="90"/>
      <c r="BU646" s="90"/>
      <c r="BV646" s="90"/>
      <c r="BW646" s="90"/>
      <c r="BX646" s="90"/>
      <c r="BY646" s="90"/>
      <c r="BZ646" s="90"/>
      <c r="CA646" s="90"/>
      <c r="CB646" s="90"/>
      <c r="CC646" s="90"/>
      <c r="CD646" s="90"/>
      <c r="CE646" s="90"/>
      <c r="CF646" s="90"/>
      <c r="CG646" s="90"/>
      <c r="CH646" s="90"/>
      <c r="CI646" s="90"/>
      <c r="CJ646" s="90"/>
      <c r="CK646" s="90"/>
      <c r="CL646" s="90"/>
      <c r="CM646" s="90"/>
      <c r="CN646" s="90"/>
      <c r="CO646" s="90"/>
      <c r="CP646" s="90"/>
      <c r="CQ646" s="90"/>
      <c r="CR646" s="90"/>
      <c r="CS646" s="90"/>
      <c r="CT646" s="90"/>
      <c r="CU646" s="90"/>
      <c r="CV646" s="90"/>
      <c r="CW646" s="90"/>
    </row>
    <row r="647" ht="16.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H647" s="90"/>
      <c r="BI647" s="90"/>
      <c r="BJ647" s="90"/>
      <c r="BK647" s="90"/>
      <c r="BL647" s="90"/>
      <c r="BM647" s="90"/>
      <c r="BN647" s="90"/>
      <c r="BO647" s="90"/>
      <c r="BP647" s="90"/>
      <c r="BQ647" s="90"/>
      <c r="BR647" s="90"/>
      <c r="BS647" s="90"/>
      <c r="BT647" s="90"/>
      <c r="BU647" s="90"/>
      <c r="BV647" s="90"/>
      <c r="BW647" s="90"/>
      <c r="BX647" s="90"/>
      <c r="BY647" s="90"/>
      <c r="BZ647" s="90"/>
      <c r="CA647" s="90"/>
      <c r="CB647" s="90"/>
      <c r="CC647" s="90"/>
      <c r="CD647" s="90"/>
      <c r="CE647" s="90"/>
      <c r="CF647" s="90"/>
      <c r="CG647" s="90"/>
      <c r="CH647" s="90"/>
      <c r="CI647" s="90"/>
      <c r="CJ647" s="90"/>
      <c r="CK647" s="90"/>
      <c r="CL647" s="90"/>
      <c r="CM647" s="90"/>
      <c r="CN647" s="90"/>
      <c r="CO647" s="90"/>
      <c r="CP647" s="90"/>
      <c r="CQ647" s="90"/>
      <c r="CR647" s="90"/>
      <c r="CS647" s="90"/>
      <c r="CT647" s="90"/>
      <c r="CU647" s="90"/>
      <c r="CV647" s="90"/>
      <c r="CW647" s="90"/>
    </row>
    <row r="648" ht="16.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0"/>
      <c r="BQ648" s="90"/>
      <c r="BR648" s="90"/>
      <c r="BS648" s="90"/>
      <c r="BT648" s="90"/>
      <c r="BU648" s="90"/>
      <c r="BV648" s="90"/>
      <c r="BW648" s="90"/>
      <c r="BX648" s="90"/>
      <c r="BY648" s="90"/>
      <c r="BZ648" s="90"/>
      <c r="CA648" s="90"/>
      <c r="CB648" s="90"/>
      <c r="CC648" s="90"/>
      <c r="CD648" s="90"/>
      <c r="CE648" s="90"/>
      <c r="CF648" s="90"/>
      <c r="CG648" s="90"/>
      <c r="CH648" s="90"/>
      <c r="CI648" s="90"/>
      <c r="CJ648" s="90"/>
      <c r="CK648" s="90"/>
      <c r="CL648" s="90"/>
      <c r="CM648" s="90"/>
      <c r="CN648" s="90"/>
      <c r="CO648" s="90"/>
      <c r="CP648" s="90"/>
      <c r="CQ648" s="90"/>
      <c r="CR648" s="90"/>
      <c r="CS648" s="90"/>
      <c r="CT648" s="90"/>
      <c r="CU648" s="90"/>
      <c r="CV648" s="90"/>
      <c r="CW648" s="90"/>
    </row>
    <row r="649" ht="16.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H649" s="90"/>
      <c r="BI649" s="90"/>
      <c r="BJ649" s="90"/>
      <c r="BK649" s="90"/>
      <c r="BL649" s="90"/>
      <c r="BM649" s="90"/>
      <c r="BN649" s="90"/>
      <c r="BO649" s="90"/>
      <c r="BP649" s="90"/>
      <c r="BQ649" s="90"/>
      <c r="BR649" s="90"/>
      <c r="BS649" s="90"/>
      <c r="BT649" s="90"/>
      <c r="BU649" s="90"/>
      <c r="BV649" s="90"/>
      <c r="BW649" s="90"/>
      <c r="BX649" s="90"/>
      <c r="BY649" s="90"/>
      <c r="BZ649" s="90"/>
      <c r="CA649" s="90"/>
      <c r="CB649" s="90"/>
      <c r="CC649" s="90"/>
      <c r="CD649" s="90"/>
      <c r="CE649" s="90"/>
      <c r="CF649" s="90"/>
      <c r="CG649" s="90"/>
      <c r="CH649" s="90"/>
      <c r="CI649" s="90"/>
      <c r="CJ649" s="90"/>
      <c r="CK649" s="90"/>
      <c r="CL649" s="90"/>
      <c r="CM649" s="90"/>
      <c r="CN649" s="90"/>
      <c r="CO649" s="90"/>
      <c r="CP649" s="90"/>
      <c r="CQ649" s="90"/>
      <c r="CR649" s="90"/>
      <c r="CS649" s="90"/>
      <c r="CT649" s="90"/>
      <c r="CU649" s="90"/>
      <c r="CV649" s="90"/>
      <c r="CW649" s="90"/>
    </row>
    <row r="650" ht="16.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0"/>
      <c r="BQ650" s="90"/>
      <c r="BR650" s="90"/>
      <c r="BS650" s="90"/>
      <c r="BT650" s="90"/>
      <c r="BU650" s="90"/>
      <c r="BV650" s="90"/>
      <c r="BW650" s="90"/>
      <c r="BX650" s="90"/>
      <c r="BY650" s="90"/>
      <c r="BZ650" s="90"/>
      <c r="CA650" s="90"/>
      <c r="CB650" s="90"/>
      <c r="CC650" s="90"/>
      <c r="CD650" s="90"/>
      <c r="CE650" s="90"/>
      <c r="CF650" s="90"/>
      <c r="CG650" s="90"/>
      <c r="CH650" s="90"/>
      <c r="CI650" s="90"/>
      <c r="CJ650" s="90"/>
      <c r="CK650" s="90"/>
      <c r="CL650" s="90"/>
      <c r="CM650" s="90"/>
      <c r="CN650" s="90"/>
      <c r="CO650" s="90"/>
      <c r="CP650" s="90"/>
      <c r="CQ650" s="90"/>
      <c r="CR650" s="90"/>
      <c r="CS650" s="90"/>
      <c r="CT650" s="90"/>
      <c r="CU650" s="90"/>
      <c r="CV650" s="90"/>
      <c r="CW650" s="90"/>
    </row>
    <row r="651" ht="16.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H651" s="90"/>
      <c r="BI651" s="90"/>
      <c r="BJ651" s="90"/>
      <c r="BK651" s="90"/>
      <c r="BL651" s="90"/>
      <c r="BM651" s="90"/>
      <c r="BN651" s="90"/>
      <c r="BO651" s="90"/>
      <c r="BP651" s="90"/>
      <c r="BQ651" s="90"/>
      <c r="BR651" s="90"/>
      <c r="BS651" s="90"/>
      <c r="BT651" s="90"/>
      <c r="BU651" s="90"/>
      <c r="BV651" s="90"/>
      <c r="BW651" s="90"/>
      <c r="BX651" s="90"/>
      <c r="BY651" s="90"/>
      <c r="BZ651" s="90"/>
      <c r="CA651" s="90"/>
      <c r="CB651" s="90"/>
      <c r="CC651" s="90"/>
      <c r="CD651" s="90"/>
      <c r="CE651" s="90"/>
      <c r="CF651" s="90"/>
      <c r="CG651" s="90"/>
      <c r="CH651" s="90"/>
      <c r="CI651" s="90"/>
      <c r="CJ651" s="90"/>
      <c r="CK651" s="90"/>
      <c r="CL651" s="90"/>
      <c r="CM651" s="90"/>
      <c r="CN651" s="90"/>
      <c r="CO651" s="90"/>
      <c r="CP651" s="90"/>
      <c r="CQ651" s="90"/>
      <c r="CR651" s="90"/>
      <c r="CS651" s="90"/>
      <c r="CT651" s="90"/>
      <c r="CU651" s="90"/>
      <c r="CV651" s="90"/>
      <c r="CW651" s="90"/>
    </row>
    <row r="652" ht="16.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0"/>
      <c r="BQ652" s="90"/>
      <c r="BR652" s="90"/>
      <c r="BS652" s="90"/>
      <c r="BT652" s="90"/>
      <c r="BU652" s="90"/>
      <c r="BV652" s="90"/>
      <c r="BW652" s="90"/>
      <c r="BX652" s="90"/>
      <c r="BY652" s="90"/>
      <c r="BZ652" s="90"/>
      <c r="CA652" s="90"/>
      <c r="CB652" s="90"/>
      <c r="CC652" s="90"/>
      <c r="CD652" s="90"/>
      <c r="CE652" s="90"/>
      <c r="CF652" s="90"/>
      <c r="CG652" s="90"/>
      <c r="CH652" s="90"/>
      <c r="CI652" s="90"/>
      <c r="CJ652" s="90"/>
      <c r="CK652" s="90"/>
      <c r="CL652" s="90"/>
      <c r="CM652" s="90"/>
      <c r="CN652" s="90"/>
      <c r="CO652" s="90"/>
      <c r="CP652" s="90"/>
      <c r="CQ652" s="90"/>
      <c r="CR652" s="90"/>
      <c r="CS652" s="90"/>
      <c r="CT652" s="90"/>
      <c r="CU652" s="90"/>
      <c r="CV652" s="90"/>
      <c r="CW652" s="90"/>
    </row>
    <row r="653" ht="16.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H653" s="90"/>
      <c r="BI653" s="90"/>
      <c r="BJ653" s="90"/>
      <c r="BK653" s="90"/>
      <c r="BL653" s="90"/>
      <c r="BM653" s="90"/>
      <c r="BN653" s="90"/>
      <c r="BO653" s="90"/>
      <c r="BP653" s="90"/>
      <c r="BQ653" s="90"/>
      <c r="BR653" s="90"/>
      <c r="BS653" s="90"/>
      <c r="BT653" s="90"/>
      <c r="BU653" s="90"/>
      <c r="BV653" s="90"/>
      <c r="BW653" s="90"/>
      <c r="BX653" s="90"/>
      <c r="BY653" s="90"/>
      <c r="BZ653" s="90"/>
      <c r="CA653" s="90"/>
      <c r="CB653" s="90"/>
      <c r="CC653" s="90"/>
      <c r="CD653" s="90"/>
      <c r="CE653" s="90"/>
      <c r="CF653" s="90"/>
      <c r="CG653" s="90"/>
      <c r="CH653" s="90"/>
      <c r="CI653" s="90"/>
      <c r="CJ653" s="90"/>
      <c r="CK653" s="90"/>
      <c r="CL653" s="90"/>
      <c r="CM653" s="90"/>
      <c r="CN653" s="90"/>
      <c r="CO653" s="90"/>
      <c r="CP653" s="90"/>
      <c r="CQ653" s="90"/>
      <c r="CR653" s="90"/>
      <c r="CS653" s="90"/>
      <c r="CT653" s="90"/>
      <c r="CU653" s="90"/>
      <c r="CV653" s="90"/>
      <c r="CW653" s="90"/>
    </row>
    <row r="654" ht="16.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0"/>
      <c r="BQ654" s="90"/>
      <c r="BR654" s="90"/>
      <c r="BS654" s="90"/>
      <c r="BT654" s="90"/>
      <c r="BU654" s="90"/>
      <c r="BV654" s="90"/>
      <c r="BW654" s="90"/>
      <c r="BX654" s="90"/>
      <c r="BY654" s="90"/>
      <c r="BZ654" s="90"/>
      <c r="CA654" s="90"/>
      <c r="CB654" s="90"/>
      <c r="CC654" s="90"/>
      <c r="CD654" s="90"/>
      <c r="CE654" s="90"/>
      <c r="CF654" s="90"/>
      <c r="CG654" s="90"/>
      <c r="CH654" s="90"/>
      <c r="CI654" s="90"/>
      <c r="CJ654" s="90"/>
      <c r="CK654" s="90"/>
      <c r="CL654" s="90"/>
      <c r="CM654" s="90"/>
      <c r="CN654" s="90"/>
      <c r="CO654" s="90"/>
      <c r="CP654" s="90"/>
      <c r="CQ654" s="90"/>
      <c r="CR654" s="90"/>
      <c r="CS654" s="90"/>
      <c r="CT654" s="90"/>
      <c r="CU654" s="90"/>
      <c r="CV654" s="90"/>
      <c r="CW654" s="90"/>
    </row>
    <row r="655" ht="16.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H655" s="90"/>
      <c r="BI655" s="90"/>
      <c r="BJ655" s="90"/>
      <c r="BK655" s="90"/>
      <c r="BL655" s="90"/>
      <c r="BM655" s="90"/>
      <c r="BN655" s="90"/>
      <c r="BO655" s="90"/>
      <c r="BP655" s="90"/>
      <c r="BQ655" s="90"/>
      <c r="BR655" s="90"/>
      <c r="BS655" s="90"/>
      <c r="BT655" s="90"/>
      <c r="BU655" s="90"/>
      <c r="BV655" s="90"/>
      <c r="BW655" s="90"/>
      <c r="BX655" s="90"/>
      <c r="BY655" s="90"/>
      <c r="BZ655" s="90"/>
      <c r="CA655" s="90"/>
      <c r="CB655" s="90"/>
      <c r="CC655" s="90"/>
      <c r="CD655" s="90"/>
      <c r="CE655" s="90"/>
      <c r="CF655" s="90"/>
      <c r="CG655" s="90"/>
      <c r="CH655" s="90"/>
      <c r="CI655" s="90"/>
      <c r="CJ655" s="90"/>
      <c r="CK655" s="90"/>
      <c r="CL655" s="90"/>
      <c r="CM655" s="90"/>
      <c r="CN655" s="90"/>
      <c r="CO655" s="90"/>
      <c r="CP655" s="90"/>
      <c r="CQ655" s="90"/>
      <c r="CR655" s="90"/>
      <c r="CS655" s="90"/>
      <c r="CT655" s="90"/>
      <c r="CU655" s="90"/>
      <c r="CV655" s="90"/>
      <c r="CW655" s="90"/>
    </row>
    <row r="656" ht="16.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0"/>
      <c r="BQ656" s="90"/>
      <c r="BR656" s="90"/>
      <c r="BS656" s="90"/>
      <c r="BT656" s="90"/>
      <c r="BU656" s="90"/>
      <c r="BV656" s="90"/>
      <c r="BW656" s="90"/>
      <c r="BX656" s="90"/>
      <c r="BY656" s="90"/>
      <c r="BZ656" s="90"/>
      <c r="CA656" s="90"/>
      <c r="CB656" s="90"/>
      <c r="CC656" s="90"/>
      <c r="CD656" s="90"/>
      <c r="CE656" s="90"/>
      <c r="CF656" s="90"/>
      <c r="CG656" s="90"/>
      <c r="CH656" s="90"/>
      <c r="CI656" s="90"/>
      <c r="CJ656" s="90"/>
      <c r="CK656" s="90"/>
      <c r="CL656" s="90"/>
      <c r="CM656" s="90"/>
      <c r="CN656" s="90"/>
      <c r="CO656" s="90"/>
      <c r="CP656" s="90"/>
      <c r="CQ656" s="90"/>
      <c r="CR656" s="90"/>
      <c r="CS656" s="90"/>
      <c r="CT656" s="90"/>
      <c r="CU656" s="90"/>
      <c r="CV656" s="90"/>
      <c r="CW656" s="90"/>
    </row>
    <row r="657" ht="16.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H657" s="90"/>
      <c r="BI657" s="90"/>
      <c r="BJ657" s="90"/>
      <c r="BK657" s="90"/>
      <c r="BL657" s="90"/>
      <c r="BM657" s="90"/>
      <c r="BN657" s="90"/>
      <c r="BO657" s="90"/>
      <c r="BP657" s="90"/>
      <c r="BQ657" s="90"/>
      <c r="BR657" s="90"/>
      <c r="BS657" s="90"/>
      <c r="BT657" s="90"/>
      <c r="BU657" s="90"/>
      <c r="BV657" s="90"/>
      <c r="BW657" s="90"/>
      <c r="BX657" s="90"/>
      <c r="BY657" s="90"/>
      <c r="BZ657" s="90"/>
      <c r="CA657" s="90"/>
      <c r="CB657" s="90"/>
      <c r="CC657" s="90"/>
      <c r="CD657" s="90"/>
      <c r="CE657" s="90"/>
      <c r="CF657" s="90"/>
      <c r="CG657" s="90"/>
      <c r="CH657" s="90"/>
      <c r="CI657" s="90"/>
      <c r="CJ657" s="90"/>
      <c r="CK657" s="90"/>
      <c r="CL657" s="90"/>
      <c r="CM657" s="90"/>
      <c r="CN657" s="90"/>
      <c r="CO657" s="90"/>
      <c r="CP657" s="90"/>
      <c r="CQ657" s="90"/>
      <c r="CR657" s="90"/>
      <c r="CS657" s="90"/>
      <c r="CT657" s="90"/>
      <c r="CU657" s="90"/>
      <c r="CV657" s="90"/>
      <c r="CW657" s="90"/>
    </row>
    <row r="658" ht="16.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0"/>
      <c r="BQ658" s="90"/>
      <c r="BR658" s="90"/>
      <c r="BS658" s="90"/>
      <c r="BT658" s="90"/>
      <c r="BU658" s="90"/>
      <c r="BV658" s="90"/>
      <c r="BW658" s="90"/>
      <c r="BX658" s="90"/>
      <c r="BY658" s="90"/>
      <c r="BZ658" s="90"/>
      <c r="CA658" s="90"/>
      <c r="CB658" s="90"/>
      <c r="CC658" s="90"/>
      <c r="CD658" s="90"/>
      <c r="CE658" s="90"/>
      <c r="CF658" s="90"/>
      <c r="CG658" s="90"/>
      <c r="CH658" s="90"/>
      <c r="CI658" s="90"/>
      <c r="CJ658" s="90"/>
      <c r="CK658" s="90"/>
      <c r="CL658" s="90"/>
      <c r="CM658" s="90"/>
      <c r="CN658" s="90"/>
      <c r="CO658" s="90"/>
      <c r="CP658" s="90"/>
      <c r="CQ658" s="90"/>
      <c r="CR658" s="90"/>
      <c r="CS658" s="90"/>
      <c r="CT658" s="90"/>
      <c r="CU658" s="90"/>
      <c r="CV658" s="90"/>
      <c r="CW658" s="90"/>
    </row>
    <row r="659" ht="16.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H659" s="90"/>
      <c r="BI659" s="90"/>
      <c r="BJ659" s="90"/>
      <c r="BK659" s="90"/>
      <c r="BL659" s="90"/>
      <c r="BM659" s="90"/>
      <c r="BN659" s="90"/>
      <c r="BO659" s="90"/>
      <c r="BP659" s="90"/>
      <c r="BQ659" s="90"/>
      <c r="BR659" s="90"/>
      <c r="BS659" s="90"/>
      <c r="BT659" s="90"/>
      <c r="BU659" s="90"/>
      <c r="BV659" s="90"/>
      <c r="BW659" s="90"/>
      <c r="BX659" s="90"/>
      <c r="BY659" s="90"/>
      <c r="BZ659" s="90"/>
      <c r="CA659" s="90"/>
      <c r="CB659" s="90"/>
      <c r="CC659" s="90"/>
      <c r="CD659" s="90"/>
      <c r="CE659" s="90"/>
      <c r="CF659" s="90"/>
      <c r="CG659" s="90"/>
      <c r="CH659" s="90"/>
      <c r="CI659" s="90"/>
      <c r="CJ659" s="90"/>
      <c r="CK659" s="90"/>
      <c r="CL659" s="90"/>
      <c r="CM659" s="90"/>
      <c r="CN659" s="90"/>
      <c r="CO659" s="90"/>
      <c r="CP659" s="90"/>
      <c r="CQ659" s="90"/>
      <c r="CR659" s="90"/>
      <c r="CS659" s="90"/>
      <c r="CT659" s="90"/>
      <c r="CU659" s="90"/>
      <c r="CV659" s="90"/>
      <c r="CW659" s="90"/>
    </row>
    <row r="660" ht="16.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0"/>
      <c r="BQ660" s="90"/>
      <c r="BR660" s="90"/>
      <c r="BS660" s="90"/>
      <c r="BT660" s="90"/>
      <c r="BU660" s="90"/>
      <c r="BV660" s="90"/>
      <c r="BW660" s="90"/>
      <c r="BX660" s="90"/>
      <c r="BY660" s="90"/>
      <c r="BZ660" s="90"/>
      <c r="CA660" s="90"/>
      <c r="CB660" s="90"/>
      <c r="CC660" s="90"/>
      <c r="CD660" s="90"/>
      <c r="CE660" s="90"/>
      <c r="CF660" s="90"/>
      <c r="CG660" s="90"/>
      <c r="CH660" s="90"/>
      <c r="CI660" s="90"/>
      <c r="CJ660" s="90"/>
      <c r="CK660" s="90"/>
      <c r="CL660" s="90"/>
      <c r="CM660" s="90"/>
      <c r="CN660" s="90"/>
      <c r="CO660" s="90"/>
      <c r="CP660" s="90"/>
      <c r="CQ660" s="90"/>
      <c r="CR660" s="90"/>
      <c r="CS660" s="90"/>
      <c r="CT660" s="90"/>
      <c r="CU660" s="90"/>
      <c r="CV660" s="90"/>
      <c r="CW660" s="90"/>
    </row>
    <row r="661" ht="16.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H661" s="90"/>
      <c r="BI661" s="90"/>
      <c r="BJ661" s="90"/>
      <c r="BK661" s="90"/>
      <c r="BL661" s="90"/>
      <c r="BM661" s="90"/>
      <c r="BN661" s="90"/>
      <c r="BO661" s="90"/>
      <c r="BP661" s="90"/>
      <c r="BQ661" s="90"/>
      <c r="BR661" s="90"/>
      <c r="BS661" s="90"/>
      <c r="BT661" s="90"/>
      <c r="BU661" s="90"/>
      <c r="BV661" s="90"/>
      <c r="BW661" s="90"/>
      <c r="BX661" s="90"/>
      <c r="BY661" s="90"/>
      <c r="BZ661" s="90"/>
      <c r="CA661" s="90"/>
      <c r="CB661" s="90"/>
      <c r="CC661" s="90"/>
      <c r="CD661" s="90"/>
      <c r="CE661" s="90"/>
      <c r="CF661" s="90"/>
      <c r="CG661" s="90"/>
      <c r="CH661" s="90"/>
      <c r="CI661" s="90"/>
      <c r="CJ661" s="90"/>
      <c r="CK661" s="90"/>
      <c r="CL661" s="90"/>
      <c r="CM661" s="90"/>
      <c r="CN661" s="90"/>
      <c r="CO661" s="90"/>
      <c r="CP661" s="90"/>
      <c r="CQ661" s="90"/>
      <c r="CR661" s="90"/>
      <c r="CS661" s="90"/>
      <c r="CT661" s="90"/>
      <c r="CU661" s="90"/>
      <c r="CV661" s="90"/>
      <c r="CW661" s="90"/>
    </row>
    <row r="662" ht="16.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0"/>
      <c r="BQ662" s="90"/>
      <c r="BR662" s="90"/>
      <c r="BS662" s="90"/>
      <c r="BT662" s="90"/>
      <c r="BU662" s="90"/>
      <c r="BV662" s="90"/>
      <c r="BW662" s="90"/>
      <c r="BX662" s="90"/>
      <c r="BY662" s="90"/>
      <c r="BZ662" s="90"/>
      <c r="CA662" s="90"/>
      <c r="CB662" s="90"/>
      <c r="CC662" s="90"/>
      <c r="CD662" s="90"/>
      <c r="CE662" s="90"/>
      <c r="CF662" s="90"/>
      <c r="CG662" s="90"/>
      <c r="CH662" s="90"/>
      <c r="CI662" s="90"/>
      <c r="CJ662" s="90"/>
      <c r="CK662" s="90"/>
      <c r="CL662" s="90"/>
      <c r="CM662" s="90"/>
      <c r="CN662" s="90"/>
      <c r="CO662" s="90"/>
      <c r="CP662" s="90"/>
      <c r="CQ662" s="90"/>
      <c r="CR662" s="90"/>
      <c r="CS662" s="90"/>
      <c r="CT662" s="90"/>
      <c r="CU662" s="90"/>
      <c r="CV662" s="90"/>
      <c r="CW662" s="90"/>
    </row>
    <row r="663" ht="16.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H663" s="90"/>
      <c r="BI663" s="90"/>
      <c r="BJ663" s="90"/>
      <c r="BK663" s="90"/>
      <c r="BL663" s="90"/>
      <c r="BM663" s="90"/>
      <c r="BN663" s="90"/>
      <c r="BO663" s="90"/>
      <c r="BP663" s="90"/>
      <c r="BQ663" s="90"/>
      <c r="BR663" s="90"/>
      <c r="BS663" s="90"/>
      <c r="BT663" s="90"/>
      <c r="BU663" s="90"/>
      <c r="BV663" s="90"/>
      <c r="BW663" s="90"/>
      <c r="BX663" s="90"/>
      <c r="BY663" s="90"/>
      <c r="BZ663" s="90"/>
      <c r="CA663" s="90"/>
      <c r="CB663" s="90"/>
      <c r="CC663" s="90"/>
      <c r="CD663" s="90"/>
      <c r="CE663" s="90"/>
      <c r="CF663" s="90"/>
      <c r="CG663" s="90"/>
      <c r="CH663" s="90"/>
      <c r="CI663" s="90"/>
      <c r="CJ663" s="90"/>
      <c r="CK663" s="90"/>
      <c r="CL663" s="90"/>
      <c r="CM663" s="90"/>
      <c r="CN663" s="90"/>
      <c r="CO663" s="90"/>
      <c r="CP663" s="90"/>
      <c r="CQ663" s="90"/>
      <c r="CR663" s="90"/>
      <c r="CS663" s="90"/>
      <c r="CT663" s="90"/>
      <c r="CU663" s="90"/>
      <c r="CV663" s="90"/>
      <c r="CW663" s="90"/>
    </row>
    <row r="664" ht="16.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0"/>
      <c r="BQ664" s="90"/>
      <c r="BR664" s="90"/>
      <c r="BS664" s="90"/>
      <c r="BT664" s="90"/>
      <c r="BU664" s="90"/>
      <c r="BV664" s="90"/>
      <c r="BW664" s="90"/>
      <c r="BX664" s="90"/>
      <c r="BY664" s="90"/>
      <c r="BZ664" s="90"/>
      <c r="CA664" s="90"/>
      <c r="CB664" s="90"/>
      <c r="CC664" s="90"/>
      <c r="CD664" s="90"/>
      <c r="CE664" s="90"/>
      <c r="CF664" s="90"/>
      <c r="CG664" s="90"/>
      <c r="CH664" s="90"/>
      <c r="CI664" s="90"/>
      <c r="CJ664" s="90"/>
      <c r="CK664" s="90"/>
      <c r="CL664" s="90"/>
      <c r="CM664" s="90"/>
      <c r="CN664" s="90"/>
      <c r="CO664" s="90"/>
      <c r="CP664" s="90"/>
      <c r="CQ664" s="90"/>
      <c r="CR664" s="90"/>
      <c r="CS664" s="90"/>
      <c r="CT664" s="90"/>
      <c r="CU664" s="90"/>
      <c r="CV664" s="90"/>
      <c r="CW664" s="90"/>
    </row>
    <row r="665" ht="16.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  <c r="BI665" s="90"/>
      <c r="BJ665" s="90"/>
      <c r="BK665" s="90"/>
      <c r="BL665" s="90"/>
      <c r="BM665" s="90"/>
      <c r="BN665" s="90"/>
      <c r="BO665" s="90"/>
      <c r="BP665" s="90"/>
      <c r="BQ665" s="90"/>
      <c r="BR665" s="90"/>
      <c r="BS665" s="90"/>
      <c r="BT665" s="90"/>
      <c r="BU665" s="90"/>
      <c r="BV665" s="90"/>
      <c r="BW665" s="90"/>
      <c r="BX665" s="90"/>
      <c r="BY665" s="90"/>
      <c r="BZ665" s="90"/>
      <c r="CA665" s="90"/>
      <c r="CB665" s="90"/>
      <c r="CC665" s="90"/>
      <c r="CD665" s="90"/>
      <c r="CE665" s="90"/>
      <c r="CF665" s="90"/>
      <c r="CG665" s="90"/>
      <c r="CH665" s="90"/>
      <c r="CI665" s="90"/>
      <c r="CJ665" s="90"/>
      <c r="CK665" s="90"/>
      <c r="CL665" s="90"/>
      <c r="CM665" s="90"/>
      <c r="CN665" s="90"/>
      <c r="CO665" s="90"/>
      <c r="CP665" s="90"/>
      <c r="CQ665" s="90"/>
      <c r="CR665" s="90"/>
      <c r="CS665" s="90"/>
      <c r="CT665" s="90"/>
      <c r="CU665" s="90"/>
      <c r="CV665" s="90"/>
      <c r="CW665" s="90"/>
    </row>
    <row r="666" ht="16.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0"/>
      <c r="BQ666" s="90"/>
      <c r="BR666" s="90"/>
      <c r="BS666" s="90"/>
      <c r="BT666" s="90"/>
      <c r="BU666" s="90"/>
      <c r="BV666" s="90"/>
      <c r="BW666" s="90"/>
      <c r="BX666" s="90"/>
      <c r="BY666" s="90"/>
      <c r="BZ666" s="90"/>
      <c r="CA666" s="90"/>
      <c r="CB666" s="90"/>
      <c r="CC666" s="90"/>
      <c r="CD666" s="90"/>
      <c r="CE666" s="90"/>
      <c r="CF666" s="90"/>
      <c r="CG666" s="90"/>
      <c r="CH666" s="90"/>
      <c r="CI666" s="90"/>
      <c r="CJ666" s="90"/>
      <c r="CK666" s="90"/>
      <c r="CL666" s="90"/>
      <c r="CM666" s="90"/>
      <c r="CN666" s="90"/>
      <c r="CO666" s="90"/>
      <c r="CP666" s="90"/>
      <c r="CQ666" s="90"/>
      <c r="CR666" s="90"/>
      <c r="CS666" s="90"/>
      <c r="CT666" s="90"/>
      <c r="CU666" s="90"/>
      <c r="CV666" s="90"/>
      <c r="CW666" s="90"/>
    </row>
    <row r="667" ht="16.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  <c r="BI667" s="90"/>
      <c r="BJ667" s="90"/>
      <c r="BK667" s="90"/>
      <c r="BL667" s="90"/>
      <c r="BM667" s="90"/>
      <c r="BN667" s="90"/>
      <c r="BO667" s="90"/>
      <c r="BP667" s="90"/>
      <c r="BQ667" s="90"/>
      <c r="BR667" s="90"/>
      <c r="BS667" s="90"/>
      <c r="BT667" s="90"/>
      <c r="BU667" s="90"/>
      <c r="BV667" s="90"/>
      <c r="BW667" s="90"/>
      <c r="BX667" s="90"/>
      <c r="BY667" s="90"/>
      <c r="BZ667" s="90"/>
      <c r="CA667" s="90"/>
      <c r="CB667" s="90"/>
      <c r="CC667" s="90"/>
      <c r="CD667" s="90"/>
      <c r="CE667" s="90"/>
      <c r="CF667" s="90"/>
      <c r="CG667" s="90"/>
      <c r="CH667" s="90"/>
      <c r="CI667" s="90"/>
      <c r="CJ667" s="90"/>
      <c r="CK667" s="90"/>
      <c r="CL667" s="90"/>
      <c r="CM667" s="90"/>
      <c r="CN667" s="90"/>
      <c r="CO667" s="90"/>
      <c r="CP667" s="90"/>
      <c r="CQ667" s="90"/>
      <c r="CR667" s="90"/>
      <c r="CS667" s="90"/>
      <c r="CT667" s="90"/>
      <c r="CU667" s="90"/>
      <c r="CV667" s="90"/>
      <c r="CW667" s="90"/>
    </row>
    <row r="668" ht="16.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0"/>
      <c r="BQ668" s="90"/>
      <c r="BR668" s="90"/>
      <c r="BS668" s="90"/>
      <c r="BT668" s="90"/>
      <c r="BU668" s="90"/>
      <c r="BV668" s="90"/>
      <c r="BW668" s="90"/>
      <c r="BX668" s="90"/>
      <c r="BY668" s="90"/>
      <c r="BZ668" s="90"/>
      <c r="CA668" s="90"/>
      <c r="CB668" s="90"/>
      <c r="CC668" s="90"/>
      <c r="CD668" s="90"/>
      <c r="CE668" s="90"/>
      <c r="CF668" s="90"/>
      <c r="CG668" s="90"/>
      <c r="CH668" s="90"/>
      <c r="CI668" s="90"/>
      <c r="CJ668" s="90"/>
      <c r="CK668" s="90"/>
      <c r="CL668" s="90"/>
      <c r="CM668" s="90"/>
      <c r="CN668" s="90"/>
      <c r="CO668" s="90"/>
      <c r="CP668" s="90"/>
      <c r="CQ668" s="90"/>
      <c r="CR668" s="90"/>
      <c r="CS668" s="90"/>
      <c r="CT668" s="90"/>
      <c r="CU668" s="90"/>
      <c r="CV668" s="90"/>
      <c r="CW668" s="90"/>
    </row>
    <row r="669" ht="16.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  <c r="BI669" s="90"/>
      <c r="BJ669" s="90"/>
      <c r="BK669" s="90"/>
      <c r="BL669" s="90"/>
      <c r="BM669" s="90"/>
      <c r="BN669" s="90"/>
      <c r="BO669" s="90"/>
      <c r="BP669" s="90"/>
      <c r="BQ669" s="90"/>
      <c r="BR669" s="90"/>
      <c r="BS669" s="90"/>
      <c r="BT669" s="90"/>
      <c r="BU669" s="90"/>
      <c r="BV669" s="90"/>
      <c r="BW669" s="90"/>
      <c r="BX669" s="90"/>
      <c r="BY669" s="90"/>
      <c r="BZ669" s="90"/>
      <c r="CA669" s="90"/>
      <c r="CB669" s="90"/>
      <c r="CC669" s="90"/>
      <c r="CD669" s="90"/>
      <c r="CE669" s="90"/>
      <c r="CF669" s="90"/>
      <c r="CG669" s="90"/>
      <c r="CH669" s="90"/>
      <c r="CI669" s="90"/>
      <c r="CJ669" s="90"/>
      <c r="CK669" s="90"/>
      <c r="CL669" s="90"/>
      <c r="CM669" s="90"/>
      <c r="CN669" s="90"/>
      <c r="CO669" s="90"/>
      <c r="CP669" s="90"/>
      <c r="CQ669" s="90"/>
      <c r="CR669" s="90"/>
      <c r="CS669" s="90"/>
      <c r="CT669" s="90"/>
      <c r="CU669" s="90"/>
      <c r="CV669" s="90"/>
      <c r="CW669" s="90"/>
    </row>
    <row r="670" ht="16.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0"/>
      <c r="BQ670" s="90"/>
      <c r="BR670" s="90"/>
      <c r="BS670" s="90"/>
      <c r="BT670" s="90"/>
      <c r="BU670" s="90"/>
      <c r="BV670" s="90"/>
      <c r="BW670" s="90"/>
      <c r="BX670" s="90"/>
      <c r="BY670" s="90"/>
      <c r="BZ670" s="90"/>
      <c r="CA670" s="90"/>
      <c r="CB670" s="90"/>
      <c r="CC670" s="90"/>
      <c r="CD670" s="90"/>
      <c r="CE670" s="90"/>
      <c r="CF670" s="90"/>
      <c r="CG670" s="90"/>
      <c r="CH670" s="90"/>
      <c r="CI670" s="90"/>
      <c r="CJ670" s="90"/>
      <c r="CK670" s="90"/>
      <c r="CL670" s="90"/>
      <c r="CM670" s="90"/>
      <c r="CN670" s="90"/>
      <c r="CO670" s="90"/>
      <c r="CP670" s="90"/>
      <c r="CQ670" s="90"/>
      <c r="CR670" s="90"/>
      <c r="CS670" s="90"/>
      <c r="CT670" s="90"/>
      <c r="CU670" s="90"/>
      <c r="CV670" s="90"/>
      <c r="CW670" s="90"/>
    </row>
    <row r="671" ht="16.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  <c r="BI671" s="90"/>
      <c r="BJ671" s="90"/>
      <c r="BK671" s="90"/>
      <c r="BL671" s="90"/>
      <c r="BM671" s="90"/>
      <c r="BN671" s="90"/>
      <c r="BO671" s="90"/>
      <c r="BP671" s="90"/>
      <c r="BQ671" s="90"/>
      <c r="BR671" s="90"/>
      <c r="BS671" s="90"/>
      <c r="BT671" s="90"/>
      <c r="BU671" s="90"/>
      <c r="BV671" s="90"/>
      <c r="BW671" s="90"/>
      <c r="BX671" s="90"/>
      <c r="BY671" s="90"/>
      <c r="BZ671" s="90"/>
      <c r="CA671" s="90"/>
      <c r="CB671" s="90"/>
      <c r="CC671" s="90"/>
      <c r="CD671" s="90"/>
      <c r="CE671" s="90"/>
      <c r="CF671" s="90"/>
      <c r="CG671" s="90"/>
      <c r="CH671" s="90"/>
      <c r="CI671" s="90"/>
      <c r="CJ671" s="90"/>
      <c r="CK671" s="90"/>
      <c r="CL671" s="90"/>
      <c r="CM671" s="90"/>
      <c r="CN671" s="90"/>
      <c r="CO671" s="90"/>
      <c r="CP671" s="90"/>
      <c r="CQ671" s="90"/>
      <c r="CR671" s="90"/>
      <c r="CS671" s="90"/>
      <c r="CT671" s="90"/>
      <c r="CU671" s="90"/>
      <c r="CV671" s="90"/>
      <c r="CW671" s="90"/>
    </row>
    <row r="672" ht="16.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0"/>
      <c r="BQ672" s="90"/>
      <c r="BR672" s="90"/>
      <c r="BS672" s="90"/>
      <c r="BT672" s="90"/>
      <c r="BU672" s="90"/>
      <c r="BV672" s="90"/>
      <c r="BW672" s="90"/>
      <c r="BX672" s="90"/>
      <c r="BY672" s="90"/>
      <c r="BZ672" s="90"/>
      <c r="CA672" s="90"/>
      <c r="CB672" s="90"/>
      <c r="CC672" s="90"/>
      <c r="CD672" s="90"/>
      <c r="CE672" s="90"/>
      <c r="CF672" s="90"/>
      <c r="CG672" s="90"/>
      <c r="CH672" s="90"/>
      <c r="CI672" s="90"/>
      <c r="CJ672" s="90"/>
      <c r="CK672" s="90"/>
      <c r="CL672" s="90"/>
      <c r="CM672" s="90"/>
      <c r="CN672" s="90"/>
      <c r="CO672" s="90"/>
      <c r="CP672" s="90"/>
      <c r="CQ672" s="90"/>
      <c r="CR672" s="90"/>
      <c r="CS672" s="90"/>
      <c r="CT672" s="90"/>
      <c r="CU672" s="90"/>
      <c r="CV672" s="90"/>
      <c r="CW672" s="90"/>
    </row>
    <row r="673" ht="16.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  <c r="BI673" s="90"/>
      <c r="BJ673" s="90"/>
      <c r="BK673" s="90"/>
      <c r="BL673" s="90"/>
      <c r="BM673" s="90"/>
      <c r="BN673" s="90"/>
      <c r="BO673" s="90"/>
      <c r="BP673" s="90"/>
      <c r="BQ673" s="90"/>
      <c r="BR673" s="90"/>
      <c r="BS673" s="90"/>
      <c r="BT673" s="90"/>
      <c r="BU673" s="90"/>
      <c r="BV673" s="90"/>
      <c r="BW673" s="90"/>
      <c r="BX673" s="90"/>
      <c r="BY673" s="90"/>
      <c r="BZ673" s="90"/>
      <c r="CA673" s="90"/>
      <c r="CB673" s="90"/>
      <c r="CC673" s="90"/>
      <c r="CD673" s="90"/>
      <c r="CE673" s="90"/>
      <c r="CF673" s="90"/>
      <c r="CG673" s="90"/>
      <c r="CH673" s="90"/>
      <c r="CI673" s="90"/>
      <c r="CJ673" s="90"/>
      <c r="CK673" s="90"/>
      <c r="CL673" s="90"/>
      <c r="CM673" s="90"/>
      <c r="CN673" s="90"/>
      <c r="CO673" s="90"/>
      <c r="CP673" s="90"/>
      <c r="CQ673" s="90"/>
      <c r="CR673" s="90"/>
      <c r="CS673" s="90"/>
      <c r="CT673" s="90"/>
      <c r="CU673" s="90"/>
      <c r="CV673" s="90"/>
      <c r="CW673" s="90"/>
    </row>
    <row r="674" ht="16.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0"/>
      <c r="BQ674" s="90"/>
      <c r="BR674" s="90"/>
      <c r="BS674" s="90"/>
      <c r="BT674" s="90"/>
      <c r="BU674" s="90"/>
      <c r="BV674" s="90"/>
      <c r="BW674" s="90"/>
      <c r="BX674" s="90"/>
      <c r="BY674" s="90"/>
      <c r="BZ674" s="90"/>
      <c r="CA674" s="90"/>
      <c r="CB674" s="90"/>
      <c r="CC674" s="90"/>
      <c r="CD674" s="90"/>
      <c r="CE674" s="90"/>
      <c r="CF674" s="90"/>
      <c r="CG674" s="90"/>
      <c r="CH674" s="90"/>
      <c r="CI674" s="90"/>
      <c r="CJ674" s="90"/>
      <c r="CK674" s="90"/>
      <c r="CL674" s="90"/>
      <c r="CM674" s="90"/>
      <c r="CN674" s="90"/>
      <c r="CO674" s="90"/>
      <c r="CP674" s="90"/>
      <c r="CQ674" s="90"/>
      <c r="CR674" s="90"/>
      <c r="CS674" s="90"/>
      <c r="CT674" s="90"/>
      <c r="CU674" s="90"/>
      <c r="CV674" s="90"/>
      <c r="CW674" s="90"/>
    </row>
    <row r="675" ht="16.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  <c r="BK675" s="90"/>
      <c r="BL675" s="90"/>
      <c r="BM675" s="90"/>
      <c r="BN675" s="90"/>
      <c r="BO675" s="90"/>
      <c r="BP675" s="90"/>
      <c r="BQ675" s="90"/>
      <c r="BR675" s="90"/>
      <c r="BS675" s="90"/>
      <c r="BT675" s="90"/>
      <c r="BU675" s="90"/>
      <c r="BV675" s="90"/>
      <c r="BW675" s="90"/>
      <c r="BX675" s="90"/>
      <c r="BY675" s="90"/>
      <c r="BZ675" s="90"/>
      <c r="CA675" s="90"/>
      <c r="CB675" s="90"/>
      <c r="CC675" s="90"/>
      <c r="CD675" s="90"/>
      <c r="CE675" s="90"/>
      <c r="CF675" s="90"/>
      <c r="CG675" s="90"/>
      <c r="CH675" s="90"/>
      <c r="CI675" s="90"/>
      <c r="CJ675" s="90"/>
      <c r="CK675" s="90"/>
      <c r="CL675" s="90"/>
      <c r="CM675" s="90"/>
      <c r="CN675" s="90"/>
      <c r="CO675" s="90"/>
      <c r="CP675" s="90"/>
      <c r="CQ675" s="90"/>
      <c r="CR675" s="90"/>
      <c r="CS675" s="90"/>
      <c r="CT675" s="90"/>
      <c r="CU675" s="90"/>
      <c r="CV675" s="90"/>
      <c r="CW675" s="90"/>
    </row>
    <row r="676" ht="16.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0"/>
      <c r="BS676" s="90"/>
      <c r="BT676" s="90"/>
      <c r="BU676" s="90"/>
      <c r="BV676" s="90"/>
      <c r="BW676" s="90"/>
      <c r="BX676" s="90"/>
      <c r="BY676" s="90"/>
      <c r="BZ676" s="90"/>
      <c r="CA676" s="90"/>
      <c r="CB676" s="90"/>
      <c r="CC676" s="90"/>
      <c r="CD676" s="90"/>
      <c r="CE676" s="90"/>
      <c r="CF676" s="90"/>
      <c r="CG676" s="90"/>
      <c r="CH676" s="90"/>
      <c r="CI676" s="90"/>
      <c r="CJ676" s="90"/>
      <c r="CK676" s="90"/>
      <c r="CL676" s="90"/>
      <c r="CM676" s="90"/>
      <c r="CN676" s="90"/>
      <c r="CO676" s="90"/>
      <c r="CP676" s="90"/>
      <c r="CQ676" s="90"/>
      <c r="CR676" s="90"/>
      <c r="CS676" s="90"/>
      <c r="CT676" s="90"/>
      <c r="CU676" s="90"/>
      <c r="CV676" s="90"/>
      <c r="CW676" s="90"/>
    </row>
    <row r="677" ht="16.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  <c r="BK677" s="90"/>
      <c r="BL677" s="90"/>
      <c r="BM677" s="90"/>
      <c r="BN677" s="90"/>
      <c r="BO677" s="90"/>
      <c r="BP677" s="90"/>
      <c r="BQ677" s="90"/>
      <c r="BR677" s="90"/>
      <c r="BS677" s="90"/>
      <c r="BT677" s="90"/>
      <c r="BU677" s="90"/>
      <c r="BV677" s="90"/>
      <c r="BW677" s="90"/>
      <c r="BX677" s="90"/>
      <c r="BY677" s="90"/>
      <c r="BZ677" s="90"/>
      <c r="CA677" s="90"/>
      <c r="CB677" s="90"/>
      <c r="CC677" s="90"/>
      <c r="CD677" s="90"/>
      <c r="CE677" s="90"/>
      <c r="CF677" s="90"/>
      <c r="CG677" s="90"/>
      <c r="CH677" s="90"/>
      <c r="CI677" s="90"/>
      <c r="CJ677" s="90"/>
      <c r="CK677" s="90"/>
      <c r="CL677" s="90"/>
      <c r="CM677" s="90"/>
      <c r="CN677" s="90"/>
      <c r="CO677" s="90"/>
      <c r="CP677" s="90"/>
      <c r="CQ677" s="90"/>
      <c r="CR677" s="90"/>
      <c r="CS677" s="90"/>
      <c r="CT677" s="90"/>
      <c r="CU677" s="90"/>
      <c r="CV677" s="90"/>
      <c r="CW677" s="90"/>
    </row>
    <row r="678" ht="16.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0"/>
      <c r="BQ678" s="90"/>
      <c r="BR678" s="90"/>
      <c r="BS678" s="90"/>
      <c r="BT678" s="90"/>
      <c r="BU678" s="90"/>
      <c r="BV678" s="90"/>
      <c r="BW678" s="90"/>
      <c r="BX678" s="90"/>
      <c r="BY678" s="90"/>
      <c r="BZ678" s="90"/>
      <c r="CA678" s="90"/>
      <c r="CB678" s="90"/>
      <c r="CC678" s="90"/>
      <c r="CD678" s="90"/>
      <c r="CE678" s="90"/>
      <c r="CF678" s="90"/>
      <c r="CG678" s="90"/>
      <c r="CH678" s="90"/>
      <c r="CI678" s="90"/>
      <c r="CJ678" s="90"/>
      <c r="CK678" s="90"/>
      <c r="CL678" s="90"/>
      <c r="CM678" s="90"/>
      <c r="CN678" s="90"/>
      <c r="CO678" s="90"/>
      <c r="CP678" s="90"/>
      <c r="CQ678" s="90"/>
      <c r="CR678" s="90"/>
      <c r="CS678" s="90"/>
      <c r="CT678" s="90"/>
      <c r="CU678" s="90"/>
      <c r="CV678" s="90"/>
      <c r="CW678" s="90"/>
    </row>
    <row r="679" ht="16.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  <c r="BK679" s="90"/>
      <c r="BL679" s="90"/>
      <c r="BM679" s="90"/>
      <c r="BN679" s="90"/>
      <c r="BO679" s="90"/>
      <c r="BP679" s="90"/>
      <c r="BQ679" s="90"/>
      <c r="BR679" s="90"/>
      <c r="BS679" s="90"/>
      <c r="BT679" s="90"/>
      <c r="BU679" s="90"/>
      <c r="BV679" s="90"/>
      <c r="BW679" s="90"/>
      <c r="BX679" s="90"/>
      <c r="BY679" s="90"/>
      <c r="BZ679" s="90"/>
      <c r="CA679" s="90"/>
      <c r="CB679" s="90"/>
      <c r="CC679" s="90"/>
      <c r="CD679" s="90"/>
      <c r="CE679" s="90"/>
      <c r="CF679" s="90"/>
      <c r="CG679" s="90"/>
      <c r="CH679" s="90"/>
      <c r="CI679" s="90"/>
      <c r="CJ679" s="90"/>
      <c r="CK679" s="90"/>
      <c r="CL679" s="90"/>
      <c r="CM679" s="90"/>
      <c r="CN679" s="90"/>
      <c r="CO679" s="90"/>
      <c r="CP679" s="90"/>
      <c r="CQ679" s="90"/>
      <c r="CR679" s="90"/>
      <c r="CS679" s="90"/>
      <c r="CT679" s="90"/>
      <c r="CU679" s="90"/>
      <c r="CV679" s="90"/>
      <c r="CW679" s="90"/>
    </row>
    <row r="680" ht="16.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0"/>
      <c r="BQ680" s="90"/>
      <c r="BR680" s="90"/>
      <c r="BS680" s="90"/>
      <c r="BT680" s="90"/>
      <c r="BU680" s="90"/>
      <c r="BV680" s="90"/>
      <c r="BW680" s="90"/>
      <c r="BX680" s="90"/>
      <c r="BY680" s="90"/>
      <c r="BZ680" s="90"/>
      <c r="CA680" s="90"/>
      <c r="CB680" s="90"/>
      <c r="CC680" s="90"/>
      <c r="CD680" s="90"/>
      <c r="CE680" s="90"/>
      <c r="CF680" s="90"/>
      <c r="CG680" s="90"/>
      <c r="CH680" s="90"/>
      <c r="CI680" s="90"/>
      <c r="CJ680" s="90"/>
      <c r="CK680" s="90"/>
      <c r="CL680" s="90"/>
      <c r="CM680" s="90"/>
      <c r="CN680" s="90"/>
      <c r="CO680" s="90"/>
      <c r="CP680" s="90"/>
      <c r="CQ680" s="90"/>
      <c r="CR680" s="90"/>
      <c r="CS680" s="90"/>
      <c r="CT680" s="90"/>
      <c r="CU680" s="90"/>
      <c r="CV680" s="90"/>
      <c r="CW680" s="90"/>
    </row>
    <row r="681" ht="16.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  <c r="BI681" s="90"/>
      <c r="BJ681" s="90"/>
      <c r="BK681" s="90"/>
      <c r="BL681" s="90"/>
      <c r="BM681" s="90"/>
      <c r="BN681" s="90"/>
      <c r="BO681" s="90"/>
      <c r="BP681" s="90"/>
      <c r="BQ681" s="90"/>
      <c r="BR681" s="90"/>
      <c r="BS681" s="90"/>
      <c r="BT681" s="90"/>
      <c r="BU681" s="90"/>
      <c r="BV681" s="90"/>
      <c r="BW681" s="90"/>
      <c r="BX681" s="90"/>
      <c r="BY681" s="90"/>
      <c r="BZ681" s="90"/>
      <c r="CA681" s="90"/>
      <c r="CB681" s="90"/>
      <c r="CC681" s="90"/>
      <c r="CD681" s="90"/>
      <c r="CE681" s="90"/>
      <c r="CF681" s="90"/>
      <c r="CG681" s="90"/>
      <c r="CH681" s="90"/>
      <c r="CI681" s="90"/>
      <c r="CJ681" s="90"/>
      <c r="CK681" s="90"/>
      <c r="CL681" s="90"/>
      <c r="CM681" s="90"/>
      <c r="CN681" s="90"/>
      <c r="CO681" s="90"/>
      <c r="CP681" s="90"/>
      <c r="CQ681" s="90"/>
      <c r="CR681" s="90"/>
      <c r="CS681" s="90"/>
      <c r="CT681" s="90"/>
      <c r="CU681" s="90"/>
      <c r="CV681" s="90"/>
      <c r="CW681" s="90"/>
    </row>
    <row r="682" ht="16.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0"/>
      <c r="BQ682" s="90"/>
      <c r="BR682" s="90"/>
      <c r="BS682" s="90"/>
      <c r="BT682" s="90"/>
      <c r="BU682" s="90"/>
      <c r="BV682" s="90"/>
      <c r="BW682" s="90"/>
      <c r="BX682" s="90"/>
      <c r="BY682" s="90"/>
      <c r="BZ682" s="90"/>
      <c r="CA682" s="90"/>
      <c r="CB682" s="90"/>
      <c r="CC682" s="90"/>
      <c r="CD682" s="90"/>
      <c r="CE682" s="90"/>
      <c r="CF682" s="90"/>
      <c r="CG682" s="90"/>
      <c r="CH682" s="90"/>
      <c r="CI682" s="90"/>
      <c r="CJ682" s="90"/>
      <c r="CK682" s="90"/>
      <c r="CL682" s="90"/>
      <c r="CM682" s="90"/>
      <c r="CN682" s="90"/>
      <c r="CO682" s="90"/>
      <c r="CP682" s="90"/>
      <c r="CQ682" s="90"/>
      <c r="CR682" s="90"/>
      <c r="CS682" s="90"/>
      <c r="CT682" s="90"/>
      <c r="CU682" s="90"/>
      <c r="CV682" s="90"/>
      <c r="CW682" s="90"/>
    </row>
    <row r="683" ht="16.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  <c r="BI683" s="90"/>
      <c r="BJ683" s="90"/>
      <c r="BK683" s="90"/>
      <c r="BL683" s="90"/>
      <c r="BM683" s="90"/>
      <c r="BN683" s="90"/>
      <c r="BO683" s="90"/>
      <c r="BP683" s="90"/>
      <c r="BQ683" s="90"/>
      <c r="BR683" s="90"/>
      <c r="BS683" s="90"/>
      <c r="BT683" s="90"/>
      <c r="BU683" s="90"/>
      <c r="BV683" s="90"/>
      <c r="BW683" s="90"/>
      <c r="BX683" s="90"/>
      <c r="BY683" s="90"/>
      <c r="BZ683" s="90"/>
      <c r="CA683" s="90"/>
      <c r="CB683" s="90"/>
      <c r="CC683" s="90"/>
      <c r="CD683" s="90"/>
      <c r="CE683" s="90"/>
      <c r="CF683" s="90"/>
      <c r="CG683" s="90"/>
      <c r="CH683" s="90"/>
      <c r="CI683" s="90"/>
      <c r="CJ683" s="90"/>
      <c r="CK683" s="90"/>
      <c r="CL683" s="90"/>
      <c r="CM683" s="90"/>
      <c r="CN683" s="90"/>
      <c r="CO683" s="90"/>
      <c r="CP683" s="90"/>
      <c r="CQ683" s="90"/>
      <c r="CR683" s="90"/>
      <c r="CS683" s="90"/>
      <c r="CT683" s="90"/>
      <c r="CU683" s="90"/>
      <c r="CV683" s="90"/>
      <c r="CW683" s="90"/>
    </row>
    <row r="684" ht="16.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0"/>
      <c r="BQ684" s="90"/>
      <c r="BR684" s="90"/>
      <c r="BS684" s="90"/>
      <c r="BT684" s="90"/>
      <c r="BU684" s="90"/>
      <c r="BV684" s="90"/>
      <c r="BW684" s="90"/>
      <c r="BX684" s="90"/>
      <c r="BY684" s="90"/>
      <c r="BZ684" s="90"/>
      <c r="CA684" s="90"/>
      <c r="CB684" s="90"/>
      <c r="CC684" s="90"/>
      <c r="CD684" s="90"/>
      <c r="CE684" s="90"/>
      <c r="CF684" s="90"/>
      <c r="CG684" s="90"/>
      <c r="CH684" s="90"/>
      <c r="CI684" s="90"/>
      <c r="CJ684" s="90"/>
      <c r="CK684" s="90"/>
      <c r="CL684" s="90"/>
      <c r="CM684" s="90"/>
      <c r="CN684" s="90"/>
      <c r="CO684" s="90"/>
      <c r="CP684" s="90"/>
      <c r="CQ684" s="90"/>
      <c r="CR684" s="90"/>
      <c r="CS684" s="90"/>
      <c r="CT684" s="90"/>
      <c r="CU684" s="90"/>
      <c r="CV684" s="90"/>
      <c r="CW684" s="90"/>
    </row>
    <row r="685" ht="16.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  <c r="BI685" s="90"/>
      <c r="BJ685" s="90"/>
      <c r="BK685" s="90"/>
      <c r="BL685" s="90"/>
      <c r="BM685" s="90"/>
      <c r="BN685" s="90"/>
      <c r="BO685" s="90"/>
      <c r="BP685" s="90"/>
      <c r="BQ685" s="90"/>
      <c r="BR685" s="90"/>
      <c r="BS685" s="90"/>
      <c r="BT685" s="90"/>
      <c r="BU685" s="90"/>
      <c r="BV685" s="90"/>
      <c r="BW685" s="90"/>
      <c r="BX685" s="90"/>
      <c r="BY685" s="90"/>
      <c r="BZ685" s="90"/>
      <c r="CA685" s="90"/>
      <c r="CB685" s="90"/>
      <c r="CC685" s="90"/>
      <c r="CD685" s="90"/>
      <c r="CE685" s="90"/>
      <c r="CF685" s="90"/>
      <c r="CG685" s="90"/>
      <c r="CH685" s="90"/>
      <c r="CI685" s="90"/>
      <c r="CJ685" s="90"/>
      <c r="CK685" s="90"/>
      <c r="CL685" s="90"/>
      <c r="CM685" s="90"/>
      <c r="CN685" s="90"/>
      <c r="CO685" s="90"/>
      <c r="CP685" s="90"/>
      <c r="CQ685" s="90"/>
      <c r="CR685" s="90"/>
      <c r="CS685" s="90"/>
      <c r="CT685" s="90"/>
      <c r="CU685" s="90"/>
      <c r="CV685" s="90"/>
      <c r="CW685" s="90"/>
    </row>
    <row r="686" ht="16.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0"/>
      <c r="BQ686" s="90"/>
      <c r="BR686" s="90"/>
      <c r="BS686" s="90"/>
      <c r="BT686" s="90"/>
      <c r="BU686" s="90"/>
      <c r="BV686" s="90"/>
      <c r="BW686" s="90"/>
      <c r="BX686" s="90"/>
      <c r="BY686" s="90"/>
      <c r="BZ686" s="90"/>
      <c r="CA686" s="90"/>
      <c r="CB686" s="90"/>
      <c r="CC686" s="90"/>
      <c r="CD686" s="90"/>
      <c r="CE686" s="90"/>
      <c r="CF686" s="90"/>
      <c r="CG686" s="90"/>
      <c r="CH686" s="90"/>
      <c r="CI686" s="90"/>
      <c r="CJ686" s="90"/>
      <c r="CK686" s="90"/>
      <c r="CL686" s="90"/>
      <c r="CM686" s="90"/>
      <c r="CN686" s="90"/>
      <c r="CO686" s="90"/>
      <c r="CP686" s="90"/>
      <c r="CQ686" s="90"/>
      <c r="CR686" s="90"/>
      <c r="CS686" s="90"/>
      <c r="CT686" s="90"/>
      <c r="CU686" s="90"/>
      <c r="CV686" s="90"/>
      <c r="CW686" s="90"/>
    </row>
    <row r="687" ht="16.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  <c r="BI687" s="90"/>
      <c r="BJ687" s="90"/>
      <c r="BK687" s="90"/>
      <c r="BL687" s="90"/>
      <c r="BM687" s="90"/>
      <c r="BN687" s="90"/>
      <c r="BO687" s="90"/>
      <c r="BP687" s="90"/>
      <c r="BQ687" s="90"/>
      <c r="BR687" s="90"/>
      <c r="BS687" s="90"/>
      <c r="BT687" s="90"/>
      <c r="BU687" s="90"/>
      <c r="BV687" s="90"/>
      <c r="BW687" s="90"/>
      <c r="BX687" s="90"/>
      <c r="BY687" s="90"/>
      <c r="BZ687" s="90"/>
      <c r="CA687" s="90"/>
      <c r="CB687" s="90"/>
      <c r="CC687" s="90"/>
      <c r="CD687" s="90"/>
      <c r="CE687" s="90"/>
      <c r="CF687" s="90"/>
      <c r="CG687" s="90"/>
      <c r="CH687" s="90"/>
      <c r="CI687" s="90"/>
      <c r="CJ687" s="90"/>
      <c r="CK687" s="90"/>
      <c r="CL687" s="90"/>
      <c r="CM687" s="90"/>
      <c r="CN687" s="90"/>
      <c r="CO687" s="90"/>
      <c r="CP687" s="90"/>
      <c r="CQ687" s="90"/>
      <c r="CR687" s="90"/>
      <c r="CS687" s="90"/>
      <c r="CT687" s="90"/>
      <c r="CU687" s="90"/>
      <c r="CV687" s="90"/>
      <c r="CW687" s="90"/>
    </row>
    <row r="688" ht="16.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0"/>
      <c r="BQ688" s="90"/>
      <c r="BR688" s="90"/>
      <c r="BS688" s="90"/>
      <c r="BT688" s="90"/>
      <c r="BU688" s="90"/>
      <c r="BV688" s="90"/>
      <c r="BW688" s="90"/>
      <c r="BX688" s="90"/>
      <c r="BY688" s="90"/>
      <c r="BZ688" s="90"/>
      <c r="CA688" s="90"/>
      <c r="CB688" s="90"/>
      <c r="CC688" s="90"/>
      <c r="CD688" s="90"/>
      <c r="CE688" s="90"/>
      <c r="CF688" s="90"/>
      <c r="CG688" s="90"/>
      <c r="CH688" s="90"/>
      <c r="CI688" s="90"/>
      <c r="CJ688" s="90"/>
      <c r="CK688" s="90"/>
      <c r="CL688" s="90"/>
      <c r="CM688" s="90"/>
      <c r="CN688" s="90"/>
      <c r="CO688" s="90"/>
      <c r="CP688" s="90"/>
      <c r="CQ688" s="90"/>
      <c r="CR688" s="90"/>
      <c r="CS688" s="90"/>
      <c r="CT688" s="90"/>
      <c r="CU688" s="90"/>
      <c r="CV688" s="90"/>
      <c r="CW688" s="90"/>
    </row>
    <row r="689" ht="16.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  <c r="BI689" s="90"/>
      <c r="BJ689" s="90"/>
      <c r="BK689" s="90"/>
      <c r="BL689" s="90"/>
      <c r="BM689" s="90"/>
      <c r="BN689" s="90"/>
      <c r="BO689" s="90"/>
      <c r="BP689" s="90"/>
      <c r="BQ689" s="90"/>
      <c r="BR689" s="90"/>
      <c r="BS689" s="90"/>
      <c r="BT689" s="90"/>
      <c r="BU689" s="90"/>
      <c r="BV689" s="90"/>
      <c r="BW689" s="90"/>
      <c r="BX689" s="90"/>
      <c r="BY689" s="90"/>
      <c r="BZ689" s="90"/>
      <c r="CA689" s="90"/>
      <c r="CB689" s="90"/>
      <c r="CC689" s="90"/>
      <c r="CD689" s="90"/>
      <c r="CE689" s="90"/>
      <c r="CF689" s="90"/>
      <c r="CG689" s="90"/>
      <c r="CH689" s="90"/>
      <c r="CI689" s="90"/>
      <c r="CJ689" s="90"/>
      <c r="CK689" s="90"/>
      <c r="CL689" s="90"/>
      <c r="CM689" s="90"/>
      <c r="CN689" s="90"/>
      <c r="CO689" s="90"/>
      <c r="CP689" s="90"/>
      <c r="CQ689" s="90"/>
      <c r="CR689" s="90"/>
      <c r="CS689" s="90"/>
      <c r="CT689" s="90"/>
      <c r="CU689" s="90"/>
      <c r="CV689" s="90"/>
      <c r="CW689" s="90"/>
    </row>
    <row r="690" ht="16.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0"/>
      <c r="BQ690" s="90"/>
      <c r="BR690" s="90"/>
      <c r="BS690" s="90"/>
      <c r="BT690" s="90"/>
      <c r="BU690" s="90"/>
      <c r="BV690" s="90"/>
      <c r="BW690" s="90"/>
      <c r="BX690" s="90"/>
      <c r="BY690" s="90"/>
      <c r="BZ690" s="90"/>
      <c r="CA690" s="90"/>
      <c r="CB690" s="90"/>
      <c r="CC690" s="90"/>
      <c r="CD690" s="90"/>
      <c r="CE690" s="90"/>
      <c r="CF690" s="90"/>
      <c r="CG690" s="90"/>
      <c r="CH690" s="90"/>
      <c r="CI690" s="90"/>
      <c r="CJ690" s="90"/>
      <c r="CK690" s="90"/>
      <c r="CL690" s="90"/>
      <c r="CM690" s="90"/>
      <c r="CN690" s="90"/>
      <c r="CO690" s="90"/>
      <c r="CP690" s="90"/>
      <c r="CQ690" s="90"/>
      <c r="CR690" s="90"/>
      <c r="CS690" s="90"/>
      <c r="CT690" s="90"/>
      <c r="CU690" s="90"/>
      <c r="CV690" s="90"/>
      <c r="CW690" s="90"/>
    </row>
    <row r="691" ht="16.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  <c r="BI691" s="90"/>
      <c r="BJ691" s="90"/>
      <c r="BK691" s="90"/>
      <c r="BL691" s="90"/>
      <c r="BM691" s="90"/>
      <c r="BN691" s="90"/>
      <c r="BO691" s="90"/>
      <c r="BP691" s="90"/>
      <c r="BQ691" s="90"/>
      <c r="BR691" s="90"/>
      <c r="BS691" s="90"/>
      <c r="BT691" s="90"/>
      <c r="BU691" s="90"/>
      <c r="BV691" s="90"/>
      <c r="BW691" s="90"/>
      <c r="BX691" s="90"/>
      <c r="BY691" s="90"/>
      <c r="BZ691" s="90"/>
      <c r="CA691" s="90"/>
      <c r="CB691" s="90"/>
      <c r="CC691" s="90"/>
      <c r="CD691" s="90"/>
      <c r="CE691" s="90"/>
      <c r="CF691" s="90"/>
      <c r="CG691" s="90"/>
      <c r="CH691" s="90"/>
      <c r="CI691" s="90"/>
      <c r="CJ691" s="90"/>
      <c r="CK691" s="90"/>
      <c r="CL691" s="90"/>
      <c r="CM691" s="90"/>
      <c r="CN691" s="90"/>
      <c r="CO691" s="90"/>
      <c r="CP691" s="90"/>
      <c r="CQ691" s="90"/>
      <c r="CR691" s="90"/>
      <c r="CS691" s="90"/>
      <c r="CT691" s="90"/>
      <c r="CU691" s="90"/>
      <c r="CV691" s="90"/>
      <c r="CW691" s="90"/>
    </row>
    <row r="692" ht="16.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0"/>
      <c r="BQ692" s="90"/>
      <c r="BR692" s="90"/>
      <c r="BS692" s="90"/>
      <c r="BT692" s="90"/>
      <c r="BU692" s="90"/>
      <c r="BV692" s="90"/>
      <c r="BW692" s="90"/>
      <c r="BX692" s="90"/>
      <c r="BY692" s="90"/>
      <c r="BZ692" s="90"/>
      <c r="CA692" s="90"/>
      <c r="CB692" s="90"/>
      <c r="CC692" s="90"/>
      <c r="CD692" s="90"/>
      <c r="CE692" s="90"/>
      <c r="CF692" s="90"/>
      <c r="CG692" s="90"/>
      <c r="CH692" s="90"/>
      <c r="CI692" s="90"/>
      <c r="CJ692" s="90"/>
      <c r="CK692" s="90"/>
      <c r="CL692" s="90"/>
      <c r="CM692" s="90"/>
      <c r="CN692" s="90"/>
      <c r="CO692" s="90"/>
      <c r="CP692" s="90"/>
      <c r="CQ692" s="90"/>
      <c r="CR692" s="90"/>
      <c r="CS692" s="90"/>
      <c r="CT692" s="90"/>
      <c r="CU692" s="90"/>
      <c r="CV692" s="90"/>
      <c r="CW692" s="90"/>
    </row>
    <row r="693" ht="16.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H693" s="90"/>
      <c r="BI693" s="90"/>
      <c r="BJ693" s="90"/>
      <c r="BK693" s="90"/>
      <c r="BL693" s="90"/>
      <c r="BM693" s="90"/>
      <c r="BN693" s="90"/>
      <c r="BO693" s="90"/>
      <c r="BP693" s="90"/>
      <c r="BQ693" s="90"/>
      <c r="BR693" s="90"/>
      <c r="BS693" s="90"/>
      <c r="BT693" s="90"/>
      <c r="BU693" s="90"/>
      <c r="BV693" s="90"/>
      <c r="BW693" s="90"/>
      <c r="BX693" s="90"/>
      <c r="BY693" s="90"/>
      <c r="BZ693" s="90"/>
      <c r="CA693" s="90"/>
      <c r="CB693" s="90"/>
      <c r="CC693" s="90"/>
      <c r="CD693" s="90"/>
      <c r="CE693" s="90"/>
      <c r="CF693" s="90"/>
      <c r="CG693" s="90"/>
      <c r="CH693" s="90"/>
      <c r="CI693" s="90"/>
      <c r="CJ693" s="90"/>
      <c r="CK693" s="90"/>
      <c r="CL693" s="90"/>
      <c r="CM693" s="90"/>
      <c r="CN693" s="90"/>
      <c r="CO693" s="90"/>
      <c r="CP693" s="90"/>
      <c r="CQ693" s="90"/>
      <c r="CR693" s="90"/>
      <c r="CS693" s="90"/>
      <c r="CT693" s="90"/>
      <c r="CU693" s="90"/>
      <c r="CV693" s="90"/>
      <c r="CW693" s="90"/>
    </row>
    <row r="694" ht="16.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0"/>
      <c r="BQ694" s="90"/>
      <c r="BR694" s="90"/>
      <c r="BS694" s="90"/>
      <c r="BT694" s="90"/>
      <c r="BU694" s="90"/>
      <c r="BV694" s="90"/>
      <c r="BW694" s="90"/>
      <c r="BX694" s="90"/>
      <c r="BY694" s="90"/>
      <c r="BZ694" s="90"/>
      <c r="CA694" s="90"/>
      <c r="CB694" s="90"/>
      <c r="CC694" s="90"/>
      <c r="CD694" s="90"/>
      <c r="CE694" s="90"/>
      <c r="CF694" s="90"/>
      <c r="CG694" s="90"/>
      <c r="CH694" s="90"/>
      <c r="CI694" s="90"/>
      <c r="CJ694" s="90"/>
      <c r="CK694" s="90"/>
      <c r="CL694" s="90"/>
      <c r="CM694" s="90"/>
      <c r="CN694" s="90"/>
      <c r="CO694" s="90"/>
      <c r="CP694" s="90"/>
      <c r="CQ694" s="90"/>
      <c r="CR694" s="90"/>
      <c r="CS694" s="90"/>
      <c r="CT694" s="90"/>
      <c r="CU694" s="90"/>
      <c r="CV694" s="90"/>
      <c r="CW694" s="90"/>
    </row>
    <row r="695" ht="16.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H695" s="90"/>
      <c r="BI695" s="90"/>
      <c r="BJ695" s="90"/>
      <c r="BK695" s="90"/>
      <c r="BL695" s="90"/>
      <c r="BM695" s="90"/>
      <c r="BN695" s="90"/>
      <c r="BO695" s="90"/>
      <c r="BP695" s="90"/>
      <c r="BQ695" s="90"/>
      <c r="BR695" s="90"/>
      <c r="BS695" s="90"/>
      <c r="BT695" s="90"/>
      <c r="BU695" s="90"/>
      <c r="BV695" s="90"/>
      <c r="BW695" s="90"/>
      <c r="BX695" s="90"/>
      <c r="BY695" s="90"/>
      <c r="BZ695" s="90"/>
      <c r="CA695" s="90"/>
      <c r="CB695" s="90"/>
      <c r="CC695" s="90"/>
      <c r="CD695" s="90"/>
      <c r="CE695" s="90"/>
      <c r="CF695" s="90"/>
      <c r="CG695" s="90"/>
      <c r="CH695" s="90"/>
      <c r="CI695" s="90"/>
      <c r="CJ695" s="90"/>
      <c r="CK695" s="90"/>
      <c r="CL695" s="90"/>
      <c r="CM695" s="90"/>
      <c r="CN695" s="90"/>
      <c r="CO695" s="90"/>
      <c r="CP695" s="90"/>
      <c r="CQ695" s="90"/>
      <c r="CR695" s="90"/>
      <c r="CS695" s="90"/>
      <c r="CT695" s="90"/>
      <c r="CU695" s="90"/>
      <c r="CV695" s="90"/>
      <c r="CW695" s="90"/>
    </row>
    <row r="696" ht="16.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0"/>
      <c r="BS696" s="90"/>
      <c r="BT696" s="90"/>
      <c r="BU696" s="90"/>
      <c r="BV696" s="90"/>
      <c r="BW696" s="90"/>
      <c r="BX696" s="90"/>
      <c r="BY696" s="90"/>
      <c r="BZ696" s="90"/>
      <c r="CA696" s="90"/>
      <c r="CB696" s="90"/>
      <c r="CC696" s="90"/>
      <c r="CD696" s="90"/>
      <c r="CE696" s="90"/>
      <c r="CF696" s="90"/>
      <c r="CG696" s="90"/>
      <c r="CH696" s="90"/>
      <c r="CI696" s="90"/>
      <c r="CJ696" s="90"/>
      <c r="CK696" s="90"/>
      <c r="CL696" s="90"/>
      <c r="CM696" s="90"/>
      <c r="CN696" s="90"/>
      <c r="CO696" s="90"/>
      <c r="CP696" s="90"/>
      <c r="CQ696" s="90"/>
      <c r="CR696" s="90"/>
      <c r="CS696" s="90"/>
      <c r="CT696" s="90"/>
      <c r="CU696" s="90"/>
      <c r="CV696" s="90"/>
      <c r="CW696" s="90"/>
    </row>
    <row r="697" ht="16.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H697" s="90"/>
      <c r="BI697" s="90"/>
      <c r="BJ697" s="90"/>
      <c r="BK697" s="90"/>
      <c r="BL697" s="90"/>
      <c r="BM697" s="90"/>
      <c r="BN697" s="90"/>
      <c r="BO697" s="90"/>
      <c r="BP697" s="90"/>
      <c r="BQ697" s="90"/>
      <c r="BR697" s="90"/>
      <c r="BS697" s="90"/>
      <c r="BT697" s="90"/>
      <c r="BU697" s="90"/>
      <c r="BV697" s="90"/>
      <c r="BW697" s="90"/>
      <c r="BX697" s="90"/>
      <c r="BY697" s="90"/>
      <c r="BZ697" s="90"/>
      <c r="CA697" s="90"/>
      <c r="CB697" s="90"/>
      <c r="CC697" s="90"/>
      <c r="CD697" s="90"/>
      <c r="CE697" s="90"/>
      <c r="CF697" s="90"/>
      <c r="CG697" s="90"/>
      <c r="CH697" s="90"/>
      <c r="CI697" s="90"/>
      <c r="CJ697" s="90"/>
      <c r="CK697" s="90"/>
      <c r="CL697" s="90"/>
      <c r="CM697" s="90"/>
      <c r="CN697" s="90"/>
      <c r="CO697" s="90"/>
      <c r="CP697" s="90"/>
      <c r="CQ697" s="90"/>
      <c r="CR697" s="90"/>
      <c r="CS697" s="90"/>
      <c r="CT697" s="90"/>
      <c r="CU697" s="90"/>
      <c r="CV697" s="90"/>
      <c r="CW697" s="90"/>
    </row>
    <row r="698" ht="16.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0"/>
      <c r="BQ698" s="90"/>
      <c r="BR698" s="90"/>
      <c r="BS698" s="90"/>
      <c r="BT698" s="90"/>
      <c r="BU698" s="90"/>
      <c r="BV698" s="90"/>
      <c r="BW698" s="90"/>
      <c r="BX698" s="90"/>
      <c r="BY698" s="90"/>
      <c r="BZ698" s="90"/>
      <c r="CA698" s="90"/>
      <c r="CB698" s="90"/>
      <c r="CC698" s="90"/>
      <c r="CD698" s="90"/>
      <c r="CE698" s="90"/>
      <c r="CF698" s="90"/>
      <c r="CG698" s="90"/>
      <c r="CH698" s="90"/>
      <c r="CI698" s="90"/>
      <c r="CJ698" s="90"/>
      <c r="CK698" s="90"/>
      <c r="CL698" s="90"/>
      <c r="CM698" s="90"/>
      <c r="CN698" s="90"/>
      <c r="CO698" s="90"/>
      <c r="CP698" s="90"/>
      <c r="CQ698" s="90"/>
      <c r="CR698" s="90"/>
      <c r="CS698" s="90"/>
      <c r="CT698" s="90"/>
      <c r="CU698" s="90"/>
      <c r="CV698" s="90"/>
      <c r="CW698" s="90"/>
    </row>
    <row r="699" ht="16.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H699" s="90"/>
      <c r="BI699" s="90"/>
      <c r="BJ699" s="90"/>
      <c r="BK699" s="90"/>
      <c r="BL699" s="90"/>
      <c r="BM699" s="90"/>
      <c r="BN699" s="90"/>
      <c r="BO699" s="90"/>
      <c r="BP699" s="90"/>
      <c r="BQ699" s="90"/>
      <c r="BR699" s="90"/>
      <c r="BS699" s="90"/>
      <c r="BT699" s="90"/>
      <c r="BU699" s="90"/>
      <c r="BV699" s="90"/>
      <c r="BW699" s="90"/>
      <c r="BX699" s="90"/>
      <c r="BY699" s="90"/>
      <c r="BZ699" s="90"/>
      <c r="CA699" s="90"/>
      <c r="CB699" s="90"/>
      <c r="CC699" s="90"/>
      <c r="CD699" s="90"/>
      <c r="CE699" s="90"/>
      <c r="CF699" s="90"/>
      <c r="CG699" s="90"/>
      <c r="CH699" s="90"/>
      <c r="CI699" s="90"/>
      <c r="CJ699" s="90"/>
      <c r="CK699" s="90"/>
      <c r="CL699" s="90"/>
      <c r="CM699" s="90"/>
      <c r="CN699" s="90"/>
      <c r="CO699" s="90"/>
      <c r="CP699" s="90"/>
      <c r="CQ699" s="90"/>
      <c r="CR699" s="90"/>
      <c r="CS699" s="90"/>
      <c r="CT699" s="90"/>
      <c r="CU699" s="90"/>
      <c r="CV699" s="90"/>
      <c r="CW699" s="90"/>
    </row>
    <row r="700" ht="16.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0"/>
      <c r="BQ700" s="90"/>
      <c r="BR700" s="90"/>
      <c r="BS700" s="90"/>
      <c r="BT700" s="90"/>
      <c r="BU700" s="90"/>
      <c r="BV700" s="90"/>
      <c r="BW700" s="90"/>
      <c r="BX700" s="90"/>
      <c r="BY700" s="90"/>
      <c r="BZ700" s="90"/>
      <c r="CA700" s="90"/>
      <c r="CB700" s="90"/>
      <c r="CC700" s="90"/>
      <c r="CD700" s="90"/>
      <c r="CE700" s="90"/>
      <c r="CF700" s="90"/>
      <c r="CG700" s="90"/>
      <c r="CH700" s="90"/>
      <c r="CI700" s="90"/>
      <c r="CJ700" s="90"/>
      <c r="CK700" s="90"/>
      <c r="CL700" s="90"/>
      <c r="CM700" s="90"/>
      <c r="CN700" s="90"/>
      <c r="CO700" s="90"/>
      <c r="CP700" s="90"/>
      <c r="CQ700" s="90"/>
      <c r="CR700" s="90"/>
      <c r="CS700" s="90"/>
      <c r="CT700" s="90"/>
      <c r="CU700" s="90"/>
      <c r="CV700" s="90"/>
      <c r="CW700" s="90"/>
    </row>
    <row r="701" ht="16.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  <c r="BK701" s="90"/>
      <c r="BL701" s="90"/>
      <c r="BM701" s="90"/>
      <c r="BN701" s="90"/>
      <c r="BO701" s="90"/>
      <c r="BP701" s="90"/>
      <c r="BQ701" s="90"/>
      <c r="BR701" s="90"/>
      <c r="BS701" s="90"/>
      <c r="BT701" s="90"/>
      <c r="BU701" s="90"/>
      <c r="BV701" s="90"/>
      <c r="BW701" s="90"/>
      <c r="BX701" s="90"/>
      <c r="BY701" s="90"/>
      <c r="BZ701" s="90"/>
      <c r="CA701" s="90"/>
      <c r="CB701" s="90"/>
      <c r="CC701" s="90"/>
      <c r="CD701" s="90"/>
      <c r="CE701" s="90"/>
      <c r="CF701" s="90"/>
      <c r="CG701" s="90"/>
      <c r="CH701" s="90"/>
      <c r="CI701" s="90"/>
      <c r="CJ701" s="90"/>
      <c r="CK701" s="90"/>
      <c r="CL701" s="90"/>
      <c r="CM701" s="90"/>
      <c r="CN701" s="90"/>
      <c r="CO701" s="90"/>
      <c r="CP701" s="90"/>
      <c r="CQ701" s="90"/>
      <c r="CR701" s="90"/>
      <c r="CS701" s="90"/>
      <c r="CT701" s="90"/>
      <c r="CU701" s="90"/>
      <c r="CV701" s="90"/>
      <c r="CW701" s="90"/>
    </row>
    <row r="702" ht="16.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0"/>
      <c r="BQ702" s="90"/>
      <c r="BR702" s="90"/>
      <c r="BS702" s="90"/>
      <c r="BT702" s="90"/>
      <c r="BU702" s="90"/>
      <c r="BV702" s="90"/>
      <c r="BW702" s="90"/>
      <c r="BX702" s="90"/>
      <c r="BY702" s="90"/>
      <c r="BZ702" s="90"/>
      <c r="CA702" s="90"/>
      <c r="CB702" s="90"/>
      <c r="CC702" s="90"/>
      <c r="CD702" s="90"/>
      <c r="CE702" s="90"/>
      <c r="CF702" s="90"/>
      <c r="CG702" s="90"/>
      <c r="CH702" s="90"/>
      <c r="CI702" s="90"/>
      <c r="CJ702" s="90"/>
      <c r="CK702" s="90"/>
      <c r="CL702" s="90"/>
      <c r="CM702" s="90"/>
      <c r="CN702" s="90"/>
      <c r="CO702" s="90"/>
      <c r="CP702" s="90"/>
      <c r="CQ702" s="90"/>
      <c r="CR702" s="90"/>
      <c r="CS702" s="90"/>
      <c r="CT702" s="90"/>
      <c r="CU702" s="90"/>
      <c r="CV702" s="90"/>
      <c r="CW702" s="90"/>
    </row>
    <row r="703" ht="16.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H703" s="90"/>
      <c r="BI703" s="90"/>
      <c r="BJ703" s="90"/>
      <c r="BK703" s="90"/>
      <c r="BL703" s="90"/>
      <c r="BM703" s="90"/>
      <c r="BN703" s="90"/>
      <c r="BO703" s="90"/>
      <c r="BP703" s="90"/>
      <c r="BQ703" s="90"/>
      <c r="BR703" s="90"/>
      <c r="BS703" s="90"/>
      <c r="BT703" s="90"/>
      <c r="BU703" s="90"/>
      <c r="BV703" s="90"/>
      <c r="BW703" s="90"/>
      <c r="BX703" s="90"/>
      <c r="BY703" s="90"/>
      <c r="BZ703" s="90"/>
      <c r="CA703" s="90"/>
      <c r="CB703" s="90"/>
      <c r="CC703" s="90"/>
      <c r="CD703" s="90"/>
      <c r="CE703" s="90"/>
      <c r="CF703" s="90"/>
      <c r="CG703" s="90"/>
      <c r="CH703" s="90"/>
      <c r="CI703" s="90"/>
      <c r="CJ703" s="90"/>
      <c r="CK703" s="90"/>
      <c r="CL703" s="90"/>
      <c r="CM703" s="90"/>
      <c r="CN703" s="90"/>
      <c r="CO703" s="90"/>
      <c r="CP703" s="90"/>
      <c r="CQ703" s="90"/>
      <c r="CR703" s="90"/>
      <c r="CS703" s="90"/>
      <c r="CT703" s="90"/>
      <c r="CU703" s="90"/>
      <c r="CV703" s="90"/>
      <c r="CW703" s="90"/>
    </row>
    <row r="704" ht="16.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0"/>
      <c r="BQ704" s="90"/>
      <c r="BR704" s="90"/>
      <c r="BS704" s="90"/>
      <c r="BT704" s="90"/>
      <c r="BU704" s="90"/>
      <c r="BV704" s="90"/>
      <c r="BW704" s="90"/>
      <c r="BX704" s="90"/>
      <c r="BY704" s="90"/>
      <c r="BZ704" s="90"/>
      <c r="CA704" s="90"/>
      <c r="CB704" s="90"/>
      <c r="CC704" s="90"/>
      <c r="CD704" s="90"/>
      <c r="CE704" s="90"/>
      <c r="CF704" s="90"/>
      <c r="CG704" s="90"/>
      <c r="CH704" s="90"/>
      <c r="CI704" s="90"/>
      <c r="CJ704" s="90"/>
      <c r="CK704" s="90"/>
      <c r="CL704" s="90"/>
      <c r="CM704" s="90"/>
      <c r="CN704" s="90"/>
      <c r="CO704" s="90"/>
      <c r="CP704" s="90"/>
      <c r="CQ704" s="90"/>
      <c r="CR704" s="90"/>
      <c r="CS704" s="90"/>
      <c r="CT704" s="90"/>
      <c r="CU704" s="90"/>
      <c r="CV704" s="90"/>
      <c r="CW704" s="90"/>
    </row>
    <row r="705" ht="16.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H705" s="90"/>
      <c r="BI705" s="90"/>
      <c r="BJ705" s="90"/>
      <c r="BK705" s="90"/>
      <c r="BL705" s="90"/>
      <c r="BM705" s="90"/>
      <c r="BN705" s="90"/>
      <c r="BO705" s="90"/>
      <c r="BP705" s="90"/>
      <c r="BQ705" s="90"/>
      <c r="BR705" s="90"/>
      <c r="BS705" s="90"/>
      <c r="BT705" s="90"/>
      <c r="BU705" s="90"/>
      <c r="BV705" s="90"/>
      <c r="BW705" s="90"/>
      <c r="BX705" s="90"/>
      <c r="BY705" s="90"/>
      <c r="BZ705" s="90"/>
      <c r="CA705" s="90"/>
      <c r="CB705" s="90"/>
      <c r="CC705" s="90"/>
      <c r="CD705" s="90"/>
      <c r="CE705" s="90"/>
      <c r="CF705" s="90"/>
      <c r="CG705" s="90"/>
      <c r="CH705" s="90"/>
      <c r="CI705" s="90"/>
      <c r="CJ705" s="90"/>
      <c r="CK705" s="90"/>
      <c r="CL705" s="90"/>
      <c r="CM705" s="90"/>
      <c r="CN705" s="90"/>
      <c r="CO705" s="90"/>
      <c r="CP705" s="90"/>
      <c r="CQ705" s="90"/>
      <c r="CR705" s="90"/>
      <c r="CS705" s="90"/>
      <c r="CT705" s="90"/>
      <c r="CU705" s="90"/>
      <c r="CV705" s="90"/>
      <c r="CW705" s="90"/>
    </row>
    <row r="706" ht="16.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0"/>
      <c r="BQ706" s="90"/>
      <c r="BR706" s="90"/>
      <c r="BS706" s="90"/>
      <c r="BT706" s="90"/>
      <c r="BU706" s="90"/>
      <c r="BV706" s="90"/>
      <c r="BW706" s="90"/>
      <c r="BX706" s="90"/>
      <c r="BY706" s="90"/>
      <c r="BZ706" s="90"/>
      <c r="CA706" s="90"/>
      <c r="CB706" s="90"/>
      <c r="CC706" s="90"/>
      <c r="CD706" s="90"/>
      <c r="CE706" s="90"/>
      <c r="CF706" s="90"/>
      <c r="CG706" s="90"/>
      <c r="CH706" s="90"/>
      <c r="CI706" s="90"/>
      <c r="CJ706" s="90"/>
      <c r="CK706" s="90"/>
      <c r="CL706" s="90"/>
      <c r="CM706" s="90"/>
      <c r="CN706" s="90"/>
      <c r="CO706" s="90"/>
      <c r="CP706" s="90"/>
      <c r="CQ706" s="90"/>
      <c r="CR706" s="90"/>
      <c r="CS706" s="90"/>
      <c r="CT706" s="90"/>
      <c r="CU706" s="90"/>
      <c r="CV706" s="90"/>
      <c r="CW706" s="90"/>
    </row>
    <row r="707" ht="16.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H707" s="90"/>
      <c r="BI707" s="90"/>
      <c r="BJ707" s="90"/>
      <c r="BK707" s="90"/>
      <c r="BL707" s="90"/>
      <c r="BM707" s="90"/>
      <c r="BN707" s="90"/>
      <c r="BO707" s="90"/>
      <c r="BP707" s="90"/>
      <c r="BQ707" s="90"/>
      <c r="BR707" s="90"/>
      <c r="BS707" s="90"/>
      <c r="BT707" s="90"/>
      <c r="BU707" s="90"/>
      <c r="BV707" s="90"/>
      <c r="BW707" s="90"/>
      <c r="BX707" s="90"/>
      <c r="BY707" s="90"/>
      <c r="BZ707" s="90"/>
      <c r="CA707" s="90"/>
      <c r="CB707" s="90"/>
      <c r="CC707" s="90"/>
      <c r="CD707" s="90"/>
      <c r="CE707" s="90"/>
      <c r="CF707" s="90"/>
      <c r="CG707" s="90"/>
      <c r="CH707" s="90"/>
      <c r="CI707" s="90"/>
      <c r="CJ707" s="90"/>
      <c r="CK707" s="90"/>
      <c r="CL707" s="90"/>
      <c r="CM707" s="90"/>
      <c r="CN707" s="90"/>
      <c r="CO707" s="90"/>
      <c r="CP707" s="90"/>
      <c r="CQ707" s="90"/>
      <c r="CR707" s="90"/>
      <c r="CS707" s="90"/>
      <c r="CT707" s="90"/>
      <c r="CU707" s="90"/>
      <c r="CV707" s="90"/>
      <c r="CW707" s="90"/>
    </row>
    <row r="708" ht="16.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0"/>
      <c r="BQ708" s="90"/>
      <c r="BR708" s="90"/>
      <c r="BS708" s="90"/>
      <c r="BT708" s="90"/>
      <c r="BU708" s="90"/>
      <c r="BV708" s="90"/>
      <c r="BW708" s="90"/>
      <c r="BX708" s="90"/>
      <c r="BY708" s="90"/>
      <c r="BZ708" s="90"/>
      <c r="CA708" s="90"/>
      <c r="CB708" s="90"/>
      <c r="CC708" s="90"/>
      <c r="CD708" s="90"/>
      <c r="CE708" s="90"/>
      <c r="CF708" s="90"/>
      <c r="CG708" s="90"/>
      <c r="CH708" s="90"/>
      <c r="CI708" s="90"/>
      <c r="CJ708" s="90"/>
      <c r="CK708" s="90"/>
      <c r="CL708" s="90"/>
      <c r="CM708" s="90"/>
      <c r="CN708" s="90"/>
      <c r="CO708" s="90"/>
      <c r="CP708" s="90"/>
      <c r="CQ708" s="90"/>
      <c r="CR708" s="90"/>
      <c r="CS708" s="90"/>
      <c r="CT708" s="90"/>
      <c r="CU708" s="90"/>
      <c r="CV708" s="90"/>
      <c r="CW708" s="90"/>
    </row>
    <row r="709" ht="16.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H709" s="90"/>
      <c r="BI709" s="90"/>
      <c r="BJ709" s="90"/>
      <c r="BK709" s="90"/>
      <c r="BL709" s="90"/>
      <c r="BM709" s="90"/>
      <c r="BN709" s="90"/>
      <c r="BO709" s="90"/>
      <c r="BP709" s="90"/>
      <c r="BQ709" s="90"/>
      <c r="BR709" s="90"/>
      <c r="BS709" s="90"/>
      <c r="BT709" s="90"/>
      <c r="BU709" s="90"/>
      <c r="BV709" s="90"/>
      <c r="BW709" s="90"/>
      <c r="BX709" s="90"/>
      <c r="BY709" s="90"/>
      <c r="BZ709" s="90"/>
      <c r="CA709" s="90"/>
      <c r="CB709" s="90"/>
      <c r="CC709" s="90"/>
      <c r="CD709" s="90"/>
      <c r="CE709" s="90"/>
      <c r="CF709" s="90"/>
      <c r="CG709" s="90"/>
      <c r="CH709" s="90"/>
      <c r="CI709" s="90"/>
      <c r="CJ709" s="90"/>
      <c r="CK709" s="90"/>
      <c r="CL709" s="90"/>
      <c r="CM709" s="90"/>
      <c r="CN709" s="90"/>
      <c r="CO709" s="90"/>
      <c r="CP709" s="90"/>
      <c r="CQ709" s="90"/>
      <c r="CR709" s="90"/>
      <c r="CS709" s="90"/>
      <c r="CT709" s="90"/>
      <c r="CU709" s="90"/>
      <c r="CV709" s="90"/>
      <c r="CW709" s="90"/>
    </row>
    <row r="710" ht="16.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0"/>
      <c r="BQ710" s="90"/>
      <c r="BR710" s="90"/>
      <c r="BS710" s="90"/>
      <c r="BT710" s="90"/>
      <c r="BU710" s="90"/>
      <c r="BV710" s="90"/>
      <c r="BW710" s="90"/>
      <c r="BX710" s="90"/>
      <c r="BY710" s="90"/>
      <c r="BZ710" s="90"/>
      <c r="CA710" s="90"/>
      <c r="CB710" s="90"/>
      <c r="CC710" s="90"/>
      <c r="CD710" s="90"/>
      <c r="CE710" s="90"/>
      <c r="CF710" s="90"/>
      <c r="CG710" s="90"/>
      <c r="CH710" s="90"/>
      <c r="CI710" s="90"/>
      <c r="CJ710" s="90"/>
      <c r="CK710" s="90"/>
      <c r="CL710" s="90"/>
      <c r="CM710" s="90"/>
      <c r="CN710" s="90"/>
      <c r="CO710" s="90"/>
      <c r="CP710" s="90"/>
      <c r="CQ710" s="90"/>
      <c r="CR710" s="90"/>
      <c r="CS710" s="90"/>
      <c r="CT710" s="90"/>
      <c r="CU710" s="90"/>
      <c r="CV710" s="90"/>
      <c r="CW710" s="90"/>
    </row>
    <row r="711" ht="16.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H711" s="90"/>
      <c r="BI711" s="90"/>
      <c r="BJ711" s="90"/>
      <c r="BK711" s="90"/>
      <c r="BL711" s="90"/>
      <c r="BM711" s="90"/>
      <c r="BN711" s="90"/>
      <c r="BO711" s="90"/>
      <c r="BP711" s="90"/>
      <c r="BQ711" s="90"/>
      <c r="BR711" s="90"/>
      <c r="BS711" s="90"/>
      <c r="BT711" s="90"/>
      <c r="BU711" s="90"/>
      <c r="BV711" s="90"/>
      <c r="BW711" s="90"/>
      <c r="BX711" s="90"/>
      <c r="BY711" s="90"/>
      <c r="BZ711" s="90"/>
      <c r="CA711" s="90"/>
      <c r="CB711" s="90"/>
      <c r="CC711" s="90"/>
      <c r="CD711" s="90"/>
      <c r="CE711" s="90"/>
      <c r="CF711" s="90"/>
      <c r="CG711" s="90"/>
      <c r="CH711" s="90"/>
      <c r="CI711" s="90"/>
      <c r="CJ711" s="90"/>
      <c r="CK711" s="90"/>
      <c r="CL711" s="90"/>
      <c r="CM711" s="90"/>
      <c r="CN711" s="90"/>
      <c r="CO711" s="90"/>
      <c r="CP711" s="90"/>
      <c r="CQ711" s="90"/>
      <c r="CR711" s="90"/>
      <c r="CS711" s="90"/>
      <c r="CT711" s="90"/>
      <c r="CU711" s="90"/>
      <c r="CV711" s="90"/>
      <c r="CW711" s="90"/>
    </row>
    <row r="712" ht="16.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0"/>
      <c r="BQ712" s="90"/>
      <c r="BR712" s="90"/>
      <c r="BS712" s="90"/>
      <c r="BT712" s="90"/>
      <c r="BU712" s="90"/>
      <c r="BV712" s="90"/>
      <c r="BW712" s="90"/>
      <c r="BX712" s="90"/>
      <c r="BY712" s="90"/>
      <c r="BZ712" s="90"/>
      <c r="CA712" s="90"/>
      <c r="CB712" s="90"/>
      <c r="CC712" s="90"/>
      <c r="CD712" s="90"/>
      <c r="CE712" s="90"/>
      <c r="CF712" s="90"/>
      <c r="CG712" s="90"/>
      <c r="CH712" s="90"/>
      <c r="CI712" s="90"/>
      <c r="CJ712" s="90"/>
      <c r="CK712" s="90"/>
      <c r="CL712" s="90"/>
      <c r="CM712" s="90"/>
      <c r="CN712" s="90"/>
      <c r="CO712" s="90"/>
      <c r="CP712" s="90"/>
      <c r="CQ712" s="90"/>
      <c r="CR712" s="90"/>
      <c r="CS712" s="90"/>
      <c r="CT712" s="90"/>
      <c r="CU712" s="90"/>
      <c r="CV712" s="90"/>
      <c r="CW712" s="90"/>
    </row>
    <row r="713" ht="16.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H713" s="90"/>
      <c r="BI713" s="90"/>
      <c r="BJ713" s="90"/>
      <c r="BK713" s="90"/>
      <c r="BL713" s="90"/>
      <c r="BM713" s="90"/>
      <c r="BN713" s="90"/>
      <c r="BO713" s="90"/>
      <c r="BP713" s="90"/>
      <c r="BQ713" s="90"/>
      <c r="BR713" s="90"/>
      <c r="BS713" s="90"/>
      <c r="BT713" s="90"/>
      <c r="BU713" s="90"/>
      <c r="BV713" s="90"/>
      <c r="BW713" s="90"/>
      <c r="BX713" s="90"/>
      <c r="BY713" s="90"/>
      <c r="BZ713" s="90"/>
      <c r="CA713" s="90"/>
      <c r="CB713" s="90"/>
      <c r="CC713" s="90"/>
      <c r="CD713" s="90"/>
      <c r="CE713" s="90"/>
      <c r="CF713" s="90"/>
      <c r="CG713" s="90"/>
      <c r="CH713" s="90"/>
      <c r="CI713" s="90"/>
      <c r="CJ713" s="90"/>
      <c r="CK713" s="90"/>
      <c r="CL713" s="90"/>
      <c r="CM713" s="90"/>
      <c r="CN713" s="90"/>
      <c r="CO713" s="90"/>
      <c r="CP713" s="90"/>
      <c r="CQ713" s="90"/>
      <c r="CR713" s="90"/>
      <c r="CS713" s="90"/>
      <c r="CT713" s="90"/>
      <c r="CU713" s="90"/>
      <c r="CV713" s="90"/>
      <c r="CW713" s="90"/>
    </row>
    <row r="714" ht="16.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0"/>
      <c r="BQ714" s="90"/>
      <c r="BR714" s="90"/>
      <c r="BS714" s="90"/>
      <c r="BT714" s="90"/>
      <c r="BU714" s="90"/>
      <c r="BV714" s="90"/>
      <c r="BW714" s="90"/>
      <c r="BX714" s="90"/>
      <c r="BY714" s="90"/>
      <c r="BZ714" s="90"/>
      <c r="CA714" s="90"/>
      <c r="CB714" s="90"/>
      <c r="CC714" s="90"/>
      <c r="CD714" s="90"/>
      <c r="CE714" s="90"/>
      <c r="CF714" s="90"/>
      <c r="CG714" s="90"/>
      <c r="CH714" s="90"/>
      <c r="CI714" s="90"/>
      <c r="CJ714" s="90"/>
      <c r="CK714" s="90"/>
      <c r="CL714" s="90"/>
      <c r="CM714" s="90"/>
      <c r="CN714" s="90"/>
      <c r="CO714" s="90"/>
      <c r="CP714" s="90"/>
      <c r="CQ714" s="90"/>
      <c r="CR714" s="90"/>
      <c r="CS714" s="90"/>
      <c r="CT714" s="90"/>
      <c r="CU714" s="90"/>
      <c r="CV714" s="90"/>
      <c r="CW714" s="90"/>
    </row>
    <row r="715" ht="16.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  <c r="BI715" s="90"/>
      <c r="BJ715" s="90"/>
      <c r="BK715" s="90"/>
      <c r="BL715" s="90"/>
      <c r="BM715" s="90"/>
      <c r="BN715" s="90"/>
      <c r="BO715" s="90"/>
      <c r="BP715" s="90"/>
      <c r="BQ715" s="90"/>
      <c r="BR715" s="90"/>
      <c r="BS715" s="90"/>
      <c r="BT715" s="90"/>
      <c r="BU715" s="90"/>
      <c r="BV715" s="90"/>
      <c r="BW715" s="90"/>
      <c r="BX715" s="90"/>
      <c r="BY715" s="90"/>
      <c r="BZ715" s="90"/>
      <c r="CA715" s="90"/>
      <c r="CB715" s="90"/>
      <c r="CC715" s="90"/>
      <c r="CD715" s="90"/>
      <c r="CE715" s="90"/>
      <c r="CF715" s="90"/>
      <c r="CG715" s="90"/>
      <c r="CH715" s="90"/>
      <c r="CI715" s="90"/>
      <c r="CJ715" s="90"/>
      <c r="CK715" s="90"/>
      <c r="CL715" s="90"/>
      <c r="CM715" s="90"/>
      <c r="CN715" s="90"/>
      <c r="CO715" s="90"/>
      <c r="CP715" s="90"/>
      <c r="CQ715" s="90"/>
      <c r="CR715" s="90"/>
      <c r="CS715" s="90"/>
      <c r="CT715" s="90"/>
      <c r="CU715" s="90"/>
      <c r="CV715" s="90"/>
      <c r="CW715" s="90"/>
    </row>
    <row r="716" ht="16.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0"/>
      <c r="BQ716" s="90"/>
      <c r="BR716" s="90"/>
      <c r="BS716" s="90"/>
      <c r="BT716" s="90"/>
      <c r="BU716" s="90"/>
      <c r="BV716" s="90"/>
      <c r="BW716" s="90"/>
      <c r="BX716" s="90"/>
      <c r="BY716" s="90"/>
      <c r="BZ716" s="90"/>
      <c r="CA716" s="90"/>
      <c r="CB716" s="90"/>
      <c r="CC716" s="90"/>
      <c r="CD716" s="90"/>
      <c r="CE716" s="90"/>
      <c r="CF716" s="90"/>
      <c r="CG716" s="90"/>
      <c r="CH716" s="90"/>
      <c r="CI716" s="90"/>
      <c r="CJ716" s="90"/>
      <c r="CK716" s="90"/>
      <c r="CL716" s="90"/>
      <c r="CM716" s="90"/>
      <c r="CN716" s="90"/>
      <c r="CO716" s="90"/>
      <c r="CP716" s="90"/>
      <c r="CQ716" s="90"/>
      <c r="CR716" s="90"/>
      <c r="CS716" s="90"/>
      <c r="CT716" s="90"/>
      <c r="CU716" s="90"/>
      <c r="CV716" s="90"/>
      <c r="CW716" s="90"/>
    </row>
    <row r="717" ht="16.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  <c r="BI717" s="90"/>
      <c r="BJ717" s="90"/>
      <c r="BK717" s="90"/>
      <c r="BL717" s="90"/>
      <c r="BM717" s="90"/>
      <c r="BN717" s="90"/>
      <c r="BO717" s="90"/>
      <c r="BP717" s="90"/>
      <c r="BQ717" s="90"/>
      <c r="BR717" s="90"/>
      <c r="BS717" s="90"/>
      <c r="BT717" s="90"/>
      <c r="BU717" s="90"/>
      <c r="BV717" s="90"/>
      <c r="BW717" s="90"/>
      <c r="BX717" s="90"/>
      <c r="BY717" s="90"/>
      <c r="BZ717" s="90"/>
      <c r="CA717" s="90"/>
      <c r="CB717" s="90"/>
      <c r="CC717" s="90"/>
      <c r="CD717" s="90"/>
      <c r="CE717" s="90"/>
      <c r="CF717" s="90"/>
      <c r="CG717" s="90"/>
      <c r="CH717" s="90"/>
      <c r="CI717" s="90"/>
      <c r="CJ717" s="90"/>
      <c r="CK717" s="90"/>
      <c r="CL717" s="90"/>
      <c r="CM717" s="90"/>
      <c r="CN717" s="90"/>
      <c r="CO717" s="90"/>
      <c r="CP717" s="90"/>
      <c r="CQ717" s="90"/>
      <c r="CR717" s="90"/>
      <c r="CS717" s="90"/>
      <c r="CT717" s="90"/>
      <c r="CU717" s="90"/>
      <c r="CV717" s="90"/>
      <c r="CW717" s="90"/>
    </row>
    <row r="718" ht="16.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0"/>
      <c r="BQ718" s="90"/>
      <c r="BR718" s="90"/>
      <c r="BS718" s="90"/>
      <c r="BT718" s="90"/>
      <c r="BU718" s="90"/>
      <c r="BV718" s="90"/>
      <c r="BW718" s="90"/>
      <c r="BX718" s="90"/>
      <c r="BY718" s="90"/>
      <c r="BZ718" s="90"/>
      <c r="CA718" s="90"/>
      <c r="CB718" s="90"/>
      <c r="CC718" s="90"/>
      <c r="CD718" s="90"/>
      <c r="CE718" s="90"/>
      <c r="CF718" s="90"/>
      <c r="CG718" s="90"/>
      <c r="CH718" s="90"/>
      <c r="CI718" s="90"/>
      <c r="CJ718" s="90"/>
      <c r="CK718" s="90"/>
      <c r="CL718" s="90"/>
      <c r="CM718" s="90"/>
      <c r="CN718" s="90"/>
      <c r="CO718" s="90"/>
      <c r="CP718" s="90"/>
      <c r="CQ718" s="90"/>
      <c r="CR718" s="90"/>
      <c r="CS718" s="90"/>
      <c r="CT718" s="90"/>
      <c r="CU718" s="90"/>
      <c r="CV718" s="90"/>
      <c r="CW718" s="90"/>
    </row>
    <row r="719" ht="16.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H719" s="90"/>
      <c r="BI719" s="90"/>
      <c r="BJ719" s="90"/>
      <c r="BK719" s="90"/>
      <c r="BL719" s="90"/>
      <c r="BM719" s="90"/>
      <c r="BN719" s="90"/>
      <c r="BO719" s="90"/>
      <c r="BP719" s="90"/>
      <c r="BQ719" s="90"/>
      <c r="BR719" s="90"/>
      <c r="BS719" s="90"/>
      <c r="BT719" s="90"/>
      <c r="BU719" s="90"/>
      <c r="BV719" s="90"/>
      <c r="BW719" s="90"/>
      <c r="BX719" s="90"/>
      <c r="BY719" s="90"/>
      <c r="BZ719" s="90"/>
      <c r="CA719" s="90"/>
      <c r="CB719" s="90"/>
      <c r="CC719" s="90"/>
      <c r="CD719" s="90"/>
      <c r="CE719" s="90"/>
      <c r="CF719" s="90"/>
      <c r="CG719" s="90"/>
      <c r="CH719" s="90"/>
      <c r="CI719" s="90"/>
      <c r="CJ719" s="90"/>
      <c r="CK719" s="90"/>
      <c r="CL719" s="90"/>
      <c r="CM719" s="90"/>
      <c r="CN719" s="90"/>
      <c r="CO719" s="90"/>
      <c r="CP719" s="90"/>
      <c r="CQ719" s="90"/>
      <c r="CR719" s="90"/>
      <c r="CS719" s="90"/>
      <c r="CT719" s="90"/>
      <c r="CU719" s="90"/>
      <c r="CV719" s="90"/>
      <c r="CW719" s="90"/>
    </row>
    <row r="720" ht="16.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0"/>
      <c r="BQ720" s="90"/>
      <c r="BR720" s="90"/>
      <c r="BS720" s="90"/>
      <c r="BT720" s="90"/>
      <c r="BU720" s="90"/>
      <c r="BV720" s="90"/>
      <c r="BW720" s="90"/>
      <c r="BX720" s="90"/>
      <c r="BY720" s="90"/>
      <c r="BZ720" s="90"/>
      <c r="CA720" s="90"/>
      <c r="CB720" s="90"/>
      <c r="CC720" s="90"/>
      <c r="CD720" s="90"/>
      <c r="CE720" s="90"/>
      <c r="CF720" s="90"/>
      <c r="CG720" s="90"/>
      <c r="CH720" s="90"/>
      <c r="CI720" s="90"/>
      <c r="CJ720" s="90"/>
      <c r="CK720" s="90"/>
      <c r="CL720" s="90"/>
      <c r="CM720" s="90"/>
      <c r="CN720" s="90"/>
      <c r="CO720" s="90"/>
      <c r="CP720" s="90"/>
      <c r="CQ720" s="90"/>
      <c r="CR720" s="90"/>
      <c r="CS720" s="90"/>
      <c r="CT720" s="90"/>
      <c r="CU720" s="90"/>
      <c r="CV720" s="90"/>
      <c r="CW720" s="90"/>
    </row>
    <row r="721" ht="16.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H721" s="90"/>
      <c r="BI721" s="90"/>
      <c r="BJ721" s="90"/>
      <c r="BK721" s="90"/>
      <c r="BL721" s="90"/>
      <c r="BM721" s="90"/>
      <c r="BN721" s="90"/>
      <c r="BO721" s="90"/>
      <c r="BP721" s="90"/>
      <c r="BQ721" s="90"/>
      <c r="BR721" s="90"/>
      <c r="BS721" s="90"/>
      <c r="BT721" s="90"/>
      <c r="BU721" s="90"/>
      <c r="BV721" s="90"/>
      <c r="BW721" s="90"/>
      <c r="BX721" s="90"/>
      <c r="BY721" s="90"/>
      <c r="BZ721" s="90"/>
      <c r="CA721" s="90"/>
      <c r="CB721" s="90"/>
      <c r="CC721" s="90"/>
      <c r="CD721" s="90"/>
      <c r="CE721" s="90"/>
      <c r="CF721" s="90"/>
      <c r="CG721" s="90"/>
      <c r="CH721" s="90"/>
      <c r="CI721" s="90"/>
      <c r="CJ721" s="90"/>
      <c r="CK721" s="90"/>
      <c r="CL721" s="90"/>
      <c r="CM721" s="90"/>
      <c r="CN721" s="90"/>
      <c r="CO721" s="90"/>
      <c r="CP721" s="90"/>
      <c r="CQ721" s="90"/>
      <c r="CR721" s="90"/>
      <c r="CS721" s="90"/>
      <c r="CT721" s="90"/>
      <c r="CU721" s="90"/>
      <c r="CV721" s="90"/>
      <c r="CW721" s="90"/>
    </row>
    <row r="722" ht="16.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0"/>
      <c r="BQ722" s="90"/>
      <c r="BR722" s="90"/>
      <c r="BS722" s="90"/>
      <c r="BT722" s="90"/>
      <c r="BU722" s="90"/>
      <c r="BV722" s="90"/>
      <c r="BW722" s="90"/>
      <c r="BX722" s="90"/>
      <c r="BY722" s="90"/>
      <c r="BZ722" s="90"/>
      <c r="CA722" s="90"/>
      <c r="CB722" s="90"/>
      <c r="CC722" s="90"/>
      <c r="CD722" s="90"/>
      <c r="CE722" s="90"/>
      <c r="CF722" s="90"/>
      <c r="CG722" s="90"/>
      <c r="CH722" s="90"/>
      <c r="CI722" s="90"/>
      <c r="CJ722" s="90"/>
      <c r="CK722" s="90"/>
      <c r="CL722" s="90"/>
      <c r="CM722" s="90"/>
      <c r="CN722" s="90"/>
      <c r="CO722" s="90"/>
      <c r="CP722" s="90"/>
      <c r="CQ722" s="90"/>
      <c r="CR722" s="90"/>
      <c r="CS722" s="90"/>
      <c r="CT722" s="90"/>
      <c r="CU722" s="90"/>
      <c r="CV722" s="90"/>
      <c r="CW722" s="90"/>
    </row>
    <row r="723" ht="16.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H723" s="90"/>
      <c r="BI723" s="90"/>
      <c r="BJ723" s="90"/>
      <c r="BK723" s="90"/>
      <c r="BL723" s="90"/>
      <c r="BM723" s="90"/>
      <c r="BN723" s="90"/>
      <c r="BO723" s="90"/>
      <c r="BP723" s="90"/>
      <c r="BQ723" s="90"/>
      <c r="BR723" s="90"/>
      <c r="BS723" s="90"/>
      <c r="BT723" s="90"/>
      <c r="BU723" s="90"/>
      <c r="BV723" s="90"/>
      <c r="BW723" s="90"/>
      <c r="BX723" s="90"/>
      <c r="BY723" s="90"/>
      <c r="BZ723" s="90"/>
      <c r="CA723" s="90"/>
      <c r="CB723" s="90"/>
      <c r="CC723" s="90"/>
      <c r="CD723" s="90"/>
      <c r="CE723" s="90"/>
      <c r="CF723" s="90"/>
      <c r="CG723" s="90"/>
      <c r="CH723" s="90"/>
      <c r="CI723" s="90"/>
      <c r="CJ723" s="90"/>
      <c r="CK723" s="90"/>
      <c r="CL723" s="90"/>
      <c r="CM723" s="90"/>
      <c r="CN723" s="90"/>
      <c r="CO723" s="90"/>
      <c r="CP723" s="90"/>
      <c r="CQ723" s="90"/>
      <c r="CR723" s="90"/>
      <c r="CS723" s="90"/>
      <c r="CT723" s="90"/>
      <c r="CU723" s="90"/>
      <c r="CV723" s="90"/>
      <c r="CW723" s="90"/>
    </row>
    <row r="724" ht="16.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0"/>
      <c r="BQ724" s="90"/>
      <c r="BR724" s="90"/>
      <c r="BS724" s="90"/>
      <c r="BT724" s="90"/>
      <c r="BU724" s="90"/>
      <c r="BV724" s="90"/>
      <c r="BW724" s="90"/>
      <c r="BX724" s="90"/>
      <c r="BY724" s="90"/>
      <c r="BZ724" s="90"/>
      <c r="CA724" s="90"/>
      <c r="CB724" s="90"/>
      <c r="CC724" s="90"/>
      <c r="CD724" s="90"/>
      <c r="CE724" s="90"/>
      <c r="CF724" s="90"/>
      <c r="CG724" s="90"/>
      <c r="CH724" s="90"/>
      <c r="CI724" s="90"/>
      <c r="CJ724" s="90"/>
      <c r="CK724" s="90"/>
      <c r="CL724" s="90"/>
      <c r="CM724" s="90"/>
      <c r="CN724" s="90"/>
      <c r="CO724" s="90"/>
      <c r="CP724" s="90"/>
      <c r="CQ724" s="90"/>
      <c r="CR724" s="90"/>
      <c r="CS724" s="90"/>
      <c r="CT724" s="90"/>
      <c r="CU724" s="90"/>
      <c r="CV724" s="90"/>
      <c r="CW724" s="90"/>
    </row>
    <row r="725" ht="16.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H725" s="90"/>
      <c r="BI725" s="90"/>
      <c r="BJ725" s="90"/>
      <c r="BK725" s="90"/>
      <c r="BL725" s="90"/>
      <c r="BM725" s="90"/>
      <c r="BN725" s="90"/>
      <c r="BO725" s="90"/>
      <c r="BP725" s="90"/>
      <c r="BQ725" s="90"/>
      <c r="BR725" s="90"/>
      <c r="BS725" s="90"/>
      <c r="BT725" s="90"/>
      <c r="BU725" s="90"/>
      <c r="BV725" s="90"/>
      <c r="BW725" s="90"/>
      <c r="BX725" s="90"/>
      <c r="BY725" s="90"/>
      <c r="BZ725" s="90"/>
      <c r="CA725" s="90"/>
      <c r="CB725" s="90"/>
      <c r="CC725" s="90"/>
      <c r="CD725" s="90"/>
      <c r="CE725" s="90"/>
      <c r="CF725" s="90"/>
      <c r="CG725" s="90"/>
      <c r="CH725" s="90"/>
      <c r="CI725" s="90"/>
      <c r="CJ725" s="90"/>
      <c r="CK725" s="90"/>
      <c r="CL725" s="90"/>
      <c r="CM725" s="90"/>
      <c r="CN725" s="90"/>
      <c r="CO725" s="90"/>
      <c r="CP725" s="90"/>
      <c r="CQ725" s="90"/>
      <c r="CR725" s="90"/>
      <c r="CS725" s="90"/>
      <c r="CT725" s="90"/>
      <c r="CU725" s="90"/>
      <c r="CV725" s="90"/>
      <c r="CW725" s="90"/>
    </row>
    <row r="726" ht="16.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0"/>
      <c r="BQ726" s="90"/>
      <c r="BR726" s="90"/>
      <c r="BS726" s="90"/>
      <c r="BT726" s="90"/>
      <c r="BU726" s="90"/>
      <c r="BV726" s="90"/>
      <c r="BW726" s="90"/>
      <c r="BX726" s="90"/>
      <c r="BY726" s="90"/>
      <c r="BZ726" s="90"/>
      <c r="CA726" s="90"/>
      <c r="CB726" s="90"/>
      <c r="CC726" s="90"/>
      <c r="CD726" s="90"/>
      <c r="CE726" s="90"/>
      <c r="CF726" s="90"/>
      <c r="CG726" s="90"/>
      <c r="CH726" s="90"/>
      <c r="CI726" s="90"/>
      <c r="CJ726" s="90"/>
      <c r="CK726" s="90"/>
      <c r="CL726" s="90"/>
      <c r="CM726" s="90"/>
      <c r="CN726" s="90"/>
      <c r="CO726" s="90"/>
      <c r="CP726" s="90"/>
      <c r="CQ726" s="90"/>
      <c r="CR726" s="90"/>
      <c r="CS726" s="90"/>
      <c r="CT726" s="90"/>
      <c r="CU726" s="90"/>
      <c r="CV726" s="90"/>
      <c r="CW726" s="90"/>
    </row>
    <row r="727" ht="16.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H727" s="90"/>
      <c r="BI727" s="90"/>
      <c r="BJ727" s="90"/>
      <c r="BK727" s="90"/>
      <c r="BL727" s="90"/>
      <c r="BM727" s="90"/>
      <c r="BN727" s="90"/>
      <c r="BO727" s="90"/>
      <c r="BP727" s="90"/>
      <c r="BQ727" s="90"/>
      <c r="BR727" s="90"/>
      <c r="BS727" s="90"/>
      <c r="BT727" s="90"/>
      <c r="BU727" s="90"/>
      <c r="BV727" s="90"/>
      <c r="BW727" s="90"/>
      <c r="BX727" s="90"/>
      <c r="BY727" s="90"/>
      <c r="BZ727" s="90"/>
      <c r="CA727" s="90"/>
      <c r="CB727" s="90"/>
      <c r="CC727" s="90"/>
      <c r="CD727" s="90"/>
      <c r="CE727" s="90"/>
      <c r="CF727" s="90"/>
      <c r="CG727" s="90"/>
      <c r="CH727" s="90"/>
      <c r="CI727" s="90"/>
      <c r="CJ727" s="90"/>
      <c r="CK727" s="90"/>
      <c r="CL727" s="90"/>
      <c r="CM727" s="90"/>
      <c r="CN727" s="90"/>
      <c r="CO727" s="90"/>
      <c r="CP727" s="90"/>
      <c r="CQ727" s="90"/>
      <c r="CR727" s="90"/>
      <c r="CS727" s="90"/>
      <c r="CT727" s="90"/>
      <c r="CU727" s="90"/>
      <c r="CV727" s="90"/>
      <c r="CW727" s="90"/>
    </row>
    <row r="728" ht="16.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0"/>
      <c r="BQ728" s="90"/>
      <c r="BR728" s="90"/>
      <c r="BS728" s="90"/>
      <c r="BT728" s="90"/>
      <c r="BU728" s="90"/>
      <c r="BV728" s="90"/>
      <c r="BW728" s="90"/>
      <c r="BX728" s="90"/>
      <c r="BY728" s="90"/>
      <c r="BZ728" s="90"/>
      <c r="CA728" s="90"/>
      <c r="CB728" s="90"/>
      <c r="CC728" s="90"/>
      <c r="CD728" s="90"/>
      <c r="CE728" s="90"/>
      <c r="CF728" s="90"/>
      <c r="CG728" s="90"/>
      <c r="CH728" s="90"/>
      <c r="CI728" s="90"/>
      <c r="CJ728" s="90"/>
      <c r="CK728" s="90"/>
      <c r="CL728" s="90"/>
      <c r="CM728" s="90"/>
      <c r="CN728" s="90"/>
      <c r="CO728" s="90"/>
      <c r="CP728" s="90"/>
      <c r="CQ728" s="90"/>
      <c r="CR728" s="90"/>
      <c r="CS728" s="90"/>
      <c r="CT728" s="90"/>
      <c r="CU728" s="90"/>
      <c r="CV728" s="90"/>
      <c r="CW728" s="90"/>
    </row>
    <row r="729" ht="16.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H729" s="90"/>
      <c r="BI729" s="90"/>
      <c r="BJ729" s="90"/>
      <c r="BK729" s="90"/>
      <c r="BL729" s="90"/>
      <c r="BM729" s="90"/>
      <c r="BN729" s="90"/>
      <c r="BO729" s="90"/>
      <c r="BP729" s="90"/>
      <c r="BQ729" s="90"/>
      <c r="BR729" s="90"/>
      <c r="BS729" s="90"/>
      <c r="BT729" s="90"/>
      <c r="BU729" s="90"/>
      <c r="BV729" s="90"/>
      <c r="BW729" s="90"/>
      <c r="BX729" s="90"/>
      <c r="BY729" s="90"/>
      <c r="BZ729" s="90"/>
      <c r="CA729" s="90"/>
      <c r="CB729" s="90"/>
      <c r="CC729" s="90"/>
      <c r="CD729" s="90"/>
      <c r="CE729" s="90"/>
      <c r="CF729" s="90"/>
      <c r="CG729" s="90"/>
      <c r="CH729" s="90"/>
      <c r="CI729" s="90"/>
      <c r="CJ729" s="90"/>
      <c r="CK729" s="90"/>
      <c r="CL729" s="90"/>
      <c r="CM729" s="90"/>
      <c r="CN729" s="90"/>
      <c r="CO729" s="90"/>
      <c r="CP729" s="90"/>
      <c r="CQ729" s="90"/>
      <c r="CR729" s="90"/>
      <c r="CS729" s="90"/>
      <c r="CT729" s="90"/>
      <c r="CU729" s="90"/>
      <c r="CV729" s="90"/>
      <c r="CW729" s="90"/>
    </row>
    <row r="730" ht="16.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0"/>
      <c r="BS730" s="90"/>
      <c r="BT730" s="90"/>
      <c r="BU730" s="90"/>
      <c r="BV730" s="90"/>
      <c r="BW730" s="90"/>
      <c r="BX730" s="90"/>
      <c r="BY730" s="90"/>
      <c r="BZ730" s="90"/>
      <c r="CA730" s="90"/>
      <c r="CB730" s="90"/>
      <c r="CC730" s="90"/>
      <c r="CD730" s="90"/>
      <c r="CE730" s="90"/>
      <c r="CF730" s="90"/>
      <c r="CG730" s="90"/>
      <c r="CH730" s="90"/>
      <c r="CI730" s="90"/>
      <c r="CJ730" s="90"/>
      <c r="CK730" s="90"/>
      <c r="CL730" s="90"/>
      <c r="CM730" s="90"/>
      <c r="CN730" s="90"/>
      <c r="CO730" s="90"/>
      <c r="CP730" s="90"/>
      <c r="CQ730" s="90"/>
      <c r="CR730" s="90"/>
      <c r="CS730" s="90"/>
      <c r="CT730" s="90"/>
      <c r="CU730" s="90"/>
      <c r="CV730" s="90"/>
      <c r="CW730" s="90"/>
    </row>
    <row r="731" ht="16.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H731" s="90"/>
      <c r="BI731" s="90"/>
      <c r="BJ731" s="90"/>
      <c r="BK731" s="90"/>
      <c r="BL731" s="90"/>
      <c r="BM731" s="90"/>
      <c r="BN731" s="90"/>
      <c r="BO731" s="90"/>
      <c r="BP731" s="90"/>
      <c r="BQ731" s="90"/>
      <c r="BR731" s="90"/>
      <c r="BS731" s="90"/>
      <c r="BT731" s="90"/>
      <c r="BU731" s="90"/>
      <c r="BV731" s="90"/>
      <c r="BW731" s="90"/>
      <c r="BX731" s="90"/>
      <c r="BY731" s="90"/>
      <c r="BZ731" s="90"/>
      <c r="CA731" s="90"/>
      <c r="CB731" s="90"/>
      <c r="CC731" s="90"/>
      <c r="CD731" s="90"/>
      <c r="CE731" s="90"/>
      <c r="CF731" s="90"/>
      <c r="CG731" s="90"/>
      <c r="CH731" s="90"/>
      <c r="CI731" s="90"/>
      <c r="CJ731" s="90"/>
      <c r="CK731" s="90"/>
      <c r="CL731" s="90"/>
      <c r="CM731" s="90"/>
      <c r="CN731" s="90"/>
      <c r="CO731" s="90"/>
      <c r="CP731" s="90"/>
      <c r="CQ731" s="90"/>
      <c r="CR731" s="90"/>
      <c r="CS731" s="90"/>
      <c r="CT731" s="90"/>
      <c r="CU731" s="90"/>
      <c r="CV731" s="90"/>
      <c r="CW731" s="90"/>
    </row>
    <row r="732" ht="16.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0"/>
      <c r="BQ732" s="90"/>
      <c r="BR732" s="90"/>
      <c r="BS732" s="90"/>
      <c r="BT732" s="90"/>
      <c r="BU732" s="90"/>
      <c r="BV732" s="90"/>
      <c r="BW732" s="90"/>
      <c r="BX732" s="90"/>
      <c r="BY732" s="90"/>
      <c r="BZ732" s="90"/>
      <c r="CA732" s="90"/>
      <c r="CB732" s="90"/>
      <c r="CC732" s="90"/>
      <c r="CD732" s="90"/>
      <c r="CE732" s="90"/>
      <c r="CF732" s="90"/>
      <c r="CG732" s="90"/>
      <c r="CH732" s="90"/>
      <c r="CI732" s="90"/>
      <c r="CJ732" s="90"/>
      <c r="CK732" s="90"/>
      <c r="CL732" s="90"/>
      <c r="CM732" s="90"/>
      <c r="CN732" s="90"/>
      <c r="CO732" s="90"/>
      <c r="CP732" s="90"/>
      <c r="CQ732" s="90"/>
      <c r="CR732" s="90"/>
      <c r="CS732" s="90"/>
      <c r="CT732" s="90"/>
      <c r="CU732" s="90"/>
      <c r="CV732" s="90"/>
      <c r="CW732" s="90"/>
    </row>
    <row r="733" ht="16.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H733" s="90"/>
      <c r="BI733" s="90"/>
      <c r="BJ733" s="90"/>
      <c r="BK733" s="90"/>
      <c r="BL733" s="90"/>
      <c r="BM733" s="90"/>
      <c r="BN733" s="90"/>
      <c r="BO733" s="90"/>
      <c r="BP733" s="90"/>
      <c r="BQ733" s="90"/>
      <c r="BR733" s="90"/>
      <c r="BS733" s="90"/>
      <c r="BT733" s="90"/>
      <c r="BU733" s="90"/>
      <c r="BV733" s="90"/>
      <c r="BW733" s="90"/>
      <c r="BX733" s="90"/>
      <c r="BY733" s="90"/>
      <c r="BZ733" s="90"/>
      <c r="CA733" s="90"/>
      <c r="CB733" s="90"/>
      <c r="CC733" s="90"/>
      <c r="CD733" s="90"/>
      <c r="CE733" s="90"/>
      <c r="CF733" s="90"/>
      <c r="CG733" s="90"/>
      <c r="CH733" s="90"/>
      <c r="CI733" s="90"/>
      <c r="CJ733" s="90"/>
      <c r="CK733" s="90"/>
      <c r="CL733" s="90"/>
      <c r="CM733" s="90"/>
      <c r="CN733" s="90"/>
      <c r="CO733" s="90"/>
      <c r="CP733" s="90"/>
      <c r="CQ733" s="90"/>
      <c r="CR733" s="90"/>
      <c r="CS733" s="90"/>
      <c r="CT733" s="90"/>
      <c r="CU733" s="90"/>
      <c r="CV733" s="90"/>
      <c r="CW733" s="90"/>
    </row>
    <row r="734" ht="16.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0"/>
      <c r="BQ734" s="90"/>
      <c r="BR734" s="90"/>
      <c r="BS734" s="90"/>
      <c r="BT734" s="90"/>
      <c r="BU734" s="90"/>
      <c r="BV734" s="90"/>
      <c r="BW734" s="90"/>
      <c r="BX734" s="90"/>
      <c r="BY734" s="90"/>
      <c r="BZ734" s="90"/>
      <c r="CA734" s="90"/>
      <c r="CB734" s="90"/>
      <c r="CC734" s="90"/>
      <c r="CD734" s="90"/>
      <c r="CE734" s="90"/>
      <c r="CF734" s="90"/>
      <c r="CG734" s="90"/>
      <c r="CH734" s="90"/>
      <c r="CI734" s="90"/>
      <c r="CJ734" s="90"/>
      <c r="CK734" s="90"/>
      <c r="CL734" s="90"/>
      <c r="CM734" s="90"/>
      <c r="CN734" s="90"/>
      <c r="CO734" s="90"/>
      <c r="CP734" s="90"/>
      <c r="CQ734" s="90"/>
      <c r="CR734" s="90"/>
      <c r="CS734" s="90"/>
      <c r="CT734" s="90"/>
      <c r="CU734" s="90"/>
      <c r="CV734" s="90"/>
      <c r="CW734" s="90"/>
    </row>
    <row r="735" ht="16.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H735" s="90"/>
      <c r="BI735" s="90"/>
      <c r="BJ735" s="90"/>
      <c r="BK735" s="90"/>
      <c r="BL735" s="90"/>
      <c r="BM735" s="90"/>
      <c r="BN735" s="90"/>
      <c r="BO735" s="90"/>
      <c r="BP735" s="90"/>
      <c r="BQ735" s="90"/>
      <c r="BR735" s="90"/>
      <c r="BS735" s="90"/>
      <c r="BT735" s="90"/>
      <c r="BU735" s="90"/>
      <c r="BV735" s="90"/>
      <c r="BW735" s="90"/>
      <c r="BX735" s="90"/>
      <c r="BY735" s="90"/>
      <c r="BZ735" s="90"/>
      <c r="CA735" s="90"/>
      <c r="CB735" s="90"/>
      <c r="CC735" s="90"/>
      <c r="CD735" s="90"/>
      <c r="CE735" s="90"/>
      <c r="CF735" s="90"/>
      <c r="CG735" s="90"/>
      <c r="CH735" s="90"/>
      <c r="CI735" s="90"/>
      <c r="CJ735" s="90"/>
      <c r="CK735" s="90"/>
      <c r="CL735" s="90"/>
      <c r="CM735" s="90"/>
      <c r="CN735" s="90"/>
      <c r="CO735" s="90"/>
      <c r="CP735" s="90"/>
      <c r="CQ735" s="90"/>
      <c r="CR735" s="90"/>
      <c r="CS735" s="90"/>
      <c r="CT735" s="90"/>
      <c r="CU735" s="90"/>
      <c r="CV735" s="90"/>
      <c r="CW735" s="90"/>
    </row>
    <row r="736" ht="16.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0"/>
      <c r="BQ736" s="90"/>
      <c r="BR736" s="90"/>
      <c r="BS736" s="90"/>
      <c r="BT736" s="90"/>
      <c r="BU736" s="90"/>
      <c r="BV736" s="90"/>
      <c r="BW736" s="90"/>
      <c r="BX736" s="90"/>
      <c r="BY736" s="90"/>
      <c r="BZ736" s="90"/>
      <c r="CA736" s="90"/>
      <c r="CB736" s="90"/>
      <c r="CC736" s="90"/>
      <c r="CD736" s="90"/>
      <c r="CE736" s="90"/>
      <c r="CF736" s="90"/>
      <c r="CG736" s="90"/>
      <c r="CH736" s="90"/>
      <c r="CI736" s="90"/>
      <c r="CJ736" s="90"/>
      <c r="CK736" s="90"/>
      <c r="CL736" s="90"/>
      <c r="CM736" s="90"/>
      <c r="CN736" s="90"/>
      <c r="CO736" s="90"/>
      <c r="CP736" s="90"/>
      <c r="CQ736" s="90"/>
      <c r="CR736" s="90"/>
      <c r="CS736" s="90"/>
      <c r="CT736" s="90"/>
      <c r="CU736" s="90"/>
      <c r="CV736" s="90"/>
      <c r="CW736" s="90"/>
    </row>
    <row r="737" ht="16.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H737" s="90"/>
      <c r="BI737" s="90"/>
      <c r="BJ737" s="90"/>
      <c r="BK737" s="90"/>
      <c r="BL737" s="90"/>
      <c r="BM737" s="90"/>
      <c r="BN737" s="90"/>
      <c r="BO737" s="90"/>
      <c r="BP737" s="90"/>
      <c r="BQ737" s="90"/>
      <c r="BR737" s="90"/>
      <c r="BS737" s="90"/>
      <c r="BT737" s="90"/>
      <c r="BU737" s="90"/>
      <c r="BV737" s="90"/>
      <c r="BW737" s="90"/>
      <c r="BX737" s="90"/>
      <c r="BY737" s="90"/>
      <c r="BZ737" s="90"/>
      <c r="CA737" s="90"/>
      <c r="CB737" s="90"/>
      <c r="CC737" s="90"/>
      <c r="CD737" s="90"/>
      <c r="CE737" s="90"/>
      <c r="CF737" s="90"/>
      <c r="CG737" s="90"/>
      <c r="CH737" s="90"/>
      <c r="CI737" s="90"/>
      <c r="CJ737" s="90"/>
      <c r="CK737" s="90"/>
      <c r="CL737" s="90"/>
      <c r="CM737" s="90"/>
      <c r="CN737" s="90"/>
      <c r="CO737" s="90"/>
      <c r="CP737" s="90"/>
      <c r="CQ737" s="90"/>
      <c r="CR737" s="90"/>
      <c r="CS737" s="90"/>
      <c r="CT737" s="90"/>
      <c r="CU737" s="90"/>
      <c r="CV737" s="90"/>
      <c r="CW737" s="90"/>
    </row>
    <row r="738" ht="16.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0"/>
      <c r="BQ738" s="90"/>
      <c r="BR738" s="90"/>
      <c r="BS738" s="90"/>
      <c r="BT738" s="90"/>
      <c r="BU738" s="90"/>
      <c r="BV738" s="90"/>
      <c r="BW738" s="90"/>
      <c r="BX738" s="90"/>
      <c r="BY738" s="90"/>
      <c r="BZ738" s="90"/>
      <c r="CA738" s="90"/>
      <c r="CB738" s="90"/>
      <c r="CC738" s="90"/>
      <c r="CD738" s="90"/>
      <c r="CE738" s="90"/>
      <c r="CF738" s="90"/>
      <c r="CG738" s="90"/>
      <c r="CH738" s="90"/>
      <c r="CI738" s="90"/>
      <c r="CJ738" s="90"/>
      <c r="CK738" s="90"/>
      <c r="CL738" s="90"/>
      <c r="CM738" s="90"/>
      <c r="CN738" s="90"/>
      <c r="CO738" s="90"/>
      <c r="CP738" s="90"/>
      <c r="CQ738" s="90"/>
      <c r="CR738" s="90"/>
      <c r="CS738" s="90"/>
      <c r="CT738" s="90"/>
      <c r="CU738" s="90"/>
      <c r="CV738" s="90"/>
      <c r="CW738" s="90"/>
    </row>
    <row r="739" ht="16.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H739" s="90"/>
      <c r="BI739" s="90"/>
      <c r="BJ739" s="90"/>
      <c r="BK739" s="90"/>
      <c r="BL739" s="90"/>
      <c r="BM739" s="90"/>
      <c r="BN739" s="90"/>
      <c r="BO739" s="90"/>
      <c r="BP739" s="90"/>
      <c r="BQ739" s="90"/>
      <c r="BR739" s="90"/>
      <c r="BS739" s="90"/>
      <c r="BT739" s="90"/>
      <c r="BU739" s="90"/>
      <c r="BV739" s="90"/>
      <c r="BW739" s="90"/>
      <c r="BX739" s="90"/>
      <c r="BY739" s="90"/>
      <c r="BZ739" s="90"/>
      <c r="CA739" s="90"/>
      <c r="CB739" s="90"/>
      <c r="CC739" s="90"/>
      <c r="CD739" s="90"/>
      <c r="CE739" s="90"/>
      <c r="CF739" s="90"/>
      <c r="CG739" s="90"/>
      <c r="CH739" s="90"/>
      <c r="CI739" s="90"/>
      <c r="CJ739" s="90"/>
      <c r="CK739" s="90"/>
      <c r="CL739" s="90"/>
      <c r="CM739" s="90"/>
      <c r="CN739" s="90"/>
      <c r="CO739" s="90"/>
      <c r="CP739" s="90"/>
      <c r="CQ739" s="90"/>
      <c r="CR739" s="90"/>
      <c r="CS739" s="90"/>
      <c r="CT739" s="90"/>
      <c r="CU739" s="90"/>
      <c r="CV739" s="90"/>
      <c r="CW739" s="90"/>
    </row>
    <row r="740" ht="16.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0"/>
      <c r="BQ740" s="90"/>
      <c r="BR740" s="90"/>
      <c r="BS740" s="90"/>
      <c r="BT740" s="90"/>
      <c r="BU740" s="90"/>
      <c r="BV740" s="90"/>
      <c r="BW740" s="90"/>
      <c r="BX740" s="90"/>
      <c r="BY740" s="90"/>
      <c r="BZ740" s="90"/>
      <c r="CA740" s="90"/>
      <c r="CB740" s="90"/>
      <c r="CC740" s="90"/>
      <c r="CD740" s="90"/>
      <c r="CE740" s="90"/>
      <c r="CF740" s="90"/>
      <c r="CG740" s="90"/>
      <c r="CH740" s="90"/>
      <c r="CI740" s="90"/>
      <c r="CJ740" s="90"/>
      <c r="CK740" s="90"/>
      <c r="CL740" s="90"/>
      <c r="CM740" s="90"/>
      <c r="CN740" s="90"/>
      <c r="CO740" s="90"/>
      <c r="CP740" s="90"/>
      <c r="CQ740" s="90"/>
      <c r="CR740" s="90"/>
      <c r="CS740" s="90"/>
      <c r="CT740" s="90"/>
      <c r="CU740" s="90"/>
      <c r="CV740" s="90"/>
      <c r="CW740" s="90"/>
    </row>
    <row r="741" ht="16.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H741" s="90"/>
      <c r="BI741" s="90"/>
      <c r="BJ741" s="90"/>
      <c r="BK741" s="90"/>
      <c r="BL741" s="90"/>
      <c r="BM741" s="90"/>
      <c r="BN741" s="90"/>
      <c r="BO741" s="90"/>
      <c r="BP741" s="90"/>
      <c r="BQ741" s="90"/>
      <c r="BR741" s="90"/>
      <c r="BS741" s="90"/>
      <c r="BT741" s="90"/>
      <c r="BU741" s="90"/>
      <c r="BV741" s="90"/>
      <c r="BW741" s="90"/>
      <c r="BX741" s="90"/>
      <c r="BY741" s="90"/>
      <c r="BZ741" s="90"/>
      <c r="CA741" s="90"/>
      <c r="CB741" s="90"/>
      <c r="CC741" s="90"/>
      <c r="CD741" s="90"/>
      <c r="CE741" s="90"/>
      <c r="CF741" s="90"/>
      <c r="CG741" s="90"/>
      <c r="CH741" s="90"/>
      <c r="CI741" s="90"/>
      <c r="CJ741" s="90"/>
      <c r="CK741" s="90"/>
      <c r="CL741" s="90"/>
      <c r="CM741" s="90"/>
      <c r="CN741" s="90"/>
      <c r="CO741" s="90"/>
      <c r="CP741" s="90"/>
      <c r="CQ741" s="90"/>
      <c r="CR741" s="90"/>
      <c r="CS741" s="90"/>
      <c r="CT741" s="90"/>
      <c r="CU741" s="90"/>
      <c r="CV741" s="90"/>
      <c r="CW741" s="90"/>
    </row>
    <row r="742" ht="16.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0"/>
      <c r="BQ742" s="90"/>
      <c r="BR742" s="90"/>
      <c r="BS742" s="90"/>
      <c r="BT742" s="90"/>
      <c r="BU742" s="90"/>
      <c r="BV742" s="90"/>
      <c r="BW742" s="90"/>
      <c r="BX742" s="90"/>
      <c r="BY742" s="90"/>
      <c r="BZ742" s="90"/>
      <c r="CA742" s="90"/>
      <c r="CB742" s="90"/>
      <c r="CC742" s="90"/>
      <c r="CD742" s="90"/>
      <c r="CE742" s="90"/>
      <c r="CF742" s="90"/>
      <c r="CG742" s="90"/>
      <c r="CH742" s="90"/>
      <c r="CI742" s="90"/>
      <c r="CJ742" s="90"/>
      <c r="CK742" s="90"/>
      <c r="CL742" s="90"/>
      <c r="CM742" s="90"/>
      <c r="CN742" s="90"/>
      <c r="CO742" s="90"/>
      <c r="CP742" s="90"/>
      <c r="CQ742" s="90"/>
      <c r="CR742" s="90"/>
      <c r="CS742" s="90"/>
      <c r="CT742" s="90"/>
      <c r="CU742" s="90"/>
      <c r="CV742" s="90"/>
      <c r="CW742" s="90"/>
    </row>
    <row r="743" ht="16.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H743" s="90"/>
      <c r="BI743" s="90"/>
      <c r="BJ743" s="90"/>
      <c r="BK743" s="90"/>
      <c r="BL743" s="90"/>
      <c r="BM743" s="90"/>
      <c r="BN743" s="90"/>
      <c r="BO743" s="90"/>
      <c r="BP743" s="90"/>
      <c r="BQ743" s="90"/>
      <c r="BR743" s="90"/>
      <c r="BS743" s="90"/>
      <c r="BT743" s="90"/>
      <c r="BU743" s="90"/>
      <c r="BV743" s="90"/>
      <c r="BW743" s="90"/>
      <c r="BX743" s="90"/>
      <c r="BY743" s="90"/>
      <c r="BZ743" s="90"/>
      <c r="CA743" s="90"/>
      <c r="CB743" s="90"/>
      <c r="CC743" s="90"/>
      <c r="CD743" s="90"/>
      <c r="CE743" s="90"/>
      <c r="CF743" s="90"/>
      <c r="CG743" s="90"/>
      <c r="CH743" s="90"/>
      <c r="CI743" s="90"/>
      <c r="CJ743" s="90"/>
      <c r="CK743" s="90"/>
      <c r="CL743" s="90"/>
      <c r="CM743" s="90"/>
      <c r="CN743" s="90"/>
      <c r="CO743" s="90"/>
      <c r="CP743" s="90"/>
      <c r="CQ743" s="90"/>
      <c r="CR743" s="90"/>
      <c r="CS743" s="90"/>
      <c r="CT743" s="90"/>
      <c r="CU743" s="90"/>
      <c r="CV743" s="90"/>
      <c r="CW743" s="90"/>
    </row>
    <row r="744" ht="16.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0"/>
      <c r="BQ744" s="90"/>
      <c r="BR744" s="90"/>
      <c r="BS744" s="90"/>
      <c r="BT744" s="90"/>
      <c r="BU744" s="90"/>
      <c r="BV744" s="90"/>
      <c r="BW744" s="90"/>
      <c r="BX744" s="90"/>
      <c r="BY744" s="90"/>
      <c r="BZ744" s="90"/>
      <c r="CA744" s="90"/>
      <c r="CB744" s="90"/>
      <c r="CC744" s="90"/>
      <c r="CD744" s="90"/>
      <c r="CE744" s="90"/>
      <c r="CF744" s="90"/>
      <c r="CG744" s="90"/>
      <c r="CH744" s="90"/>
      <c r="CI744" s="90"/>
      <c r="CJ744" s="90"/>
      <c r="CK744" s="90"/>
      <c r="CL744" s="90"/>
      <c r="CM744" s="90"/>
      <c r="CN744" s="90"/>
      <c r="CO744" s="90"/>
      <c r="CP744" s="90"/>
      <c r="CQ744" s="90"/>
      <c r="CR744" s="90"/>
      <c r="CS744" s="90"/>
      <c r="CT744" s="90"/>
      <c r="CU744" s="90"/>
      <c r="CV744" s="90"/>
      <c r="CW744" s="90"/>
    </row>
    <row r="745" ht="16.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H745" s="90"/>
      <c r="BI745" s="90"/>
      <c r="BJ745" s="90"/>
      <c r="BK745" s="90"/>
      <c r="BL745" s="90"/>
      <c r="BM745" s="90"/>
      <c r="BN745" s="90"/>
      <c r="BO745" s="90"/>
      <c r="BP745" s="90"/>
      <c r="BQ745" s="90"/>
      <c r="BR745" s="90"/>
      <c r="BS745" s="90"/>
      <c r="BT745" s="90"/>
      <c r="BU745" s="90"/>
      <c r="BV745" s="90"/>
      <c r="BW745" s="90"/>
      <c r="BX745" s="90"/>
      <c r="BY745" s="90"/>
      <c r="BZ745" s="90"/>
      <c r="CA745" s="90"/>
      <c r="CB745" s="90"/>
      <c r="CC745" s="90"/>
      <c r="CD745" s="90"/>
      <c r="CE745" s="90"/>
      <c r="CF745" s="90"/>
      <c r="CG745" s="90"/>
      <c r="CH745" s="90"/>
      <c r="CI745" s="90"/>
      <c r="CJ745" s="90"/>
      <c r="CK745" s="90"/>
      <c r="CL745" s="90"/>
      <c r="CM745" s="90"/>
      <c r="CN745" s="90"/>
      <c r="CO745" s="90"/>
      <c r="CP745" s="90"/>
      <c r="CQ745" s="90"/>
      <c r="CR745" s="90"/>
      <c r="CS745" s="90"/>
      <c r="CT745" s="90"/>
      <c r="CU745" s="90"/>
      <c r="CV745" s="90"/>
      <c r="CW745" s="90"/>
    </row>
    <row r="746" ht="16.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0"/>
      <c r="BQ746" s="90"/>
      <c r="BR746" s="90"/>
      <c r="BS746" s="90"/>
      <c r="BT746" s="90"/>
      <c r="BU746" s="90"/>
      <c r="BV746" s="90"/>
      <c r="BW746" s="90"/>
      <c r="BX746" s="90"/>
      <c r="BY746" s="90"/>
      <c r="BZ746" s="90"/>
      <c r="CA746" s="90"/>
      <c r="CB746" s="90"/>
      <c r="CC746" s="90"/>
      <c r="CD746" s="90"/>
      <c r="CE746" s="90"/>
      <c r="CF746" s="90"/>
      <c r="CG746" s="90"/>
      <c r="CH746" s="90"/>
      <c r="CI746" s="90"/>
      <c r="CJ746" s="90"/>
      <c r="CK746" s="90"/>
      <c r="CL746" s="90"/>
      <c r="CM746" s="90"/>
      <c r="CN746" s="90"/>
      <c r="CO746" s="90"/>
      <c r="CP746" s="90"/>
      <c r="CQ746" s="90"/>
      <c r="CR746" s="90"/>
      <c r="CS746" s="90"/>
      <c r="CT746" s="90"/>
      <c r="CU746" s="90"/>
      <c r="CV746" s="90"/>
      <c r="CW746" s="90"/>
    </row>
    <row r="747" ht="16.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H747" s="90"/>
      <c r="BI747" s="90"/>
      <c r="BJ747" s="90"/>
      <c r="BK747" s="90"/>
      <c r="BL747" s="90"/>
      <c r="BM747" s="90"/>
      <c r="BN747" s="90"/>
      <c r="BO747" s="90"/>
      <c r="BP747" s="90"/>
      <c r="BQ747" s="90"/>
      <c r="BR747" s="90"/>
      <c r="BS747" s="90"/>
      <c r="BT747" s="90"/>
      <c r="BU747" s="90"/>
      <c r="BV747" s="90"/>
      <c r="BW747" s="90"/>
      <c r="BX747" s="90"/>
      <c r="BY747" s="90"/>
      <c r="BZ747" s="90"/>
      <c r="CA747" s="90"/>
      <c r="CB747" s="90"/>
      <c r="CC747" s="90"/>
      <c r="CD747" s="90"/>
      <c r="CE747" s="90"/>
      <c r="CF747" s="90"/>
      <c r="CG747" s="90"/>
      <c r="CH747" s="90"/>
      <c r="CI747" s="90"/>
      <c r="CJ747" s="90"/>
      <c r="CK747" s="90"/>
      <c r="CL747" s="90"/>
      <c r="CM747" s="90"/>
      <c r="CN747" s="90"/>
      <c r="CO747" s="90"/>
      <c r="CP747" s="90"/>
      <c r="CQ747" s="90"/>
      <c r="CR747" s="90"/>
      <c r="CS747" s="90"/>
      <c r="CT747" s="90"/>
      <c r="CU747" s="90"/>
      <c r="CV747" s="90"/>
      <c r="CW747" s="90"/>
    </row>
    <row r="748" ht="16.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0"/>
      <c r="BQ748" s="90"/>
      <c r="BR748" s="90"/>
      <c r="BS748" s="90"/>
      <c r="BT748" s="90"/>
      <c r="BU748" s="90"/>
      <c r="BV748" s="90"/>
      <c r="BW748" s="90"/>
      <c r="BX748" s="90"/>
      <c r="BY748" s="90"/>
      <c r="BZ748" s="90"/>
      <c r="CA748" s="90"/>
      <c r="CB748" s="90"/>
      <c r="CC748" s="90"/>
      <c r="CD748" s="90"/>
      <c r="CE748" s="90"/>
      <c r="CF748" s="90"/>
      <c r="CG748" s="90"/>
      <c r="CH748" s="90"/>
      <c r="CI748" s="90"/>
      <c r="CJ748" s="90"/>
      <c r="CK748" s="90"/>
      <c r="CL748" s="90"/>
      <c r="CM748" s="90"/>
      <c r="CN748" s="90"/>
      <c r="CO748" s="90"/>
      <c r="CP748" s="90"/>
      <c r="CQ748" s="90"/>
      <c r="CR748" s="90"/>
      <c r="CS748" s="90"/>
      <c r="CT748" s="90"/>
      <c r="CU748" s="90"/>
      <c r="CV748" s="90"/>
      <c r="CW748" s="90"/>
    </row>
    <row r="749" ht="16.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H749" s="90"/>
      <c r="BI749" s="90"/>
      <c r="BJ749" s="90"/>
      <c r="BK749" s="90"/>
      <c r="BL749" s="90"/>
      <c r="BM749" s="90"/>
      <c r="BN749" s="90"/>
      <c r="BO749" s="90"/>
      <c r="BP749" s="90"/>
      <c r="BQ749" s="90"/>
      <c r="BR749" s="90"/>
      <c r="BS749" s="90"/>
      <c r="BT749" s="90"/>
      <c r="BU749" s="90"/>
      <c r="BV749" s="90"/>
      <c r="BW749" s="90"/>
      <c r="BX749" s="90"/>
      <c r="BY749" s="90"/>
      <c r="BZ749" s="90"/>
      <c r="CA749" s="90"/>
      <c r="CB749" s="90"/>
      <c r="CC749" s="90"/>
      <c r="CD749" s="90"/>
      <c r="CE749" s="90"/>
      <c r="CF749" s="90"/>
      <c r="CG749" s="90"/>
      <c r="CH749" s="90"/>
      <c r="CI749" s="90"/>
      <c r="CJ749" s="90"/>
      <c r="CK749" s="90"/>
      <c r="CL749" s="90"/>
      <c r="CM749" s="90"/>
      <c r="CN749" s="90"/>
      <c r="CO749" s="90"/>
      <c r="CP749" s="90"/>
      <c r="CQ749" s="90"/>
      <c r="CR749" s="90"/>
      <c r="CS749" s="90"/>
      <c r="CT749" s="90"/>
      <c r="CU749" s="90"/>
      <c r="CV749" s="90"/>
      <c r="CW749" s="90"/>
    </row>
    <row r="750" ht="16.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0"/>
      <c r="BQ750" s="90"/>
      <c r="BR750" s="90"/>
      <c r="BS750" s="90"/>
      <c r="BT750" s="90"/>
      <c r="BU750" s="90"/>
      <c r="BV750" s="90"/>
      <c r="BW750" s="90"/>
      <c r="BX750" s="90"/>
      <c r="BY750" s="90"/>
      <c r="BZ750" s="90"/>
      <c r="CA750" s="90"/>
      <c r="CB750" s="90"/>
      <c r="CC750" s="90"/>
      <c r="CD750" s="90"/>
      <c r="CE750" s="90"/>
      <c r="CF750" s="90"/>
      <c r="CG750" s="90"/>
      <c r="CH750" s="90"/>
      <c r="CI750" s="90"/>
      <c r="CJ750" s="90"/>
      <c r="CK750" s="90"/>
      <c r="CL750" s="90"/>
      <c r="CM750" s="90"/>
      <c r="CN750" s="90"/>
      <c r="CO750" s="90"/>
      <c r="CP750" s="90"/>
      <c r="CQ750" s="90"/>
      <c r="CR750" s="90"/>
      <c r="CS750" s="90"/>
      <c r="CT750" s="90"/>
      <c r="CU750" s="90"/>
      <c r="CV750" s="90"/>
      <c r="CW750" s="90"/>
    </row>
    <row r="751" ht="16.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H751" s="90"/>
      <c r="BI751" s="90"/>
      <c r="BJ751" s="90"/>
      <c r="BK751" s="90"/>
      <c r="BL751" s="90"/>
      <c r="BM751" s="90"/>
      <c r="BN751" s="90"/>
      <c r="BO751" s="90"/>
      <c r="BP751" s="90"/>
      <c r="BQ751" s="90"/>
      <c r="BR751" s="90"/>
      <c r="BS751" s="90"/>
      <c r="BT751" s="90"/>
      <c r="BU751" s="90"/>
      <c r="BV751" s="90"/>
      <c r="BW751" s="90"/>
      <c r="BX751" s="90"/>
      <c r="BY751" s="90"/>
      <c r="BZ751" s="90"/>
      <c r="CA751" s="90"/>
      <c r="CB751" s="90"/>
      <c r="CC751" s="90"/>
      <c r="CD751" s="90"/>
      <c r="CE751" s="90"/>
      <c r="CF751" s="90"/>
      <c r="CG751" s="90"/>
      <c r="CH751" s="90"/>
      <c r="CI751" s="90"/>
      <c r="CJ751" s="90"/>
      <c r="CK751" s="90"/>
      <c r="CL751" s="90"/>
      <c r="CM751" s="90"/>
      <c r="CN751" s="90"/>
      <c r="CO751" s="90"/>
      <c r="CP751" s="90"/>
      <c r="CQ751" s="90"/>
      <c r="CR751" s="90"/>
      <c r="CS751" s="90"/>
      <c r="CT751" s="90"/>
      <c r="CU751" s="90"/>
      <c r="CV751" s="90"/>
      <c r="CW751" s="90"/>
    </row>
    <row r="752" ht="16.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0"/>
      <c r="BQ752" s="90"/>
      <c r="BR752" s="90"/>
      <c r="BS752" s="90"/>
      <c r="BT752" s="90"/>
      <c r="BU752" s="90"/>
      <c r="BV752" s="90"/>
      <c r="BW752" s="90"/>
      <c r="BX752" s="90"/>
      <c r="BY752" s="90"/>
      <c r="BZ752" s="90"/>
      <c r="CA752" s="90"/>
      <c r="CB752" s="90"/>
      <c r="CC752" s="90"/>
      <c r="CD752" s="90"/>
      <c r="CE752" s="90"/>
      <c r="CF752" s="90"/>
      <c r="CG752" s="90"/>
      <c r="CH752" s="90"/>
      <c r="CI752" s="90"/>
      <c r="CJ752" s="90"/>
      <c r="CK752" s="90"/>
      <c r="CL752" s="90"/>
      <c r="CM752" s="90"/>
      <c r="CN752" s="90"/>
      <c r="CO752" s="90"/>
      <c r="CP752" s="90"/>
      <c r="CQ752" s="90"/>
      <c r="CR752" s="90"/>
      <c r="CS752" s="90"/>
      <c r="CT752" s="90"/>
      <c r="CU752" s="90"/>
      <c r="CV752" s="90"/>
      <c r="CW752" s="90"/>
    </row>
    <row r="753" ht="16.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H753" s="90"/>
      <c r="BI753" s="90"/>
      <c r="BJ753" s="90"/>
      <c r="BK753" s="90"/>
      <c r="BL753" s="90"/>
      <c r="BM753" s="90"/>
      <c r="BN753" s="90"/>
      <c r="BO753" s="90"/>
      <c r="BP753" s="90"/>
      <c r="BQ753" s="90"/>
      <c r="BR753" s="90"/>
      <c r="BS753" s="90"/>
      <c r="BT753" s="90"/>
      <c r="BU753" s="90"/>
      <c r="BV753" s="90"/>
      <c r="BW753" s="90"/>
      <c r="BX753" s="90"/>
      <c r="BY753" s="90"/>
      <c r="BZ753" s="90"/>
      <c r="CA753" s="90"/>
      <c r="CB753" s="90"/>
      <c r="CC753" s="90"/>
      <c r="CD753" s="90"/>
      <c r="CE753" s="90"/>
      <c r="CF753" s="90"/>
      <c r="CG753" s="90"/>
      <c r="CH753" s="90"/>
      <c r="CI753" s="90"/>
      <c r="CJ753" s="90"/>
      <c r="CK753" s="90"/>
      <c r="CL753" s="90"/>
      <c r="CM753" s="90"/>
      <c r="CN753" s="90"/>
      <c r="CO753" s="90"/>
      <c r="CP753" s="90"/>
      <c r="CQ753" s="90"/>
      <c r="CR753" s="90"/>
      <c r="CS753" s="90"/>
      <c r="CT753" s="90"/>
      <c r="CU753" s="90"/>
      <c r="CV753" s="90"/>
      <c r="CW753" s="90"/>
    </row>
    <row r="754" ht="16.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0"/>
      <c r="BQ754" s="90"/>
      <c r="BR754" s="90"/>
      <c r="BS754" s="90"/>
      <c r="BT754" s="90"/>
      <c r="BU754" s="90"/>
      <c r="BV754" s="90"/>
      <c r="BW754" s="90"/>
      <c r="BX754" s="90"/>
      <c r="BY754" s="90"/>
      <c r="BZ754" s="90"/>
      <c r="CA754" s="90"/>
      <c r="CB754" s="90"/>
      <c r="CC754" s="90"/>
      <c r="CD754" s="90"/>
      <c r="CE754" s="90"/>
      <c r="CF754" s="90"/>
      <c r="CG754" s="90"/>
      <c r="CH754" s="90"/>
      <c r="CI754" s="90"/>
      <c r="CJ754" s="90"/>
      <c r="CK754" s="90"/>
      <c r="CL754" s="90"/>
      <c r="CM754" s="90"/>
      <c r="CN754" s="90"/>
      <c r="CO754" s="90"/>
      <c r="CP754" s="90"/>
      <c r="CQ754" s="90"/>
      <c r="CR754" s="90"/>
      <c r="CS754" s="90"/>
      <c r="CT754" s="90"/>
      <c r="CU754" s="90"/>
      <c r="CV754" s="90"/>
      <c r="CW754" s="90"/>
    </row>
    <row r="755" ht="16.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H755" s="90"/>
      <c r="BI755" s="90"/>
      <c r="BJ755" s="90"/>
      <c r="BK755" s="90"/>
      <c r="BL755" s="90"/>
      <c r="BM755" s="90"/>
      <c r="BN755" s="90"/>
      <c r="BO755" s="90"/>
      <c r="BP755" s="90"/>
      <c r="BQ755" s="90"/>
      <c r="BR755" s="90"/>
      <c r="BS755" s="90"/>
      <c r="BT755" s="90"/>
      <c r="BU755" s="90"/>
      <c r="BV755" s="90"/>
      <c r="BW755" s="90"/>
      <c r="BX755" s="90"/>
      <c r="BY755" s="90"/>
      <c r="BZ755" s="90"/>
      <c r="CA755" s="90"/>
      <c r="CB755" s="90"/>
      <c r="CC755" s="90"/>
      <c r="CD755" s="90"/>
      <c r="CE755" s="90"/>
      <c r="CF755" s="90"/>
      <c r="CG755" s="90"/>
      <c r="CH755" s="90"/>
      <c r="CI755" s="90"/>
      <c r="CJ755" s="90"/>
      <c r="CK755" s="90"/>
      <c r="CL755" s="90"/>
      <c r="CM755" s="90"/>
      <c r="CN755" s="90"/>
      <c r="CO755" s="90"/>
      <c r="CP755" s="90"/>
      <c r="CQ755" s="90"/>
      <c r="CR755" s="90"/>
      <c r="CS755" s="90"/>
      <c r="CT755" s="90"/>
      <c r="CU755" s="90"/>
      <c r="CV755" s="90"/>
      <c r="CW755" s="90"/>
    </row>
    <row r="756" ht="16.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0"/>
      <c r="BQ756" s="90"/>
      <c r="BR756" s="90"/>
      <c r="BS756" s="90"/>
      <c r="BT756" s="90"/>
      <c r="BU756" s="90"/>
      <c r="BV756" s="90"/>
      <c r="BW756" s="90"/>
      <c r="BX756" s="90"/>
      <c r="BY756" s="90"/>
      <c r="BZ756" s="90"/>
      <c r="CA756" s="90"/>
      <c r="CB756" s="90"/>
      <c r="CC756" s="90"/>
      <c r="CD756" s="90"/>
      <c r="CE756" s="90"/>
      <c r="CF756" s="90"/>
      <c r="CG756" s="90"/>
      <c r="CH756" s="90"/>
      <c r="CI756" s="90"/>
      <c r="CJ756" s="90"/>
      <c r="CK756" s="90"/>
      <c r="CL756" s="90"/>
      <c r="CM756" s="90"/>
      <c r="CN756" s="90"/>
      <c r="CO756" s="90"/>
      <c r="CP756" s="90"/>
      <c r="CQ756" s="90"/>
      <c r="CR756" s="90"/>
      <c r="CS756" s="90"/>
      <c r="CT756" s="90"/>
      <c r="CU756" s="90"/>
      <c r="CV756" s="90"/>
      <c r="CW756" s="90"/>
    </row>
    <row r="757" ht="16.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H757" s="90"/>
      <c r="BI757" s="90"/>
      <c r="BJ757" s="90"/>
      <c r="BK757" s="90"/>
      <c r="BL757" s="90"/>
      <c r="BM757" s="90"/>
      <c r="BN757" s="90"/>
      <c r="BO757" s="90"/>
      <c r="BP757" s="90"/>
      <c r="BQ757" s="90"/>
      <c r="BR757" s="90"/>
      <c r="BS757" s="90"/>
      <c r="BT757" s="90"/>
      <c r="BU757" s="90"/>
      <c r="BV757" s="90"/>
      <c r="BW757" s="90"/>
      <c r="BX757" s="90"/>
      <c r="BY757" s="90"/>
      <c r="BZ757" s="90"/>
      <c r="CA757" s="90"/>
      <c r="CB757" s="90"/>
      <c r="CC757" s="90"/>
      <c r="CD757" s="90"/>
      <c r="CE757" s="90"/>
      <c r="CF757" s="90"/>
      <c r="CG757" s="90"/>
      <c r="CH757" s="90"/>
      <c r="CI757" s="90"/>
      <c r="CJ757" s="90"/>
      <c r="CK757" s="90"/>
      <c r="CL757" s="90"/>
      <c r="CM757" s="90"/>
      <c r="CN757" s="90"/>
      <c r="CO757" s="90"/>
      <c r="CP757" s="90"/>
      <c r="CQ757" s="90"/>
      <c r="CR757" s="90"/>
      <c r="CS757" s="90"/>
      <c r="CT757" s="90"/>
      <c r="CU757" s="90"/>
      <c r="CV757" s="90"/>
      <c r="CW757" s="90"/>
    </row>
    <row r="758" ht="16.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0"/>
      <c r="BQ758" s="90"/>
      <c r="BR758" s="90"/>
      <c r="BS758" s="90"/>
      <c r="BT758" s="90"/>
      <c r="BU758" s="90"/>
      <c r="BV758" s="90"/>
      <c r="BW758" s="90"/>
      <c r="BX758" s="90"/>
      <c r="BY758" s="90"/>
      <c r="BZ758" s="90"/>
      <c r="CA758" s="90"/>
      <c r="CB758" s="90"/>
      <c r="CC758" s="90"/>
      <c r="CD758" s="90"/>
      <c r="CE758" s="90"/>
      <c r="CF758" s="90"/>
      <c r="CG758" s="90"/>
      <c r="CH758" s="90"/>
      <c r="CI758" s="90"/>
      <c r="CJ758" s="90"/>
      <c r="CK758" s="90"/>
      <c r="CL758" s="90"/>
      <c r="CM758" s="90"/>
      <c r="CN758" s="90"/>
      <c r="CO758" s="90"/>
      <c r="CP758" s="90"/>
      <c r="CQ758" s="90"/>
      <c r="CR758" s="90"/>
      <c r="CS758" s="90"/>
      <c r="CT758" s="90"/>
      <c r="CU758" s="90"/>
      <c r="CV758" s="90"/>
      <c r="CW758" s="90"/>
    </row>
    <row r="759" ht="16.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H759" s="90"/>
      <c r="BI759" s="90"/>
      <c r="BJ759" s="90"/>
      <c r="BK759" s="90"/>
      <c r="BL759" s="90"/>
      <c r="BM759" s="90"/>
      <c r="BN759" s="90"/>
      <c r="BO759" s="90"/>
      <c r="BP759" s="90"/>
      <c r="BQ759" s="90"/>
      <c r="BR759" s="90"/>
      <c r="BS759" s="90"/>
      <c r="BT759" s="90"/>
      <c r="BU759" s="90"/>
      <c r="BV759" s="90"/>
      <c r="BW759" s="90"/>
      <c r="BX759" s="90"/>
      <c r="BY759" s="90"/>
      <c r="BZ759" s="90"/>
      <c r="CA759" s="90"/>
      <c r="CB759" s="90"/>
      <c r="CC759" s="90"/>
      <c r="CD759" s="90"/>
      <c r="CE759" s="90"/>
      <c r="CF759" s="90"/>
      <c r="CG759" s="90"/>
      <c r="CH759" s="90"/>
      <c r="CI759" s="90"/>
      <c r="CJ759" s="90"/>
      <c r="CK759" s="90"/>
      <c r="CL759" s="90"/>
      <c r="CM759" s="90"/>
      <c r="CN759" s="90"/>
      <c r="CO759" s="90"/>
      <c r="CP759" s="90"/>
      <c r="CQ759" s="90"/>
      <c r="CR759" s="90"/>
      <c r="CS759" s="90"/>
      <c r="CT759" s="90"/>
      <c r="CU759" s="90"/>
      <c r="CV759" s="90"/>
      <c r="CW759" s="90"/>
    </row>
    <row r="760" ht="16.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0"/>
      <c r="BQ760" s="90"/>
      <c r="BR760" s="90"/>
      <c r="BS760" s="90"/>
      <c r="BT760" s="90"/>
      <c r="BU760" s="90"/>
      <c r="BV760" s="90"/>
      <c r="BW760" s="90"/>
      <c r="BX760" s="90"/>
      <c r="BY760" s="90"/>
      <c r="BZ760" s="90"/>
      <c r="CA760" s="90"/>
      <c r="CB760" s="90"/>
      <c r="CC760" s="90"/>
      <c r="CD760" s="90"/>
      <c r="CE760" s="90"/>
      <c r="CF760" s="90"/>
      <c r="CG760" s="90"/>
      <c r="CH760" s="90"/>
      <c r="CI760" s="90"/>
      <c r="CJ760" s="90"/>
      <c r="CK760" s="90"/>
      <c r="CL760" s="90"/>
      <c r="CM760" s="90"/>
      <c r="CN760" s="90"/>
      <c r="CO760" s="90"/>
      <c r="CP760" s="90"/>
      <c r="CQ760" s="90"/>
      <c r="CR760" s="90"/>
      <c r="CS760" s="90"/>
      <c r="CT760" s="90"/>
      <c r="CU760" s="90"/>
      <c r="CV760" s="90"/>
      <c r="CW760" s="90"/>
    </row>
    <row r="761" ht="16.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H761" s="90"/>
      <c r="BI761" s="90"/>
      <c r="BJ761" s="90"/>
      <c r="BK761" s="90"/>
      <c r="BL761" s="90"/>
      <c r="BM761" s="90"/>
      <c r="BN761" s="90"/>
      <c r="BO761" s="90"/>
      <c r="BP761" s="90"/>
      <c r="BQ761" s="90"/>
      <c r="BR761" s="90"/>
      <c r="BS761" s="90"/>
      <c r="BT761" s="90"/>
      <c r="BU761" s="90"/>
      <c r="BV761" s="90"/>
      <c r="BW761" s="90"/>
      <c r="BX761" s="90"/>
      <c r="BY761" s="90"/>
      <c r="BZ761" s="90"/>
      <c r="CA761" s="90"/>
      <c r="CB761" s="90"/>
      <c r="CC761" s="90"/>
      <c r="CD761" s="90"/>
      <c r="CE761" s="90"/>
      <c r="CF761" s="90"/>
      <c r="CG761" s="90"/>
      <c r="CH761" s="90"/>
      <c r="CI761" s="90"/>
      <c r="CJ761" s="90"/>
      <c r="CK761" s="90"/>
      <c r="CL761" s="90"/>
      <c r="CM761" s="90"/>
      <c r="CN761" s="90"/>
      <c r="CO761" s="90"/>
      <c r="CP761" s="90"/>
      <c r="CQ761" s="90"/>
      <c r="CR761" s="90"/>
      <c r="CS761" s="90"/>
      <c r="CT761" s="90"/>
      <c r="CU761" s="90"/>
      <c r="CV761" s="90"/>
      <c r="CW761" s="90"/>
    </row>
    <row r="762" ht="16.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0"/>
      <c r="BQ762" s="90"/>
      <c r="BR762" s="90"/>
      <c r="BS762" s="90"/>
      <c r="BT762" s="90"/>
      <c r="BU762" s="90"/>
      <c r="BV762" s="90"/>
      <c r="BW762" s="90"/>
      <c r="BX762" s="90"/>
      <c r="BY762" s="90"/>
      <c r="BZ762" s="90"/>
      <c r="CA762" s="90"/>
      <c r="CB762" s="90"/>
      <c r="CC762" s="90"/>
      <c r="CD762" s="90"/>
      <c r="CE762" s="90"/>
      <c r="CF762" s="90"/>
      <c r="CG762" s="90"/>
      <c r="CH762" s="90"/>
      <c r="CI762" s="90"/>
      <c r="CJ762" s="90"/>
      <c r="CK762" s="90"/>
      <c r="CL762" s="90"/>
      <c r="CM762" s="90"/>
      <c r="CN762" s="90"/>
      <c r="CO762" s="90"/>
      <c r="CP762" s="90"/>
      <c r="CQ762" s="90"/>
      <c r="CR762" s="90"/>
      <c r="CS762" s="90"/>
      <c r="CT762" s="90"/>
      <c r="CU762" s="90"/>
      <c r="CV762" s="90"/>
      <c r="CW762" s="90"/>
    </row>
    <row r="763" ht="16.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H763" s="90"/>
      <c r="BI763" s="90"/>
      <c r="BJ763" s="90"/>
      <c r="BK763" s="90"/>
      <c r="BL763" s="90"/>
      <c r="BM763" s="90"/>
      <c r="BN763" s="90"/>
      <c r="BO763" s="90"/>
      <c r="BP763" s="90"/>
      <c r="BQ763" s="90"/>
      <c r="BR763" s="90"/>
      <c r="BS763" s="90"/>
      <c r="BT763" s="90"/>
      <c r="BU763" s="90"/>
      <c r="BV763" s="90"/>
      <c r="BW763" s="90"/>
      <c r="BX763" s="90"/>
      <c r="BY763" s="90"/>
      <c r="BZ763" s="90"/>
      <c r="CA763" s="90"/>
      <c r="CB763" s="90"/>
      <c r="CC763" s="90"/>
      <c r="CD763" s="90"/>
      <c r="CE763" s="90"/>
      <c r="CF763" s="90"/>
      <c r="CG763" s="90"/>
      <c r="CH763" s="90"/>
      <c r="CI763" s="90"/>
      <c r="CJ763" s="90"/>
      <c r="CK763" s="90"/>
      <c r="CL763" s="90"/>
      <c r="CM763" s="90"/>
      <c r="CN763" s="90"/>
      <c r="CO763" s="90"/>
      <c r="CP763" s="90"/>
      <c r="CQ763" s="90"/>
      <c r="CR763" s="90"/>
      <c r="CS763" s="90"/>
      <c r="CT763" s="90"/>
      <c r="CU763" s="90"/>
      <c r="CV763" s="90"/>
      <c r="CW763" s="90"/>
    </row>
    <row r="764" ht="16.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0"/>
      <c r="BQ764" s="90"/>
      <c r="BR764" s="90"/>
      <c r="BS764" s="90"/>
      <c r="BT764" s="90"/>
      <c r="BU764" s="90"/>
      <c r="BV764" s="90"/>
      <c r="BW764" s="90"/>
      <c r="BX764" s="90"/>
      <c r="BY764" s="90"/>
      <c r="BZ764" s="90"/>
      <c r="CA764" s="90"/>
      <c r="CB764" s="90"/>
      <c r="CC764" s="90"/>
      <c r="CD764" s="90"/>
      <c r="CE764" s="90"/>
      <c r="CF764" s="90"/>
      <c r="CG764" s="90"/>
      <c r="CH764" s="90"/>
      <c r="CI764" s="90"/>
      <c r="CJ764" s="90"/>
      <c r="CK764" s="90"/>
      <c r="CL764" s="90"/>
      <c r="CM764" s="90"/>
      <c r="CN764" s="90"/>
      <c r="CO764" s="90"/>
      <c r="CP764" s="90"/>
      <c r="CQ764" s="90"/>
      <c r="CR764" s="90"/>
      <c r="CS764" s="90"/>
      <c r="CT764" s="90"/>
      <c r="CU764" s="90"/>
      <c r="CV764" s="90"/>
      <c r="CW764" s="90"/>
    </row>
    <row r="765" ht="16.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H765" s="90"/>
      <c r="BI765" s="90"/>
      <c r="BJ765" s="90"/>
      <c r="BK765" s="90"/>
      <c r="BL765" s="90"/>
      <c r="BM765" s="90"/>
      <c r="BN765" s="90"/>
      <c r="BO765" s="90"/>
      <c r="BP765" s="90"/>
      <c r="BQ765" s="90"/>
      <c r="BR765" s="90"/>
      <c r="BS765" s="90"/>
      <c r="BT765" s="90"/>
      <c r="BU765" s="90"/>
      <c r="BV765" s="90"/>
      <c r="BW765" s="90"/>
      <c r="BX765" s="90"/>
      <c r="BY765" s="90"/>
      <c r="BZ765" s="90"/>
      <c r="CA765" s="90"/>
      <c r="CB765" s="90"/>
      <c r="CC765" s="90"/>
      <c r="CD765" s="90"/>
      <c r="CE765" s="90"/>
      <c r="CF765" s="90"/>
      <c r="CG765" s="90"/>
      <c r="CH765" s="90"/>
      <c r="CI765" s="90"/>
      <c r="CJ765" s="90"/>
      <c r="CK765" s="90"/>
      <c r="CL765" s="90"/>
      <c r="CM765" s="90"/>
      <c r="CN765" s="90"/>
      <c r="CO765" s="90"/>
      <c r="CP765" s="90"/>
      <c r="CQ765" s="90"/>
      <c r="CR765" s="90"/>
      <c r="CS765" s="90"/>
      <c r="CT765" s="90"/>
      <c r="CU765" s="90"/>
      <c r="CV765" s="90"/>
      <c r="CW765" s="90"/>
    </row>
    <row r="766" ht="16.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0"/>
      <c r="BQ766" s="90"/>
      <c r="BR766" s="90"/>
      <c r="BS766" s="90"/>
      <c r="BT766" s="90"/>
      <c r="BU766" s="90"/>
      <c r="BV766" s="90"/>
      <c r="BW766" s="90"/>
      <c r="BX766" s="90"/>
      <c r="BY766" s="90"/>
      <c r="BZ766" s="90"/>
      <c r="CA766" s="90"/>
      <c r="CB766" s="90"/>
      <c r="CC766" s="90"/>
      <c r="CD766" s="90"/>
      <c r="CE766" s="90"/>
      <c r="CF766" s="90"/>
      <c r="CG766" s="90"/>
      <c r="CH766" s="90"/>
      <c r="CI766" s="90"/>
      <c r="CJ766" s="90"/>
      <c r="CK766" s="90"/>
      <c r="CL766" s="90"/>
      <c r="CM766" s="90"/>
      <c r="CN766" s="90"/>
      <c r="CO766" s="90"/>
      <c r="CP766" s="90"/>
      <c r="CQ766" s="90"/>
      <c r="CR766" s="90"/>
      <c r="CS766" s="90"/>
      <c r="CT766" s="90"/>
      <c r="CU766" s="90"/>
      <c r="CV766" s="90"/>
      <c r="CW766" s="90"/>
    </row>
    <row r="767" ht="16.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H767" s="90"/>
      <c r="BI767" s="90"/>
      <c r="BJ767" s="90"/>
      <c r="BK767" s="90"/>
      <c r="BL767" s="90"/>
      <c r="BM767" s="90"/>
      <c r="BN767" s="90"/>
      <c r="BO767" s="90"/>
      <c r="BP767" s="90"/>
      <c r="BQ767" s="90"/>
      <c r="BR767" s="90"/>
      <c r="BS767" s="90"/>
      <c r="BT767" s="90"/>
      <c r="BU767" s="90"/>
      <c r="BV767" s="90"/>
      <c r="BW767" s="90"/>
      <c r="BX767" s="90"/>
      <c r="BY767" s="90"/>
      <c r="BZ767" s="90"/>
      <c r="CA767" s="90"/>
      <c r="CB767" s="90"/>
      <c r="CC767" s="90"/>
      <c r="CD767" s="90"/>
      <c r="CE767" s="90"/>
      <c r="CF767" s="90"/>
      <c r="CG767" s="90"/>
      <c r="CH767" s="90"/>
      <c r="CI767" s="90"/>
      <c r="CJ767" s="90"/>
      <c r="CK767" s="90"/>
      <c r="CL767" s="90"/>
      <c r="CM767" s="90"/>
      <c r="CN767" s="90"/>
      <c r="CO767" s="90"/>
      <c r="CP767" s="90"/>
      <c r="CQ767" s="90"/>
      <c r="CR767" s="90"/>
      <c r="CS767" s="90"/>
      <c r="CT767" s="90"/>
      <c r="CU767" s="90"/>
      <c r="CV767" s="90"/>
      <c r="CW767" s="90"/>
    </row>
    <row r="768" ht="16.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0"/>
      <c r="BQ768" s="90"/>
      <c r="BR768" s="90"/>
      <c r="BS768" s="90"/>
      <c r="BT768" s="90"/>
      <c r="BU768" s="90"/>
      <c r="BV768" s="90"/>
      <c r="BW768" s="90"/>
      <c r="BX768" s="90"/>
      <c r="BY768" s="90"/>
      <c r="BZ768" s="90"/>
      <c r="CA768" s="90"/>
      <c r="CB768" s="90"/>
      <c r="CC768" s="90"/>
      <c r="CD768" s="90"/>
      <c r="CE768" s="90"/>
      <c r="CF768" s="90"/>
      <c r="CG768" s="90"/>
      <c r="CH768" s="90"/>
      <c r="CI768" s="90"/>
      <c r="CJ768" s="90"/>
      <c r="CK768" s="90"/>
      <c r="CL768" s="90"/>
      <c r="CM768" s="90"/>
      <c r="CN768" s="90"/>
      <c r="CO768" s="90"/>
      <c r="CP768" s="90"/>
      <c r="CQ768" s="90"/>
      <c r="CR768" s="90"/>
      <c r="CS768" s="90"/>
      <c r="CT768" s="90"/>
      <c r="CU768" s="90"/>
      <c r="CV768" s="90"/>
      <c r="CW768" s="90"/>
    </row>
    <row r="769" ht="16.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H769" s="90"/>
      <c r="BI769" s="90"/>
      <c r="BJ769" s="90"/>
      <c r="BK769" s="90"/>
      <c r="BL769" s="90"/>
      <c r="BM769" s="90"/>
      <c r="BN769" s="90"/>
      <c r="BO769" s="90"/>
      <c r="BP769" s="90"/>
      <c r="BQ769" s="90"/>
      <c r="BR769" s="90"/>
      <c r="BS769" s="90"/>
      <c r="BT769" s="90"/>
      <c r="BU769" s="90"/>
      <c r="BV769" s="90"/>
      <c r="BW769" s="90"/>
      <c r="BX769" s="90"/>
      <c r="BY769" s="90"/>
      <c r="BZ769" s="90"/>
      <c r="CA769" s="90"/>
      <c r="CB769" s="90"/>
      <c r="CC769" s="90"/>
      <c r="CD769" s="90"/>
      <c r="CE769" s="90"/>
      <c r="CF769" s="90"/>
      <c r="CG769" s="90"/>
      <c r="CH769" s="90"/>
      <c r="CI769" s="90"/>
      <c r="CJ769" s="90"/>
      <c r="CK769" s="90"/>
      <c r="CL769" s="90"/>
      <c r="CM769" s="90"/>
      <c r="CN769" s="90"/>
      <c r="CO769" s="90"/>
      <c r="CP769" s="90"/>
      <c r="CQ769" s="90"/>
      <c r="CR769" s="90"/>
      <c r="CS769" s="90"/>
      <c r="CT769" s="90"/>
      <c r="CU769" s="90"/>
      <c r="CV769" s="90"/>
      <c r="CW769" s="90"/>
    </row>
    <row r="770" ht="16.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0"/>
      <c r="BQ770" s="90"/>
      <c r="BR770" s="90"/>
      <c r="BS770" s="90"/>
      <c r="BT770" s="90"/>
      <c r="BU770" s="90"/>
      <c r="BV770" s="90"/>
      <c r="BW770" s="90"/>
      <c r="BX770" s="90"/>
      <c r="BY770" s="90"/>
      <c r="BZ770" s="90"/>
      <c r="CA770" s="90"/>
      <c r="CB770" s="90"/>
      <c r="CC770" s="90"/>
      <c r="CD770" s="90"/>
      <c r="CE770" s="90"/>
      <c r="CF770" s="90"/>
      <c r="CG770" s="90"/>
      <c r="CH770" s="90"/>
      <c r="CI770" s="90"/>
      <c r="CJ770" s="90"/>
      <c r="CK770" s="90"/>
      <c r="CL770" s="90"/>
      <c r="CM770" s="90"/>
      <c r="CN770" s="90"/>
      <c r="CO770" s="90"/>
      <c r="CP770" s="90"/>
      <c r="CQ770" s="90"/>
      <c r="CR770" s="90"/>
      <c r="CS770" s="90"/>
      <c r="CT770" s="90"/>
      <c r="CU770" s="90"/>
      <c r="CV770" s="90"/>
      <c r="CW770" s="90"/>
    </row>
    <row r="771" ht="16.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H771" s="90"/>
      <c r="BI771" s="90"/>
      <c r="BJ771" s="90"/>
      <c r="BK771" s="90"/>
      <c r="BL771" s="90"/>
      <c r="BM771" s="90"/>
      <c r="BN771" s="90"/>
      <c r="BO771" s="90"/>
      <c r="BP771" s="90"/>
      <c r="BQ771" s="90"/>
      <c r="BR771" s="90"/>
      <c r="BS771" s="90"/>
      <c r="BT771" s="90"/>
      <c r="BU771" s="90"/>
      <c r="BV771" s="90"/>
      <c r="BW771" s="90"/>
      <c r="BX771" s="90"/>
      <c r="BY771" s="90"/>
      <c r="BZ771" s="90"/>
      <c r="CA771" s="90"/>
      <c r="CB771" s="90"/>
      <c r="CC771" s="90"/>
      <c r="CD771" s="90"/>
      <c r="CE771" s="90"/>
      <c r="CF771" s="90"/>
      <c r="CG771" s="90"/>
      <c r="CH771" s="90"/>
      <c r="CI771" s="90"/>
      <c r="CJ771" s="90"/>
      <c r="CK771" s="90"/>
      <c r="CL771" s="90"/>
      <c r="CM771" s="90"/>
      <c r="CN771" s="90"/>
      <c r="CO771" s="90"/>
      <c r="CP771" s="90"/>
      <c r="CQ771" s="90"/>
      <c r="CR771" s="90"/>
      <c r="CS771" s="90"/>
      <c r="CT771" s="90"/>
      <c r="CU771" s="90"/>
      <c r="CV771" s="90"/>
      <c r="CW771" s="90"/>
    </row>
    <row r="772" ht="16.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0"/>
      <c r="BQ772" s="90"/>
      <c r="BR772" s="90"/>
      <c r="BS772" s="90"/>
      <c r="BT772" s="90"/>
      <c r="BU772" s="90"/>
      <c r="BV772" s="90"/>
      <c r="BW772" s="90"/>
      <c r="BX772" s="90"/>
      <c r="BY772" s="90"/>
      <c r="BZ772" s="90"/>
      <c r="CA772" s="90"/>
      <c r="CB772" s="90"/>
      <c r="CC772" s="90"/>
      <c r="CD772" s="90"/>
      <c r="CE772" s="90"/>
      <c r="CF772" s="90"/>
      <c r="CG772" s="90"/>
      <c r="CH772" s="90"/>
      <c r="CI772" s="90"/>
      <c r="CJ772" s="90"/>
      <c r="CK772" s="90"/>
      <c r="CL772" s="90"/>
      <c r="CM772" s="90"/>
      <c r="CN772" s="90"/>
      <c r="CO772" s="90"/>
      <c r="CP772" s="90"/>
      <c r="CQ772" s="90"/>
      <c r="CR772" s="90"/>
      <c r="CS772" s="90"/>
      <c r="CT772" s="90"/>
      <c r="CU772" s="90"/>
      <c r="CV772" s="90"/>
      <c r="CW772" s="90"/>
    </row>
    <row r="773" ht="16.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H773" s="90"/>
      <c r="BI773" s="90"/>
      <c r="BJ773" s="90"/>
      <c r="BK773" s="90"/>
      <c r="BL773" s="90"/>
      <c r="BM773" s="90"/>
      <c r="BN773" s="90"/>
      <c r="BO773" s="90"/>
      <c r="BP773" s="90"/>
      <c r="BQ773" s="90"/>
      <c r="BR773" s="90"/>
      <c r="BS773" s="90"/>
      <c r="BT773" s="90"/>
      <c r="BU773" s="90"/>
      <c r="BV773" s="90"/>
      <c r="BW773" s="90"/>
      <c r="BX773" s="90"/>
      <c r="BY773" s="90"/>
      <c r="BZ773" s="90"/>
      <c r="CA773" s="90"/>
      <c r="CB773" s="90"/>
      <c r="CC773" s="90"/>
      <c r="CD773" s="90"/>
      <c r="CE773" s="90"/>
      <c r="CF773" s="90"/>
      <c r="CG773" s="90"/>
      <c r="CH773" s="90"/>
      <c r="CI773" s="90"/>
      <c r="CJ773" s="90"/>
      <c r="CK773" s="90"/>
      <c r="CL773" s="90"/>
      <c r="CM773" s="90"/>
      <c r="CN773" s="90"/>
      <c r="CO773" s="90"/>
      <c r="CP773" s="90"/>
      <c r="CQ773" s="90"/>
      <c r="CR773" s="90"/>
      <c r="CS773" s="90"/>
      <c r="CT773" s="90"/>
      <c r="CU773" s="90"/>
      <c r="CV773" s="90"/>
      <c r="CW773" s="90"/>
    </row>
    <row r="774" ht="16.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0"/>
      <c r="BQ774" s="90"/>
      <c r="BR774" s="90"/>
      <c r="BS774" s="90"/>
      <c r="BT774" s="90"/>
      <c r="BU774" s="90"/>
      <c r="BV774" s="90"/>
      <c r="BW774" s="90"/>
      <c r="BX774" s="90"/>
      <c r="BY774" s="90"/>
      <c r="BZ774" s="90"/>
      <c r="CA774" s="90"/>
      <c r="CB774" s="90"/>
      <c r="CC774" s="90"/>
      <c r="CD774" s="90"/>
      <c r="CE774" s="90"/>
      <c r="CF774" s="90"/>
      <c r="CG774" s="90"/>
      <c r="CH774" s="90"/>
      <c r="CI774" s="90"/>
      <c r="CJ774" s="90"/>
      <c r="CK774" s="90"/>
      <c r="CL774" s="90"/>
      <c r="CM774" s="90"/>
      <c r="CN774" s="90"/>
      <c r="CO774" s="90"/>
      <c r="CP774" s="90"/>
      <c r="CQ774" s="90"/>
      <c r="CR774" s="90"/>
      <c r="CS774" s="90"/>
      <c r="CT774" s="90"/>
      <c r="CU774" s="90"/>
      <c r="CV774" s="90"/>
      <c r="CW774" s="90"/>
    </row>
    <row r="775" ht="16.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H775" s="90"/>
      <c r="BI775" s="90"/>
      <c r="BJ775" s="90"/>
      <c r="BK775" s="90"/>
      <c r="BL775" s="90"/>
      <c r="BM775" s="90"/>
      <c r="BN775" s="90"/>
      <c r="BO775" s="90"/>
      <c r="BP775" s="90"/>
      <c r="BQ775" s="90"/>
      <c r="BR775" s="90"/>
      <c r="BS775" s="90"/>
      <c r="BT775" s="90"/>
      <c r="BU775" s="90"/>
      <c r="BV775" s="90"/>
      <c r="BW775" s="90"/>
      <c r="BX775" s="90"/>
      <c r="BY775" s="90"/>
      <c r="BZ775" s="90"/>
      <c r="CA775" s="90"/>
      <c r="CB775" s="90"/>
      <c r="CC775" s="90"/>
      <c r="CD775" s="90"/>
      <c r="CE775" s="90"/>
      <c r="CF775" s="90"/>
      <c r="CG775" s="90"/>
      <c r="CH775" s="90"/>
      <c r="CI775" s="90"/>
      <c r="CJ775" s="90"/>
      <c r="CK775" s="90"/>
      <c r="CL775" s="90"/>
      <c r="CM775" s="90"/>
      <c r="CN775" s="90"/>
      <c r="CO775" s="90"/>
      <c r="CP775" s="90"/>
      <c r="CQ775" s="90"/>
      <c r="CR775" s="90"/>
      <c r="CS775" s="90"/>
      <c r="CT775" s="90"/>
      <c r="CU775" s="90"/>
      <c r="CV775" s="90"/>
      <c r="CW775" s="90"/>
    </row>
    <row r="776" ht="16.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0"/>
      <c r="BQ776" s="90"/>
      <c r="BR776" s="90"/>
      <c r="BS776" s="90"/>
      <c r="BT776" s="90"/>
      <c r="BU776" s="90"/>
      <c r="BV776" s="90"/>
      <c r="BW776" s="90"/>
      <c r="BX776" s="90"/>
      <c r="BY776" s="90"/>
      <c r="BZ776" s="90"/>
      <c r="CA776" s="90"/>
      <c r="CB776" s="90"/>
      <c r="CC776" s="90"/>
      <c r="CD776" s="90"/>
      <c r="CE776" s="90"/>
      <c r="CF776" s="90"/>
      <c r="CG776" s="90"/>
      <c r="CH776" s="90"/>
      <c r="CI776" s="90"/>
      <c r="CJ776" s="90"/>
      <c r="CK776" s="90"/>
      <c r="CL776" s="90"/>
      <c r="CM776" s="90"/>
      <c r="CN776" s="90"/>
      <c r="CO776" s="90"/>
      <c r="CP776" s="90"/>
      <c r="CQ776" s="90"/>
      <c r="CR776" s="90"/>
      <c r="CS776" s="90"/>
      <c r="CT776" s="90"/>
      <c r="CU776" s="90"/>
      <c r="CV776" s="90"/>
      <c r="CW776" s="90"/>
    </row>
    <row r="777" ht="16.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H777" s="90"/>
      <c r="BI777" s="90"/>
      <c r="BJ777" s="90"/>
      <c r="BK777" s="90"/>
      <c r="BL777" s="90"/>
      <c r="BM777" s="90"/>
      <c r="BN777" s="90"/>
      <c r="BO777" s="90"/>
      <c r="BP777" s="90"/>
      <c r="BQ777" s="90"/>
      <c r="BR777" s="90"/>
      <c r="BS777" s="90"/>
      <c r="BT777" s="90"/>
      <c r="BU777" s="90"/>
      <c r="BV777" s="90"/>
      <c r="BW777" s="90"/>
      <c r="BX777" s="90"/>
      <c r="BY777" s="90"/>
      <c r="BZ777" s="90"/>
      <c r="CA777" s="90"/>
      <c r="CB777" s="90"/>
      <c r="CC777" s="90"/>
      <c r="CD777" s="90"/>
      <c r="CE777" s="90"/>
      <c r="CF777" s="90"/>
      <c r="CG777" s="90"/>
      <c r="CH777" s="90"/>
      <c r="CI777" s="90"/>
      <c r="CJ777" s="90"/>
      <c r="CK777" s="90"/>
      <c r="CL777" s="90"/>
      <c r="CM777" s="90"/>
      <c r="CN777" s="90"/>
      <c r="CO777" s="90"/>
      <c r="CP777" s="90"/>
      <c r="CQ777" s="90"/>
      <c r="CR777" s="90"/>
      <c r="CS777" s="90"/>
      <c r="CT777" s="90"/>
      <c r="CU777" s="90"/>
      <c r="CV777" s="90"/>
      <c r="CW777" s="90"/>
    </row>
    <row r="778" ht="16.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0"/>
      <c r="BQ778" s="90"/>
      <c r="BR778" s="90"/>
      <c r="BS778" s="90"/>
      <c r="BT778" s="90"/>
      <c r="BU778" s="90"/>
      <c r="BV778" s="90"/>
      <c r="BW778" s="90"/>
      <c r="BX778" s="90"/>
      <c r="BY778" s="90"/>
      <c r="BZ778" s="90"/>
      <c r="CA778" s="90"/>
      <c r="CB778" s="90"/>
      <c r="CC778" s="90"/>
      <c r="CD778" s="90"/>
      <c r="CE778" s="90"/>
      <c r="CF778" s="90"/>
      <c r="CG778" s="90"/>
      <c r="CH778" s="90"/>
      <c r="CI778" s="90"/>
      <c r="CJ778" s="90"/>
      <c r="CK778" s="90"/>
      <c r="CL778" s="90"/>
      <c r="CM778" s="90"/>
      <c r="CN778" s="90"/>
      <c r="CO778" s="90"/>
      <c r="CP778" s="90"/>
      <c r="CQ778" s="90"/>
      <c r="CR778" s="90"/>
      <c r="CS778" s="90"/>
      <c r="CT778" s="90"/>
      <c r="CU778" s="90"/>
      <c r="CV778" s="90"/>
      <c r="CW778" s="90"/>
    </row>
    <row r="779" ht="16.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H779" s="90"/>
      <c r="BI779" s="90"/>
      <c r="BJ779" s="90"/>
      <c r="BK779" s="90"/>
      <c r="BL779" s="90"/>
      <c r="BM779" s="90"/>
      <c r="BN779" s="90"/>
      <c r="BO779" s="90"/>
      <c r="BP779" s="90"/>
      <c r="BQ779" s="90"/>
      <c r="BR779" s="90"/>
      <c r="BS779" s="90"/>
      <c r="BT779" s="90"/>
      <c r="BU779" s="90"/>
      <c r="BV779" s="90"/>
      <c r="BW779" s="90"/>
      <c r="BX779" s="90"/>
      <c r="BY779" s="90"/>
      <c r="BZ779" s="90"/>
      <c r="CA779" s="90"/>
      <c r="CB779" s="90"/>
      <c r="CC779" s="90"/>
      <c r="CD779" s="90"/>
      <c r="CE779" s="90"/>
      <c r="CF779" s="90"/>
      <c r="CG779" s="90"/>
      <c r="CH779" s="90"/>
      <c r="CI779" s="90"/>
      <c r="CJ779" s="90"/>
      <c r="CK779" s="90"/>
      <c r="CL779" s="90"/>
      <c r="CM779" s="90"/>
      <c r="CN779" s="90"/>
      <c r="CO779" s="90"/>
      <c r="CP779" s="90"/>
      <c r="CQ779" s="90"/>
      <c r="CR779" s="90"/>
      <c r="CS779" s="90"/>
      <c r="CT779" s="90"/>
      <c r="CU779" s="90"/>
      <c r="CV779" s="90"/>
      <c r="CW779" s="90"/>
    </row>
    <row r="780" ht="16.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0"/>
      <c r="BQ780" s="90"/>
      <c r="BR780" s="90"/>
      <c r="BS780" s="90"/>
      <c r="BT780" s="90"/>
      <c r="BU780" s="90"/>
      <c r="BV780" s="90"/>
      <c r="BW780" s="90"/>
      <c r="BX780" s="90"/>
      <c r="BY780" s="90"/>
      <c r="BZ780" s="90"/>
      <c r="CA780" s="90"/>
      <c r="CB780" s="90"/>
      <c r="CC780" s="90"/>
      <c r="CD780" s="90"/>
      <c r="CE780" s="90"/>
      <c r="CF780" s="90"/>
      <c r="CG780" s="90"/>
      <c r="CH780" s="90"/>
      <c r="CI780" s="90"/>
      <c r="CJ780" s="90"/>
      <c r="CK780" s="90"/>
      <c r="CL780" s="90"/>
      <c r="CM780" s="90"/>
      <c r="CN780" s="90"/>
      <c r="CO780" s="90"/>
      <c r="CP780" s="90"/>
      <c r="CQ780" s="90"/>
      <c r="CR780" s="90"/>
      <c r="CS780" s="90"/>
      <c r="CT780" s="90"/>
      <c r="CU780" s="90"/>
      <c r="CV780" s="90"/>
      <c r="CW780" s="90"/>
    </row>
    <row r="781" ht="16.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H781" s="90"/>
      <c r="BI781" s="90"/>
      <c r="BJ781" s="90"/>
      <c r="BK781" s="90"/>
      <c r="BL781" s="90"/>
      <c r="BM781" s="90"/>
      <c r="BN781" s="90"/>
      <c r="BO781" s="90"/>
      <c r="BP781" s="90"/>
      <c r="BQ781" s="90"/>
      <c r="BR781" s="90"/>
      <c r="BS781" s="90"/>
      <c r="BT781" s="90"/>
      <c r="BU781" s="90"/>
      <c r="BV781" s="90"/>
      <c r="BW781" s="90"/>
      <c r="BX781" s="90"/>
      <c r="BY781" s="90"/>
      <c r="BZ781" s="90"/>
      <c r="CA781" s="90"/>
      <c r="CB781" s="90"/>
      <c r="CC781" s="90"/>
      <c r="CD781" s="90"/>
      <c r="CE781" s="90"/>
      <c r="CF781" s="90"/>
      <c r="CG781" s="90"/>
      <c r="CH781" s="90"/>
      <c r="CI781" s="90"/>
      <c r="CJ781" s="90"/>
      <c r="CK781" s="90"/>
      <c r="CL781" s="90"/>
      <c r="CM781" s="90"/>
      <c r="CN781" s="90"/>
      <c r="CO781" s="90"/>
      <c r="CP781" s="90"/>
      <c r="CQ781" s="90"/>
      <c r="CR781" s="90"/>
      <c r="CS781" s="90"/>
      <c r="CT781" s="90"/>
      <c r="CU781" s="90"/>
      <c r="CV781" s="90"/>
      <c r="CW781" s="90"/>
    </row>
    <row r="782" ht="16.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0"/>
      <c r="BQ782" s="90"/>
      <c r="BR782" s="90"/>
      <c r="BS782" s="90"/>
      <c r="BT782" s="90"/>
      <c r="BU782" s="90"/>
      <c r="BV782" s="90"/>
      <c r="BW782" s="90"/>
      <c r="BX782" s="90"/>
      <c r="BY782" s="90"/>
      <c r="BZ782" s="90"/>
      <c r="CA782" s="90"/>
      <c r="CB782" s="90"/>
      <c r="CC782" s="90"/>
      <c r="CD782" s="90"/>
      <c r="CE782" s="90"/>
      <c r="CF782" s="90"/>
      <c r="CG782" s="90"/>
      <c r="CH782" s="90"/>
      <c r="CI782" s="90"/>
      <c r="CJ782" s="90"/>
      <c r="CK782" s="90"/>
      <c r="CL782" s="90"/>
      <c r="CM782" s="90"/>
      <c r="CN782" s="90"/>
      <c r="CO782" s="90"/>
      <c r="CP782" s="90"/>
      <c r="CQ782" s="90"/>
      <c r="CR782" s="90"/>
      <c r="CS782" s="90"/>
      <c r="CT782" s="90"/>
      <c r="CU782" s="90"/>
      <c r="CV782" s="90"/>
      <c r="CW782" s="90"/>
    </row>
    <row r="783" ht="16.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H783" s="90"/>
      <c r="BI783" s="90"/>
      <c r="BJ783" s="90"/>
      <c r="BK783" s="90"/>
      <c r="BL783" s="90"/>
      <c r="BM783" s="90"/>
      <c r="BN783" s="90"/>
      <c r="BO783" s="90"/>
      <c r="BP783" s="90"/>
      <c r="BQ783" s="90"/>
      <c r="BR783" s="90"/>
      <c r="BS783" s="90"/>
      <c r="BT783" s="90"/>
      <c r="BU783" s="90"/>
      <c r="BV783" s="90"/>
      <c r="BW783" s="90"/>
      <c r="BX783" s="90"/>
      <c r="BY783" s="90"/>
      <c r="BZ783" s="90"/>
      <c r="CA783" s="90"/>
      <c r="CB783" s="90"/>
      <c r="CC783" s="90"/>
      <c r="CD783" s="90"/>
      <c r="CE783" s="90"/>
      <c r="CF783" s="90"/>
      <c r="CG783" s="90"/>
      <c r="CH783" s="90"/>
      <c r="CI783" s="90"/>
      <c r="CJ783" s="90"/>
      <c r="CK783" s="90"/>
      <c r="CL783" s="90"/>
      <c r="CM783" s="90"/>
      <c r="CN783" s="90"/>
      <c r="CO783" s="90"/>
      <c r="CP783" s="90"/>
      <c r="CQ783" s="90"/>
      <c r="CR783" s="90"/>
      <c r="CS783" s="90"/>
      <c r="CT783" s="90"/>
      <c r="CU783" s="90"/>
      <c r="CV783" s="90"/>
      <c r="CW783" s="90"/>
    </row>
    <row r="784" ht="16.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0"/>
      <c r="BQ784" s="90"/>
      <c r="BR784" s="90"/>
      <c r="BS784" s="90"/>
      <c r="BT784" s="90"/>
      <c r="BU784" s="90"/>
      <c r="BV784" s="90"/>
      <c r="BW784" s="90"/>
      <c r="BX784" s="90"/>
      <c r="BY784" s="90"/>
      <c r="BZ784" s="90"/>
      <c r="CA784" s="90"/>
      <c r="CB784" s="90"/>
      <c r="CC784" s="90"/>
      <c r="CD784" s="90"/>
      <c r="CE784" s="90"/>
      <c r="CF784" s="90"/>
      <c r="CG784" s="90"/>
      <c r="CH784" s="90"/>
      <c r="CI784" s="90"/>
      <c r="CJ784" s="90"/>
      <c r="CK784" s="90"/>
      <c r="CL784" s="90"/>
      <c r="CM784" s="90"/>
      <c r="CN784" s="90"/>
      <c r="CO784" s="90"/>
      <c r="CP784" s="90"/>
      <c r="CQ784" s="90"/>
      <c r="CR784" s="90"/>
      <c r="CS784" s="90"/>
      <c r="CT784" s="90"/>
      <c r="CU784" s="90"/>
      <c r="CV784" s="90"/>
      <c r="CW784" s="90"/>
    </row>
    <row r="785" ht="16.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H785" s="90"/>
      <c r="BI785" s="90"/>
      <c r="BJ785" s="90"/>
      <c r="BK785" s="90"/>
      <c r="BL785" s="90"/>
      <c r="BM785" s="90"/>
      <c r="BN785" s="90"/>
      <c r="BO785" s="90"/>
      <c r="BP785" s="90"/>
      <c r="BQ785" s="90"/>
      <c r="BR785" s="90"/>
      <c r="BS785" s="90"/>
      <c r="BT785" s="90"/>
      <c r="BU785" s="90"/>
      <c r="BV785" s="90"/>
      <c r="BW785" s="90"/>
      <c r="BX785" s="90"/>
      <c r="BY785" s="90"/>
      <c r="BZ785" s="90"/>
      <c r="CA785" s="90"/>
      <c r="CB785" s="90"/>
      <c r="CC785" s="90"/>
      <c r="CD785" s="90"/>
      <c r="CE785" s="90"/>
      <c r="CF785" s="90"/>
      <c r="CG785" s="90"/>
      <c r="CH785" s="90"/>
      <c r="CI785" s="90"/>
      <c r="CJ785" s="90"/>
      <c r="CK785" s="90"/>
      <c r="CL785" s="90"/>
      <c r="CM785" s="90"/>
      <c r="CN785" s="90"/>
      <c r="CO785" s="90"/>
      <c r="CP785" s="90"/>
      <c r="CQ785" s="90"/>
      <c r="CR785" s="90"/>
      <c r="CS785" s="90"/>
      <c r="CT785" s="90"/>
      <c r="CU785" s="90"/>
      <c r="CV785" s="90"/>
      <c r="CW785" s="90"/>
    </row>
    <row r="786" ht="16.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0"/>
      <c r="BQ786" s="90"/>
      <c r="BR786" s="90"/>
      <c r="BS786" s="90"/>
      <c r="BT786" s="90"/>
      <c r="BU786" s="90"/>
      <c r="BV786" s="90"/>
      <c r="BW786" s="90"/>
      <c r="BX786" s="90"/>
      <c r="BY786" s="90"/>
      <c r="BZ786" s="90"/>
      <c r="CA786" s="90"/>
      <c r="CB786" s="90"/>
      <c r="CC786" s="90"/>
      <c r="CD786" s="90"/>
      <c r="CE786" s="90"/>
      <c r="CF786" s="90"/>
      <c r="CG786" s="90"/>
      <c r="CH786" s="90"/>
      <c r="CI786" s="90"/>
      <c r="CJ786" s="90"/>
      <c r="CK786" s="90"/>
      <c r="CL786" s="90"/>
      <c r="CM786" s="90"/>
      <c r="CN786" s="90"/>
      <c r="CO786" s="90"/>
      <c r="CP786" s="90"/>
      <c r="CQ786" s="90"/>
      <c r="CR786" s="90"/>
      <c r="CS786" s="90"/>
      <c r="CT786" s="90"/>
      <c r="CU786" s="90"/>
      <c r="CV786" s="90"/>
      <c r="CW786" s="90"/>
    </row>
    <row r="787" ht="16.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H787" s="90"/>
      <c r="BI787" s="90"/>
      <c r="BJ787" s="90"/>
      <c r="BK787" s="90"/>
      <c r="BL787" s="90"/>
      <c r="BM787" s="90"/>
      <c r="BN787" s="90"/>
      <c r="BO787" s="90"/>
      <c r="BP787" s="90"/>
      <c r="BQ787" s="90"/>
      <c r="BR787" s="90"/>
      <c r="BS787" s="90"/>
      <c r="BT787" s="90"/>
      <c r="BU787" s="90"/>
      <c r="BV787" s="90"/>
      <c r="BW787" s="90"/>
      <c r="BX787" s="90"/>
      <c r="BY787" s="90"/>
      <c r="BZ787" s="90"/>
      <c r="CA787" s="90"/>
      <c r="CB787" s="90"/>
      <c r="CC787" s="90"/>
      <c r="CD787" s="90"/>
      <c r="CE787" s="90"/>
      <c r="CF787" s="90"/>
      <c r="CG787" s="90"/>
      <c r="CH787" s="90"/>
      <c r="CI787" s="90"/>
      <c r="CJ787" s="90"/>
      <c r="CK787" s="90"/>
      <c r="CL787" s="90"/>
      <c r="CM787" s="90"/>
      <c r="CN787" s="90"/>
      <c r="CO787" s="90"/>
      <c r="CP787" s="90"/>
      <c r="CQ787" s="90"/>
      <c r="CR787" s="90"/>
      <c r="CS787" s="90"/>
      <c r="CT787" s="90"/>
      <c r="CU787" s="90"/>
      <c r="CV787" s="90"/>
      <c r="CW787" s="90"/>
    </row>
    <row r="788" ht="16.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0"/>
      <c r="BQ788" s="90"/>
      <c r="BR788" s="90"/>
      <c r="BS788" s="90"/>
      <c r="BT788" s="90"/>
      <c r="BU788" s="90"/>
      <c r="BV788" s="90"/>
      <c r="BW788" s="90"/>
      <c r="BX788" s="90"/>
      <c r="BY788" s="90"/>
      <c r="BZ788" s="90"/>
      <c r="CA788" s="90"/>
      <c r="CB788" s="90"/>
      <c r="CC788" s="90"/>
      <c r="CD788" s="90"/>
      <c r="CE788" s="90"/>
      <c r="CF788" s="90"/>
      <c r="CG788" s="90"/>
      <c r="CH788" s="90"/>
      <c r="CI788" s="90"/>
      <c r="CJ788" s="90"/>
      <c r="CK788" s="90"/>
      <c r="CL788" s="90"/>
      <c r="CM788" s="90"/>
      <c r="CN788" s="90"/>
      <c r="CO788" s="90"/>
      <c r="CP788" s="90"/>
      <c r="CQ788" s="90"/>
      <c r="CR788" s="90"/>
      <c r="CS788" s="90"/>
      <c r="CT788" s="90"/>
      <c r="CU788" s="90"/>
      <c r="CV788" s="90"/>
      <c r="CW788" s="90"/>
    </row>
    <row r="789" ht="16.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H789" s="90"/>
      <c r="BI789" s="90"/>
      <c r="BJ789" s="90"/>
      <c r="BK789" s="90"/>
      <c r="BL789" s="90"/>
      <c r="BM789" s="90"/>
      <c r="BN789" s="90"/>
      <c r="BO789" s="90"/>
      <c r="BP789" s="90"/>
      <c r="BQ789" s="90"/>
      <c r="BR789" s="90"/>
      <c r="BS789" s="90"/>
      <c r="BT789" s="90"/>
      <c r="BU789" s="90"/>
      <c r="BV789" s="90"/>
      <c r="BW789" s="90"/>
      <c r="BX789" s="90"/>
      <c r="BY789" s="90"/>
      <c r="BZ789" s="90"/>
      <c r="CA789" s="90"/>
      <c r="CB789" s="90"/>
      <c r="CC789" s="90"/>
      <c r="CD789" s="90"/>
      <c r="CE789" s="90"/>
      <c r="CF789" s="90"/>
      <c r="CG789" s="90"/>
      <c r="CH789" s="90"/>
      <c r="CI789" s="90"/>
      <c r="CJ789" s="90"/>
      <c r="CK789" s="90"/>
      <c r="CL789" s="90"/>
      <c r="CM789" s="90"/>
      <c r="CN789" s="90"/>
      <c r="CO789" s="90"/>
      <c r="CP789" s="90"/>
      <c r="CQ789" s="90"/>
      <c r="CR789" s="90"/>
      <c r="CS789" s="90"/>
      <c r="CT789" s="90"/>
      <c r="CU789" s="90"/>
      <c r="CV789" s="90"/>
      <c r="CW789" s="90"/>
    </row>
    <row r="790" ht="16.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0"/>
      <c r="BQ790" s="90"/>
      <c r="BR790" s="90"/>
      <c r="BS790" s="90"/>
      <c r="BT790" s="90"/>
      <c r="BU790" s="90"/>
      <c r="BV790" s="90"/>
      <c r="BW790" s="90"/>
      <c r="BX790" s="90"/>
      <c r="BY790" s="90"/>
      <c r="BZ790" s="90"/>
      <c r="CA790" s="90"/>
      <c r="CB790" s="90"/>
      <c r="CC790" s="90"/>
      <c r="CD790" s="90"/>
      <c r="CE790" s="90"/>
      <c r="CF790" s="90"/>
      <c r="CG790" s="90"/>
      <c r="CH790" s="90"/>
      <c r="CI790" s="90"/>
      <c r="CJ790" s="90"/>
      <c r="CK790" s="90"/>
      <c r="CL790" s="90"/>
      <c r="CM790" s="90"/>
      <c r="CN790" s="90"/>
      <c r="CO790" s="90"/>
      <c r="CP790" s="90"/>
      <c r="CQ790" s="90"/>
      <c r="CR790" s="90"/>
      <c r="CS790" s="90"/>
      <c r="CT790" s="90"/>
      <c r="CU790" s="90"/>
      <c r="CV790" s="90"/>
      <c r="CW790" s="90"/>
    </row>
    <row r="791" ht="16.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H791" s="90"/>
      <c r="BI791" s="90"/>
      <c r="BJ791" s="90"/>
      <c r="BK791" s="90"/>
      <c r="BL791" s="90"/>
      <c r="BM791" s="90"/>
      <c r="BN791" s="90"/>
      <c r="BO791" s="90"/>
      <c r="BP791" s="90"/>
      <c r="BQ791" s="90"/>
      <c r="BR791" s="90"/>
      <c r="BS791" s="90"/>
      <c r="BT791" s="90"/>
      <c r="BU791" s="90"/>
      <c r="BV791" s="90"/>
      <c r="BW791" s="90"/>
      <c r="BX791" s="90"/>
      <c r="BY791" s="90"/>
      <c r="BZ791" s="90"/>
      <c r="CA791" s="90"/>
      <c r="CB791" s="90"/>
      <c r="CC791" s="90"/>
      <c r="CD791" s="90"/>
      <c r="CE791" s="90"/>
      <c r="CF791" s="90"/>
      <c r="CG791" s="90"/>
      <c r="CH791" s="90"/>
      <c r="CI791" s="90"/>
      <c r="CJ791" s="90"/>
      <c r="CK791" s="90"/>
      <c r="CL791" s="90"/>
      <c r="CM791" s="90"/>
      <c r="CN791" s="90"/>
      <c r="CO791" s="90"/>
      <c r="CP791" s="90"/>
      <c r="CQ791" s="90"/>
      <c r="CR791" s="90"/>
      <c r="CS791" s="90"/>
      <c r="CT791" s="90"/>
      <c r="CU791" s="90"/>
      <c r="CV791" s="90"/>
      <c r="CW791" s="90"/>
    </row>
    <row r="792" ht="16.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0"/>
      <c r="BQ792" s="90"/>
      <c r="BR792" s="90"/>
      <c r="BS792" s="90"/>
      <c r="BT792" s="90"/>
      <c r="BU792" s="90"/>
      <c r="BV792" s="90"/>
      <c r="BW792" s="90"/>
      <c r="BX792" s="90"/>
      <c r="BY792" s="90"/>
      <c r="BZ792" s="90"/>
      <c r="CA792" s="90"/>
      <c r="CB792" s="90"/>
      <c r="CC792" s="90"/>
      <c r="CD792" s="90"/>
      <c r="CE792" s="90"/>
      <c r="CF792" s="90"/>
      <c r="CG792" s="90"/>
      <c r="CH792" s="90"/>
      <c r="CI792" s="90"/>
      <c r="CJ792" s="90"/>
      <c r="CK792" s="90"/>
      <c r="CL792" s="90"/>
      <c r="CM792" s="90"/>
      <c r="CN792" s="90"/>
      <c r="CO792" s="90"/>
      <c r="CP792" s="90"/>
      <c r="CQ792" s="90"/>
      <c r="CR792" s="90"/>
      <c r="CS792" s="90"/>
      <c r="CT792" s="90"/>
      <c r="CU792" s="90"/>
      <c r="CV792" s="90"/>
      <c r="CW792" s="90"/>
    </row>
    <row r="793" ht="16.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0"/>
      <c r="BJ793" s="90"/>
      <c r="BK793" s="90"/>
      <c r="BL793" s="90"/>
      <c r="BM793" s="90"/>
      <c r="BN793" s="90"/>
      <c r="BO793" s="90"/>
      <c r="BP793" s="90"/>
      <c r="BQ793" s="90"/>
      <c r="BR793" s="90"/>
      <c r="BS793" s="90"/>
      <c r="BT793" s="90"/>
      <c r="BU793" s="90"/>
      <c r="BV793" s="90"/>
      <c r="BW793" s="90"/>
      <c r="BX793" s="90"/>
      <c r="BY793" s="90"/>
      <c r="BZ793" s="90"/>
      <c r="CA793" s="90"/>
      <c r="CB793" s="90"/>
      <c r="CC793" s="90"/>
      <c r="CD793" s="90"/>
      <c r="CE793" s="90"/>
      <c r="CF793" s="90"/>
      <c r="CG793" s="90"/>
      <c r="CH793" s="90"/>
      <c r="CI793" s="90"/>
      <c r="CJ793" s="90"/>
      <c r="CK793" s="90"/>
      <c r="CL793" s="90"/>
      <c r="CM793" s="90"/>
      <c r="CN793" s="90"/>
      <c r="CO793" s="90"/>
      <c r="CP793" s="90"/>
      <c r="CQ793" s="90"/>
      <c r="CR793" s="90"/>
      <c r="CS793" s="90"/>
      <c r="CT793" s="90"/>
      <c r="CU793" s="90"/>
      <c r="CV793" s="90"/>
      <c r="CW793" s="90"/>
    </row>
    <row r="794" ht="16.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0"/>
      <c r="BQ794" s="90"/>
      <c r="BR794" s="90"/>
      <c r="BS794" s="90"/>
      <c r="BT794" s="90"/>
      <c r="BU794" s="90"/>
      <c r="BV794" s="90"/>
      <c r="BW794" s="90"/>
      <c r="BX794" s="90"/>
      <c r="BY794" s="90"/>
      <c r="BZ794" s="90"/>
      <c r="CA794" s="90"/>
      <c r="CB794" s="90"/>
      <c r="CC794" s="90"/>
      <c r="CD794" s="90"/>
      <c r="CE794" s="90"/>
      <c r="CF794" s="90"/>
      <c r="CG794" s="90"/>
      <c r="CH794" s="90"/>
      <c r="CI794" s="90"/>
      <c r="CJ794" s="90"/>
      <c r="CK794" s="90"/>
      <c r="CL794" s="90"/>
      <c r="CM794" s="90"/>
      <c r="CN794" s="90"/>
      <c r="CO794" s="90"/>
      <c r="CP794" s="90"/>
      <c r="CQ794" s="90"/>
      <c r="CR794" s="90"/>
      <c r="CS794" s="90"/>
      <c r="CT794" s="90"/>
      <c r="CU794" s="90"/>
      <c r="CV794" s="90"/>
      <c r="CW794" s="90"/>
    </row>
    <row r="795" ht="16.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  <c r="BK795" s="90"/>
      <c r="BL795" s="90"/>
      <c r="BM795" s="90"/>
      <c r="BN795" s="90"/>
      <c r="BO795" s="90"/>
      <c r="BP795" s="90"/>
      <c r="BQ795" s="90"/>
      <c r="BR795" s="90"/>
      <c r="BS795" s="90"/>
      <c r="BT795" s="90"/>
      <c r="BU795" s="90"/>
      <c r="BV795" s="90"/>
      <c r="BW795" s="90"/>
      <c r="BX795" s="90"/>
      <c r="BY795" s="90"/>
      <c r="BZ795" s="90"/>
      <c r="CA795" s="90"/>
      <c r="CB795" s="90"/>
      <c r="CC795" s="90"/>
      <c r="CD795" s="90"/>
      <c r="CE795" s="90"/>
      <c r="CF795" s="90"/>
      <c r="CG795" s="90"/>
      <c r="CH795" s="90"/>
      <c r="CI795" s="90"/>
      <c r="CJ795" s="90"/>
      <c r="CK795" s="90"/>
      <c r="CL795" s="90"/>
      <c r="CM795" s="90"/>
      <c r="CN795" s="90"/>
      <c r="CO795" s="90"/>
      <c r="CP795" s="90"/>
      <c r="CQ795" s="90"/>
      <c r="CR795" s="90"/>
      <c r="CS795" s="90"/>
      <c r="CT795" s="90"/>
      <c r="CU795" s="90"/>
      <c r="CV795" s="90"/>
      <c r="CW795" s="90"/>
    </row>
    <row r="796" ht="16.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0"/>
      <c r="BQ796" s="90"/>
      <c r="BR796" s="90"/>
      <c r="BS796" s="90"/>
      <c r="BT796" s="90"/>
      <c r="BU796" s="90"/>
      <c r="BV796" s="90"/>
      <c r="BW796" s="90"/>
      <c r="BX796" s="90"/>
      <c r="BY796" s="90"/>
      <c r="BZ796" s="90"/>
      <c r="CA796" s="90"/>
      <c r="CB796" s="90"/>
      <c r="CC796" s="90"/>
      <c r="CD796" s="90"/>
      <c r="CE796" s="90"/>
      <c r="CF796" s="90"/>
      <c r="CG796" s="90"/>
      <c r="CH796" s="90"/>
      <c r="CI796" s="90"/>
      <c r="CJ796" s="90"/>
      <c r="CK796" s="90"/>
      <c r="CL796" s="90"/>
      <c r="CM796" s="90"/>
      <c r="CN796" s="90"/>
      <c r="CO796" s="90"/>
      <c r="CP796" s="90"/>
      <c r="CQ796" s="90"/>
      <c r="CR796" s="90"/>
      <c r="CS796" s="90"/>
      <c r="CT796" s="90"/>
      <c r="CU796" s="90"/>
      <c r="CV796" s="90"/>
      <c r="CW796" s="90"/>
    </row>
    <row r="797" ht="16.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H797" s="90"/>
      <c r="BI797" s="90"/>
      <c r="BJ797" s="90"/>
      <c r="BK797" s="90"/>
      <c r="BL797" s="90"/>
      <c r="BM797" s="90"/>
      <c r="BN797" s="90"/>
      <c r="BO797" s="90"/>
      <c r="BP797" s="90"/>
      <c r="BQ797" s="90"/>
      <c r="BR797" s="90"/>
      <c r="BS797" s="90"/>
      <c r="BT797" s="90"/>
      <c r="BU797" s="90"/>
      <c r="BV797" s="90"/>
      <c r="BW797" s="90"/>
      <c r="BX797" s="90"/>
      <c r="BY797" s="90"/>
      <c r="BZ797" s="90"/>
      <c r="CA797" s="90"/>
      <c r="CB797" s="90"/>
      <c r="CC797" s="90"/>
      <c r="CD797" s="90"/>
      <c r="CE797" s="90"/>
      <c r="CF797" s="90"/>
      <c r="CG797" s="90"/>
      <c r="CH797" s="90"/>
      <c r="CI797" s="90"/>
      <c r="CJ797" s="90"/>
      <c r="CK797" s="90"/>
      <c r="CL797" s="90"/>
      <c r="CM797" s="90"/>
      <c r="CN797" s="90"/>
      <c r="CO797" s="90"/>
      <c r="CP797" s="90"/>
      <c r="CQ797" s="90"/>
      <c r="CR797" s="90"/>
      <c r="CS797" s="90"/>
      <c r="CT797" s="90"/>
      <c r="CU797" s="90"/>
      <c r="CV797" s="90"/>
      <c r="CW797" s="90"/>
    </row>
    <row r="798" ht="16.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0"/>
      <c r="BQ798" s="90"/>
      <c r="BR798" s="90"/>
      <c r="BS798" s="90"/>
      <c r="BT798" s="90"/>
      <c r="BU798" s="90"/>
      <c r="BV798" s="90"/>
      <c r="BW798" s="90"/>
      <c r="BX798" s="90"/>
      <c r="BY798" s="90"/>
      <c r="BZ798" s="90"/>
      <c r="CA798" s="90"/>
      <c r="CB798" s="90"/>
      <c r="CC798" s="90"/>
      <c r="CD798" s="90"/>
      <c r="CE798" s="90"/>
      <c r="CF798" s="90"/>
      <c r="CG798" s="90"/>
      <c r="CH798" s="90"/>
      <c r="CI798" s="90"/>
      <c r="CJ798" s="90"/>
      <c r="CK798" s="90"/>
      <c r="CL798" s="90"/>
      <c r="CM798" s="90"/>
      <c r="CN798" s="90"/>
      <c r="CO798" s="90"/>
      <c r="CP798" s="90"/>
      <c r="CQ798" s="90"/>
      <c r="CR798" s="90"/>
      <c r="CS798" s="90"/>
      <c r="CT798" s="90"/>
      <c r="CU798" s="90"/>
      <c r="CV798" s="90"/>
      <c r="CW798" s="90"/>
    </row>
    <row r="799" ht="16.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H799" s="90"/>
      <c r="BI799" s="90"/>
      <c r="BJ799" s="90"/>
      <c r="BK799" s="90"/>
      <c r="BL799" s="90"/>
      <c r="BM799" s="90"/>
      <c r="BN799" s="90"/>
      <c r="BO799" s="90"/>
      <c r="BP799" s="90"/>
      <c r="BQ799" s="90"/>
      <c r="BR799" s="90"/>
      <c r="BS799" s="90"/>
      <c r="BT799" s="90"/>
      <c r="BU799" s="90"/>
      <c r="BV799" s="90"/>
      <c r="BW799" s="90"/>
      <c r="BX799" s="90"/>
      <c r="BY799" s="90"/>
      <c r="BZ799" s="90"/>
      <c r="CA799" s="90"/>
      <c r="CB799" s="90"/>
      <c r="CC799" s="90"/>
      <c r="CD799" s="90"/>
      <c r="CE799" s="90"/>
      <c r="CF799" s="90"/>
      <c r="CG799" s="90"/>
      <c r="CH799" s="90"/>
      <c r="CI799" s="90"/>
      <c r="CJ799" s="90"/>
      <c r="CK799" s="90"/>
      <c r="CL799" s="90"/>
      <c r="CM799" s="90"/>
      <c r="CN799" s="90"/>
      <c r="CO799" s="90"/>
      <c r="CP799" s="90"/>
      <c r="CQ799" s="90"/>
      <c r="CR799" s="90"/>
      <c r="CS799" s="90"/>
      <c r="CT799" s="90"/>
      <c r="CU799" s="90"/>
      <c r="CV799" s="90"/>
      <c r="CW799" s="90"/>
    </row>
    <row r="800" ht="16.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0"/>
      <c r="BQ800" s="90"/>
      <c r="BR800" s="90"/>
      <c r="BS800" s="90"/>
      <c r="BT800" s="90"/>
      <c r="BU800" s="90"/>
      <c r="BV800" s="90"/>
      <c r="BW800" s="90"/>
      <c r="BX800" s="90"/>
      <c r="BY800" s="90"/>
      <c r="BZ800" s="90"/>
      <c r="CA800" s="90"/>
      <c r="CB800" s="90"/>
      <c r="CC800" s="90"/>
      <c r="CD800" s="90"/>
      <c r="CE800" s="90"/>
      <c r="CF800" s="90"/>
      <c r="CG800" s="90"/>
      <c r="CH800" s="90"/>
      <c r="CI800" s="90"/>
      <c r="CJ800" s="90"/>
      <c r="CK800" s="90"/>
      <c r="CL800" s="90"/>
      <c r="CM800" s="90"/>
      <c r="CN800" s="90"/>
      <c r="CO800" s="90"/>
      <c r="CP800" s="90"/>
      <c r="CQ800" s="90"/>
      <c r="CR800" s="90"/>
      <c r="CS800" s="90"/>
      <c r="CT800" s="90"/>
      <c r="CU800" s="90"/>
      <c r="CV800" s="90"/>
      <c r="CW800" s="90"/>
    </row>
    <row r="801" ht="16.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0"/>
      <c r="BJ801" s="90"/>
      <c r="BK801" s="90"/>
      <c r="BL801" s="90"/>
      <c r="BM801" s="90"/>
      <c r="BN801" s="90"/>
      <c r="BO801" s="90"/>
      <c r="BP801" s="90"/>
      <c r="BQ801" s="90"/>
      <c r="BR801" s="90"/>
      <c r="BS801" s="90"/>
      <c r="BT801" s="90"/>
      <c r="BU801" s="90"/>
      <c r="BV801" s="90"/>
      <c r="BW801" s="90"/>
      <c r="BX801" s="90"/>
      <c r="BY801" s="90"/>
      <c r="BZ801" s="90"/>
      <c r="CA801" s="90"/>
      <c r="CB801" s="90"/>
      <c r="CC801" s="90"/>
      <c r="CD801" s="90"/>
      <c r="CE801" s="90"/>
      <c r="CF801" s="90"/>
      <c r="CG801" s="90"/>
      <c r="CH801" s="90"/>
      <c r="CI801" s="90"/>
      <c r="CJ801" s="90"/>
      <c r="CK801" s="90"/>
      <c r="CL801" s="90"/>
      <c r="CM801" s="90"/>
      <c r="CN801" s="90"/>
      <c r="CO801" s="90"/>
      <c r="CP801" s="90"/>
      <c r="CQ801" s="90"/>
      <c r="CR801" s="90"/>
      <c r="CS801" s="90"/>
      <c r="CT801" s="90"/>
      <c r="CU801" s="90"/>
      <c r="CV801" s="90"/>
      <c r="CW801" s="90"/>
    </row>
    <row r="802" ht="16.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0"/>
      <c r="BQ802" s="90"/>
      <c r="BR802" s="90"/>
      <c r="BS802" s="90"/>
      <c r="BT802" s="90"/>
      <c r="BU802" s="90"/>
      <c r="BV802" s="90"/>
      <c r="BW802" s="90"/>
      <c r="BX802" s="90"/>
      <c r="BY802" s="90"/>
      <c r="BZ802" s="90"/>
      <c r="CA802" s="90"/>
      <c r="CB802" s="90"/>
      <c r="CC802" s="90"/>
      <c r="CD802" s="90"/>
      <c r="CE802" s="90"/>
      <c r="CF802" s="90"/>
      <c r="CG802" s="90"/>
      <c r="CH802" s="90"/>
      <c r="CI802" s="90"/>
      <c r="CJ802" s="90"/>
      <c r="CK802" s="90"/>
      <c r="CL802" s="90"/>
      <c r="CM802" s="90"/>
      <c r="CN802" s="90"/>
      <c r="CO802" s="90"/>
      <c r="CP802" s="90"/>
      <c r="CQ802" s="90"/>
      <c r="CR802" s="90"/>
      <c r="CS802" s="90"/>
      <c r="CT802" s="90"/>
      <c r="CU802" s="90"/>
      <c r="CV802" s="90"/>
      <c r="CW802" s="90"/>
    </row>
    <row r="803" ht="16.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H803" s="90"/>
      <c r="BI803" s="90"/>
      <c r="BJ803" s="90"/>
      <c r="BK803" s="90"/>
      <c r="BL803" s="90"/>
      <c r="BM803" s="90"/>
      <c r="BN803" s="90"/>
      <c r="BO803" s="90"/>
      <c r="BP803" s="90"/>
      <c r="BQ803" s="90"/>
      <c r="BR803" s="90"/>
      <c r="BS803" s="90"/>
      <c r="BT803" s="90"/>
      <c r="BU803" s="90"/>
      <c r="BV803" s="90"/>
      <c r="BW803" s="90"/>
      <c r="BX803" s="90"/>
      <c r="BY803" s="90"/>
      <c r="BZ803" s="90"/>
      <c r="CA803" s="90"/>
      <c r="CB803" s="90"/>
      <c r="CC803" s="90"/>
      <c r="CD803" s="90"/>
      <c r="CE803" s="90"/>
      <c r="CF803" s="90"/>
      <c r="CG803" s="90"/>
      <c r="CH803" s="90"/>
      <c r="CI803" s="90"/>
      <c r="CJ803" s="90"/>
      <c r="CK803" s="90"/>
      <c r="CL803" s="90"/>
      <c r="CM803" s="90"/>
      <c r="CN803" s="90"/>
      <c r="CO803" s="90"/>
      <c r="CP803" s="90"/>
      <c r="CQ803" s="90"/>
      <c r="CR803" s="90"/>
      <c r="CS803" s="90"/>
      <c r="CT803" s="90"/>
      <c r="CU803" s="90"/>
      <c r="CV803" s="90"/>
      <c r="CW803" s="90"/>
    </row>
    <row r="804" ht="16.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0"/>
      <c r="BQ804" s="90"/>
      <c r="BR804" s="90"/>
      <c r="BS804" s="90"/>
      <c r="BT804" s="90"/>
      <c r="BU804" s="90"/>
      <c r="BV804" s="90"/>
      <c r="BW804" s="90"/>
      <c r="BX804" s="90"/>
      <c r="BY804" s="90"/>
      <c r="BZ804" s="90"/>
      <c r="CA804" s="90"/>
      <c r="CB804" s="90"/>
      <c r="CC804" s="90"/>
      <c r="CD804" s="90"/>
      <c r="CE804" s="90"/>
      <c r="CF804" s="90"/>
      <c r="CG804" s="90"/>
      <c r="CH804" s="90"/>
      <c r="CI804" s="90"/>
      <c r="CJ804" s="90"/>
      <c r="CK804" s="90"/>
      <c r="CL804" s="90"/>
      <c r="CM804" s="90"/>
      <c r="CN804" s="90"/>
      <c r="CO804" s="90"/>
      <c r="CP804" s="90"/>
      <c r="CQ804" s="90"/>
      <c r="CR804" s="90"/>
      <c r="CS804" s="90"/>
      <c r="CT804" s="90"/>
      <c r="CU804" s="90"/>
      <c r="CV804" s="90"/>
      <c r="CW804" s="90"/>
    </row>
    <row r="805" ht="16.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H805" s="90"/>
      <c r="BI805" s="90"/>
      <c r="BJ805" s="90"/>
      <c r="BK805" s="90"/>
      <c r="BL805" s="90"/>
      <c r="BM805" s="90"/>
      <c r="BN805" s="90"/>
      <c r="BO805" s="90"/>
      <c r="BP805" s="90"/>
      <c r="BQ805" s="90"/>
      <c r="BR805" s="90"/>
      <c r="BS805" s="90"/>
      <c r="BT805" s="90"/>
      <c r="BU805" s="90"/>
      <c r="BV805" s="90"/>
      <c r="BW805" s="90"/>
      <c r="BX805" s="90"/>
      <c r="BY805" s="90"/>
      <c r="BZ805" s="90"/>
      <c r="CA805" s="90"/>
      <c r="CB805" s="90"/>
      <c r="CC805" s="90"/>
      <c r="CD805" s="90"/>
      <c r="CE805" s="90"/>
      <c r="CF805" s="90"/>
      <c r="CG805" s="90"/>
      <c r="CH805" s="90"/>
      <c r="CI805" s="90"/>
      <c r="CJ805" s="90"/>
      <c r="CK805" s="90"/>
      <c r="CL805" s="90"/>
      <c r="CM805" s="90"/>
      <c r="CN805" s="90"/>
      <c r="CO805" s="90"/>
      <c r="CP805" s="90"/>
      <c r="CQ805" s="90"/>
      <c r="CR805" s="90"/>
      <c r="CS805" s="90"/>
      <c r="CT805" s="90"/>
      <c r="CU805" s="90"/>
      <c r="CV805" s="90"/>
      <c r="CW805" s="90"/>
    </row>
    <row r="806" ht="16.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0"/>
      <c r="BQ806" s="90"/>
      <c r="BR806" s="90"/>
      <c r="BS806" s="90"/>
      <c r="BT806" s="90"/>
      <c r="BU806" s="90"/>
      <c r="BV806" s="90"/>
      <c r="BW806" s="90"/>
      <c r="BX806" s="90"/>
      <c r="BY806" s="90"/>
      <c r="BZ806" s="90"/>
      <c r="CA806" s="90"/>
      <c r="CB806" s="90"/>
      <c r="CC806" s="90"/>
      <c r="CD806" s="90"/>
      <c r="CE806" s="90"/>
      <c r="CF806" s="90"/>
      <c r="CG806" s="90"/>
      <c r="CH806" s="90"/>
      <c r="CI806" s="90"/>
      <c r="CJ806" s="90"/>
      <c r="CK806" s="90"/>
      <c r="CL806" s="90"/>
      <c r="CM806" s="90"/>
      <c r="CN806" s="90"/>
      <c r="CO806" s="90"/>
      <c r="CP806" s="90"/>
      <c r="CQ806" s="90"/>
      <c r="CR806" s="90"/>
      <c r="CS806" s="90"/>
      <c r="CT806" s="90"/>
      <c r="CU806" s="90"/>
      <c r="CV806" s="90"/>
      <c r="CW806" s="90"/>
    </row>
    <row r="807" ht="16.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H807" s="90"/>
      <c r="BI807" s="90"/>
      <c r="BJ807" s="90"/>
      <c r="BK807" s="90"/>
      <c r="BL807" s="90"/>
      <c r="BM807" s="90"/>
      <c r="BN807" s="90"/>
      <c r="BO807" s="90"/>
      <c r="BP807" s="90"/>
      <c r="BQ807" s="90"/>
      <c r="BR807" s="90"/>
      <c r="BS807" s="90"/>
      <c r="BT807" s="90"/>
      <c r="BU807" s="90"/>
      <c r="BV807" s="90"/>
      <c r="BW807" s="90"/>
      <c r="BX807" s="90"/>
      <c r="BY807" s="90"/>
      <c r="BZ807" s="90"/>
      <c r="CA807" s="90"/>
      <c r="CB807" s="90"/>
      <c r="CC807" s="90"/>
      <c r="CD807" s="90"/>
      <c r="CE807" s="90"/>
      <c r="CF807" s="90"/>
      <c r="CG807" s="90"/>
      <c r="CH807" s="90"/>
      <c r="CI807" s="90"/>
      <c r="CJ807" s="90"/>
      <c r="CK807" s="90"/>
      <c r="CL807" s="90"/>
      <c r="CM807" s="90"/>
      <c r="CN807" s="90"/>
      <c r="CO807" s="90"/>
      <c r="CP807" s="90"/>
      <c r="CQ807" s="90"/>
      <c r="CR807" s="90"/>
      <c r="CS807" s="90"/>
      <c r="CT807" s="90"/>
      <c r="CU807" s="90"/>
      <c r="CV807" s="90"/>
      <c r="CW807" s="90"/>
    </row>
    <row r="808" ht="16.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0"/>
      <c r="BQ808" s="90"/>
      <c r="BR808" s="90"/>
      <c r="BS808" s="90"/>
      <c r="BT808" s="90"/>
      <c r="BU808" s="90"/>
      <c r="BV808" s="90"/>
      <c r="BW808" s="90"/>
      <c r="BX808" s="90"/>
      <c r="BY808" s="90"/>
      <c r="BZ808" s="90"/>
      <c r="CA808" s="90"/>
      <c r="CB808" s="90"/>
      <c r="CC808" s="90"/>
      <c r="CD808" s="90"/>
      <c r="CE808" s="90"/>
      <c r="CF808" s="90"/>
      <c r="CG808" s="90"/>
      <c r="CH808" s="90"/>
      <c r="CI808" s="90"/>
      <c r="CJ808" s="90"/>
      <c r="CK808" s="90"/>
      <c r="CL808" s="90"/>
      <c r="CM808" s="90"/>
      <c r="CN808" s="90"/>
      <c r="CO808" s="90"/>
      <c r="CP808" s="90"/>
      <c r="CQ808" s="90"/>
      <c r="CR808" s="90"/>
      <c r="CS808" s="90"/>
      <c r="CT808" s="90"/>
      <c r="CU808" s="90"/>
      <c r="CV808" s="90"/>
      <c r="CW808" s="90"/>
    </row>
    <row r="809" ht="16.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H809" s="90"/>
      <c r="BI809" s="90"/>
      <c r="BJ809" s="90"/>
      <c r="BK809" s="90"/>
      <c r="BL809" s="90"/>
      <c r="BM809" s="90"/>
      <c r="BN809" s="90"/>
      <c r="BO809" s="90"/>
      <c r="BP809" s="90"/>
      <c r="BQ809" s="90"/>
      <c r="BR809" s="90"/>
      <c r="BS809" s="90"/>
      <c r="BT809" s="90"/>
      <c r="BU809" s="90"/>
      <c r="BV809" s="90"/>
      <c r="BW809" s="90"/>
      <c r="BX809" s="90"/>
      <c r="BY809" s="90"/>
      <c r="BZ809" s="90"/>
      <c r="CA809" s="90"/>
      <c r="CB809" s="90"/>
      <c r="CC809" s="90"/>
      <c r="CD809" s="90"/>
      <c r="CE809" s="90"/>
      <c r="CF809" s="90"/>
      <c r="CG809" s="90"/>
      <c r="CH809" s="90"/>
      <c r="CI809" s="90"/>
      <c r="CJ809" s="90"/>
      <c r="CK809" s="90"/>
      <c r="CL809" s="90"/>
      <c r="CM809" s="90"/>
      <c r="CN809" s="90"/>
      <c r="CO809" s="90"/>
      <c r="CP809" s="90"/>
      <c r="CQ809" s="90"/>
      <c r="CR809" s="90"/>
      <c r="CS809" s="90"/>
      <c r="CT809" s="90"/>
      <c r="CU809" s="90"/>
      <c r="CV809" s="90"/>
      <c r="CW809" s="90"/>
    </row>
    <row r="810" ht="16.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0"/>
      <c r="BQ810" s="90"/>
      <c r="BR810" s="90"/>
      <c r="BS810" s="90"/>
      <c r="BT810" s="90"/>
      <c r="BU810" s="90"/>
      <c r="BV810" s="90"/>
      <c r="BW810" s="90"/>
      <c r="BX810" s="90"/>
      <c r="BY810" s="90"/>
      <c r="BZ810" s="90"/>
      <c r="CA810" s="90"/>
      <c r="CB810" s="90"/>
      <c r="CC810" s="90"/>
      <c r="CD810" s="90"/>
      <c r="CE810" s="90"/>
      <c r="CF810" s="90"/>
      <c r="CG810" s="90"/>
      <c r="CH810" s="90"/>
      <c r="CI810" s="90"/>
      <c r="CJ810" s="90"/>
      <c r="CK810" s="90"/>
      <c r="CL810" s="90"/>
      <c r="CM810" s="90"/>
      <c r="CN810" s="90"/>
      <c r="CO810" s="90"/>
      <c r="CP810" s="90"/>
      <c r="CQ810" s="90"/>
      <c r="CR810" s="90"/>
      <c r="CS810" s="90"/>
      <c r="CT810" s="90"/>
      <c r="CU810" s="90"/>
      <c r="CV810" s="90"/>
      <c r="CW810" s="90"/>
    </row>
    <row r="811" ht="16.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  <c r="BJ811" s="90"/>
      <c r="BK811" s="90"/>
      <c r="BL811" s="90"/>
      <c r="BM811" s="90"/>
      <c r="BN811" s="90"/>
      <c r="BO811" s="90"/>
      <c r="BP811" s="90"/>
      <c r="BQ811" s="90"/>
      <c r="BR811" s="90"/>
      <c r="BS811" s="90"/>
      <c r="BT811" s="90"/>
      <c r="BU811" s="90"/>
      <c r="BV811" s="90"/>
      <c r="BW811" s="90"/>
      <c r="BX811" s="90"/>
      <c r="BY811" s="90"/>
      <c r="BZ811" s="90"/>
      <c r="CA811" s="90"/>
      <c r="CB811" s="90"/>
      <c r="CC811" s="90"/>
      <c r="CD811" s="90"/>
      <c r="CE811" s="90"/>
      <c r="CF811" s="90"/>
      <c r="CG811" s="90"/>
      <c r="CH811" s="90"/>
      <c r="CI811" s="90"/>
      <c r="CJ811" s="90"/>
      <c r="CK811" s="90"/>
      <c r="CL811" s="90"/>
      <c r="CM811" s="90"/>
      <c r="CN811" s="90"/>
      <c r="CO811" s="90"/>
      <c r="CP811" s="90"/>
      <c r="CQ811" s="90"/>
      <c r="CR811" s="90"/>
      <c r="CS811" s="90"/>
      <c r="CT811" s="90"/>
      <c r="CU811" s="90"/>
      <c r="CV811" s="90"/>
      <c r="CW811" s="90"/>
    </row>
    <row r="812" ht="16.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0"/>
      <c r="BQ812" s="90"/>
      <c r="BR812" s="90"/>
      <c r="BS812" s="90"/>
      <c r="BT812" s="90"/>
      <c r="BU812" s="90"/>
      <c r="BV812" s="90"/>
      <c r="BW812" s="90"/>
      <c r="BX812" s="90"/>
      <c r="BY812" s="90"/>
      <c r="BZ812" s="90"/>
      <c r="CA812" s="90"/>
      <c r="CB812" s="90"/>
      <c r="CC812" s="90"/>
      <c r="CD812" s="90"/>
      <c r="CE812" s="90"/>
      <c r="CF812" s="90"/>
      <c r="CG812" s="90"/>
      <c r="CH812" s="90"/>
      <c r="CI812" s="90"/>
      <c r="CJ812" s="90"/>
      <c r="CK812" s="90"/>
      <c r="CL812" s="90"/>
      <c r="CM812" s="90"/>
      <c r="CN812" s="90"/>
      <c r="CO812" s="90"/>
      <c r="CP812" s="90"/>
      <c r="CQ812" s="90"/>
      <c r="CR812" s="90"/>
      <c r="CS812" s="90"/>
      <c r="CT812" s="90"/>
      <c r="CU812" s="90"/>
      <c r="CV812" s="90"/>
      <c r="CW812" s="90"/>
    </row>
    <row r="813" ht="16.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H813" s="90"/>
      <c r="BI813" s="90"/>
      <c r="BJ813" s="90"/>
      <c r="BK813" s="90"/>
      <c r="BL813" s="90"/>
      <c r="BM813" s="90"/>
      <c r="BN813" s="90"/>
      <c r="BO813" s="90"/>
      <c r="BP813" s="90"/>
      <c r="BQ813" s="90"/>
      <c r="BR813" s="90"/>
      <c r="BS813" s="90"/>
      <c r="BT813" s="90"/>
      <c r="BU813" s="90"/>
      <c r="BV813" s="90"/>
      <c r="BW813" s="90"/>
      <c r="BX813" s="90"/>
      <c r="BY813" s="90"/>
      <c r="BZ813" s="90"/>
      <c r="CA813" s="90"/>
      <c r="CB813" s="90"/>
      <c r="CC813" s="90"/>
      <c r="CD813" s="90"/>
      <c r="CE813" s="90"/>
      <c r="CF813" s="90"/>
      <c r="CG813" s="90"/>
      <c r="CH813" s="90"/>
      <c r="CI813" s="90"/>
      <c r="CJ813" s="90"/>
      <c r="CK813" s="90"/>
      <c r="CL813" s="90"/>
      <c r="CM813" s="90"/>
      <c r="CN813" s="90"/>
      <c r="CO813" s="90"/>
      <c r="CP813" s="90"/>
      <c r="CQ813" s="90"/>
      <c r="CR813" s="90"/>
      <c r="CS813" s="90"/>
      <c r="CT813" s="90"/>
      <c r="CU813" s="90"/>
      <c r="CV813" s="90"/>
      <c r="CW813" s="90"/>
    </row>
    <row r="814" ht="16.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0"/>
      <c r="BQ814" s="90"/>
      <c r="BR814" s="90"/>
      <c r="BS814" s="90"/>
      <c r="BT814" s="90"/>
      <c r="BU814" s="90"/>
      <c r="BV814" s="90"/>
      <c r="BW814" s="90"/>
      <c r="BX814" s="90"/>
      <c r="BY814" s="90"/>
      <c r="BZ814" s="90"/>
      <c r="CA814" s="90"/>
      <c r="CB814" s="90"/>
      <c r="CC814" s="90"/>
      <c r="CD814" s="90"/>
      <c r="CE814" s="90"/>
      <c r="CF814" s="90"/>
      <c r="CG814" s="90"/>
      <c r="CH814" s="90"/>
      <c r="CI814" s="90"/>
      <c r="CJ814" s="90"/>
      <c r="CK814" s="90"/>
      <c r="CL814" s="90"/>
      <c r="CM814" s="90"/>
      <c r="CN814" s="90"/>
      <c r="CO814" s="90"/>
      <c r="CP814" s="90"/>
      <c r="CQ814" s="90"/>
      <c r="CR814" s="90"/>
      <c r="CS814" s="90"/>
      <c r="CT814" s="90"/>
      <c r="CU814" s="90"/>
      <c r="CV814" s="90"/>
      <c r="CW814" s="90"/>
    </row>
    <row r="815" ht="16.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H815" s="90"/>
      <c r="BI815" s="90"/>
      <c r="BJ815" s="90"/>
      <c r="BK815" s="90"/>
      <c r="BL815" s="90"/>
      <c r="BM815" s="90"/>
      <c r="BN815" s="90"/>
      <c r="BO815" s="90"/>
      <c r="BP815" s="90"/>
      <c r="BQ815" s="90"/>
      <c r="BR815" s="90"/>
      <c r="BS815" s="90"/>
      <c r="BT815" s="90"/>
      <c r="BU815" s="90"/>
      <c r="BV815" s="90"/>
      <c r="BW815" s="90"/>
      <c r="BX815" s="90"/>
      <c r="BY815" s="90"/>
      <c r="BZ815" s="90"/>
      <c r="CA815" s="90"/>
      <c r="CB815" s="90"/>
      <c r="CC815" s="90"/>
      <c r="CD815" s="90"/>
      <c r="CE815" s="90"/>
      <c r="CF815" s="90"/>
      <c r="CG815" s="90"/>
      <c r="CH815" s="90"/>
      <c r="CI815" s="90"/>
      <c r="CJ815" s="90"/>
      <c r="CK815" s="90"/>
      <c r="CL815" s="90"/>
      <c r="CM815" s="90"/>
      <c r="CN815" s="90"/>
      <c r="CO815" s="90"/>
      <c r="CP815" s="90"/>
      <c r="CQ815" s="90"/>
      <c r="CR815" s="90"/>
      <c r="CS815" s="90"/>
      <c r="CT815" s="90"/>
      <c r="CU815" s="90"/>
      <c r="CV815" s="90"/>
      <c r="CW815" s="90"/>
    </row>
    <row r="816" ht="16.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0"/>
      <c r="BQ816" s="90"/>
      <c r="BR816" s="90"/>
      <c r="BS816" s="90"/>
      <c r="BT816" s="90"/>
      <c r="BU816" s="90"/>
      <c r="BV816" s="90"/>
      <c r="BW816" s="90"/>
      <c r="BX816" s="90"/>
      <c r="BY816" s="90"/>
      <c r="BZ816" s="90"/>
      <c r="CA816" s="90"/>
      <c r="CB816" s="90"/>
      <c r="CC816" s="90"/>
      <c r="CD816" s="90"/>
      <c r="CE816" s="90"/>
      <c r="CF816" s="90"/>
      <c r="CG816" s="90"/>
      <c r="CH816" s="90"/>
      <c r="CI816" s="90"/>
      <c r="CJ816" s="90"/>
      <c r="CK816" s="90"/>
      <c r="CL816" s="90"/>
      <c r="CM816" s="90"/>
      <c r="CN816" s="90"/>
      <c r="CO816" s="90"/>
      <c r="CP816" s="90"/>
      <c r="CQ816" s="90"/>
      <c r="CR816" s="90"/>
      <c r="CS816" s="90"/>
      <c r="CT816" s="90"/>
      <c r="CU816" s="90"/>
      <c r="CV816" s="90"/>
      <c r="CW816" s="90"/>
    </row>
    <row r="817" ht="16.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H817" s="90"/>
      <c r="BI817" s="90"/>
      <c r="BJ817" s="90"/>
      <c r="BK817" s="90"/>
      <c r="BL817" s="90"/>
      <c r="BM817" s="90"/>
      <c r="BN817" s="90"/>
      <c r="BO817" s="90"/>
      <c r="BP817" s="90"/>
      <c r="BQ817" s="90"/>
      <c r="BR817" s="90"/>
      <c r="BS817" s="90"/>
      <c r="BT817" s="90"/>
      <c r="BU817" s="90"/>
      <c r="BV817" s="90"/>
      <c r="BW817" s="90"/>
      <c r="BX817" s="90"/>
      <c r="BY817" s="90"/>
      <c r="BZ817" s="90"/>
      <c r="CA817" s="90"/>
      <c r="CB817" s="90"/>
      <c r="CC817" s="90"/>
      <c r="CD817" s="90"/>
      <c r="CE817" s="90"/>
      <c r="CF817" s="90"/>
      <c r="CG817" s="90"/>
      <c r="CH817" s="90"/>
      <c r="CI817" s="90"/>
      <c r="CJ817" s="90"/>
      <c r="CK817" s="90"/>
      <c r="CL817" s="90"/>
      <c r="CM817" s="90"/>
      <c r="CN817" s="90"/>
      <c r="CO817" s="90"/>
      <c r="CP817" s="90"/>
      <c r="CQ817" s="90"/>
      <c r="CR817" s="90"/>
      <c r="CS817" s="90"/>
      <c r="CT817" s="90"/>
      <c r="CU817" s="90"/>
      <c r="CV817" s="90"/>
      <c r="CW817" s="90"/>
    </row>
    <row r="818" ht="16.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0"/>
      <c r="BQ818" s="90"/>
      <c r="BR818" s="90"/>
      <c r="BS818" s="90"/>
      <c r="BT818" s="90"/>
      <c r="BU818" s="90"/>
      <c r="BV818" s="90"/>
      <c r="BW818" s="90"/>
      <c r="BX818" s="90"/>
      <c r="BY818" s="90"/>
      <c r="BZ818" s="90"/>
      <c r="CA818" s="90"/>
      <c r="CB818" s="90"/>
      <c r="CC818" s="90"/>
      <c r="CD818" s="90"/>
      <c r="CE818" s="90"/>
      <c r="CF818" s="90"/>
      <c r="CG818" s="90"/>
      <c r="CH818" s="90"/>
      <c r="CI818" s="90"/>
      <c r="CJ818" s="90"/>
      <c r="CK818" s="90"/>
      <c r="CL818" s="90"/>
      <c r="CM818" s="90"/>
      <c r="CN818" s="90"/>
      <c r="CO818" s="90"/>
      <c r="CP818" s="90"/>
      <c r="CQ818" s="90"/>
      <c r="CR818" s="90"/>
      <c r="CS818" s="90"/>
      <c r="CT818" s="90"/>
      <c r="CU818" s="90"/>
      <c r="CV818" s="90"/>
      <c r="CW818" s="90"/>
    </row>
    <row r="819" ht="16.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H819" s="90"/>
      <c r="BI819" s="90"/>
      <c r="BJ819" s="90"/>
      <c r="BK819" s="90"/>
      <c r="BL819" s="90"/>
      <c r="BM819" s="90"/>
      <c r="BN819" s="90"/>
      <c r="BO819" s="90"/>
      <c r="BP819" s="90"/>
      <c r="BQ819" s="90"/>
      <c r="BR819" s="90"/>
      <c r="BS819" s="90"/>
      <c r="BT819" s="90"/>
      <c r="BU819" s="90"/>
      <c r="BV819" s="90"/>
      <c r="BW819" s="90"/>
      <c r="BX819" s="90"/>
      <c r="BY819" s="90"/>
      <c r="BZ819" s="90"/>
      <c r="CA819" s="90"/>
      <c r="CB819" s="90"/>
      <c r="CC819" s="90"/>
      <c r="CD819" s="90"/>
      <c r="CE819" s="90"/>
      <c r="CF819" s="90"/>
      <c r="CG819" s="90"/>
      <c r="CH819" s="90"/>
      <c r="CI819" s="90"/>
      <c r="CJ819" s="90"/>
      <c r="CK819" s="90"/>
      <c r="CL819" s="90"/>
      <c r="CM819" s="90"/>
      <c r="CN819" s="90"/>
      <c r="CO819" s="90"/>
      <c r="CP819" s="90"/>
      <c r="CQ819" s="90"/>
      <c r="CR819" s="90"/>
      <c r="CS819" s="90"/>
      <c r="CT819" s="90"/>
      <c r="CU819" s="90"/>
      <c r="CV819" s="90"/>
      <c r="CW819" s="90"/>
    </row>
    <row r="820" ht="16.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0"/>
      <c r="BQ820" s="90"/>
      <c r="BR820" s="90"/>
      <c r="BS820" s="90"/>
      <c r="BT820" s="90"/>
      <c r="BU820" s="90"/>
      <c r="BV820" s="90"/>
      <c r="BW820" s="90"/>
      <c r="BX820" s="90"/>
      <c r="BY820" s="90"/>
      <c r="BZ820" s="90"/>
      <c r="CA820" s="90"/>
      <c r="CB820" s="90"/>
      <c r="CC820" s="90"/>
      <c r="CD820" s="90"/>
      <c r="CE820" s="90"/>
      <c r="CF820" s="90"/>
      <c r="CG820" s="90"/>
      <c r="CH820" s="90"/>
      <c r="CI820" s="90"/>
      <c r="CJ820" s="90"/>
      <c r="CK820" s="90"/>
      <c r="CL820" s="90"/>
      <c r="CM820" s="90"/>
      <c r="CN820" s="90"/>
      <c r="CO820" s="90"/>
      <c r="CP820" s="90"/>
      <c r="CQ820" s="90"/>
      <c r="CR820" s="90"/>
      <c r="CS820" s="90"/>
      <c r="CT820" s="90"/>
      <c r="CU820" s="90"/>
      <c r="CV820" s="90"/>
      <c r="CW820" s="90"/>
    </row>
    <row r="821" ht="16.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H821" s="90"/>
      <c r="BI821" s="90"/>
      <c r="BJ821" s="90"/>
      <c r="BK821" s="90"/>
      <c r="BL821" s="90"/>
      <c r="BM821" s="90"/>
      <c r="BN821" s="90"/>
      <c r="BO821" s="90"/>
      <c r="BP821" s="90"/>
      <c r="BQ821" s="90"/>
      <c r="BR821" s="90"/>
      <c r="BS821" s="90"/>
      <c r="BT821" s="90"/>
      <c r="BU821" s="90"/>
      <c r="BV821" s="90"/>
      <c r="BW821" s="90"/>
      <c r="BX821" s="90"/>
      <c r="BY821" s="90"/>
      <c r="BZ821" s="90"/>
      <c r="CA821" s="90"/>
      <c r="CB821" s="90"/>
      <c r="CC821" s="90"/>
      <c r="CD821" s="90"/>
      <c r="CE821" s="90"/>
      <c r="CF821" s="90"/>
      <c r="CG821" s="90"/>
      <c r="CH821" s="90"/>
      <c r="CI821" s="90"/>
      <c r="CJ821" s="90"/>
      <c r="CK821" s="90"/>
      <c r="CL821" s="90"/>
      <c r="CM821" s="90"/>
      <c r="CN821" s="90"/>
      <c r="CO821" s="90"/>
      <c r="CP821" s="90"/>
      <c r="CQ821" s="90"/>
      <c r="CR821" s="90"/>
      <c r="CS821" s="90"/>
      <c r="CT821" s="90"/>
      <c r="CU821" s="90"/>
      <c r="CV821" s="90"/>
      <c r="CW821" s="90"/>
    </row>
    <row r="822" ht="16.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0"/>
      <c r="BQ822" s="90"/>
      <c r="BR822" s="90"/>
      <c r="BS822" s="90"/>
      <c r="BT822" s="90"/>
      <c r="BU822" s="90"/>
      <c r="BV822" s="90"/>
      <c r="BW822" s="90"/>
      <c r="BX822" s="90"/>
      <c r="BY822" s="90"/>
      <c r="BZ822" s="90"/>
      <c r="CA822" s="90"/>
      <c r="CB822" s="90"/>
      <c r="CC822" s="90"/>
      <c r="CD822" s="90"/>
      <c r="CE822" s="90"/>
      <c r="CF822" s="90"/>
      <c r="CG822" s="90"/>
      <c r="CH822" s="90"/>
      <c r="CI822" s="90"/>
      <c r="CJ822" s="90"/>
      <c r="CK822" s="90"/>
      <c r="CL822" s="90"/>
      <c r="CM822" s="90"/>
      <c r="CN822" s="90"/>
      <c r="CO822" s="90"/>
      <c r="CP822" s="90"/>
      <c r="CQ822" s="90"/>
      <c r="CR822" s="90"/>
      <c r="CS822" s="90"/>
      <c r="CT822" s="90"/>
      <c r="CU822" s="90"/>
      <c r="CV822" s="90"/>
      <c r="CW822" s="90"/>
    </row>
    <row r="823" ht="16.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H823" s="90"/>
      <c r="BI823" s="90"/>
      <c r="BJ823" s="90"/>
      <c r="BK823" s="90"/>
      <c r="BL823" s="90"/>
      <c r="BM823" s="90"/>
      <c r="BN823" s="90"/>
      <c r="BO823" s="90"/>
      <c r="BP823" s="90"/>
      <c r="BQ823" s="90"/>
      <c r="BR823" s="90"/>
      <c r="BS823" s="90"/>
      <c r="BT823" s="90"/>
      <c r="BU823" s="90"/>
      <c r="BV823" s="90"/>
      <c r="BW823" s="90"/>
      <c r="BX823" s="90"/>
      <c r="BY823" s="90"/>
      <c r="BZ823" s="90"/>
      <c r="CA823" s="90"/>
      <c r="CB823" s="90"/>
      <c r="CC823" s="90"/>
      <c r="CD823" s="90"/>
      <c r="CE823" s="90"/>
      <c r="CF823" s="90"/>
      <c r="CG823" s="90"/>
      <c r="CH823" s="90"/>
      <c r="CI823" s="90"/>
      <c r="CJ823" s="90"/>
      <c r="CK823" s="90"/>
      <c r="CL823" s="90"/>
      <c r="CM823" s="90"/>
      <c r="CN823" s="90"/>
      <c r="CO823" s="90"/>
      <c r="CP823" s="90"/>
      <c r="CQ823" s="90"/>
      <c r="CR823" s="90"/>
      <c r="CS823" s="90"/>
      <c r="CT823" s="90"/>
      <c r="CU823" s="90"/>
      <c r="CV823" s="90"/>
      <c r="CW823" s="90"/>
    </row>
    <row r="824" ht="16.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0"/>
      <c r="BQ824" s="90"/>
      <c r="BR824" s="90"/>
      <c r="BS824" s="90"/>
      <c r="BT824" s="90"/>
      <c r="BU824" s="90"/>
      <c r="BV824" s="90"/>
      <c r="BW824" s="90"/>
      <c r="BX824" s="90"/>
      <c r="BY824" s="90"/>
      <c r="BZ824" s="90"/>
      <c r="CA824" s="90"/>
      <c r="CB824" s="90"/>
      <c r="CC824" s="90"/>
      <c r="CD824" s="90"/>
      <c r="CE824" s="90"/>
      <c r="CF824" s="90"/>
      <c r="CG824" s="90"/>
      <c r="CH824" s="90"/>
      <c r="CI824" s="90"/>
      <c r="CJ824" s="90"/>
      <c r="CK824" s="90"/>
      <c r="CL824" s="90"/>
      <c r="CM824" s="90"/>
      <c r="CN824" s="90"/>
      <c r="CO824" s="90"/>
      <c r="CP824" s="90"/>
      <c r="CQ824" s="90"/>
      <c r="CR824" s="90"/>
      <c r="CS824" s="90"/>
      <c r="CT824" s="90"/>
      <c r="CU824" s="90"/>
      <c r="CV824" s="90"/>
      <c r="CW824" s="90"/>
    </row>
    <row r="825" ht="16.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H825" s="90"/>
      <c r="BI825" s="90"/>
      <c r="BJ825" s="90"/>
      <c r="BK825" s="90"/>
      <c r="BL825" s="90"/>
      <c r="BM825" s="90"/>
      <c r="BN825" s="90"/>
      <c r="BO825" s="90"/>
      <c r="BP825" s="90"/>
      <c r="BQ825" s="90"/>
      <c r="BR825" s="90"/>
      <c r="BS825" s="90"/>
      <c r="BT825" s="90"/>
      <c r="BU825" s="90"/>
      <c r="BV825" s="90"/>
      <c r="BW825" s="90"/>
      <c r="BX825" s="90"/>
      <c r="BY825" s="90"/>
      <c r="BZ825" s="90"/>
      <c r="CA825" s="90"/>
      <c r="CB825" s="90"/>
      <c r="CC825" s="90"/>
      <c r="CD825" s="90"/>
      <c r="CE825" s="90"/>
      <c r="CF825" s="90"/>
      <c r="CG825" s="90"/>
      <c r="CH825" s="90"/>
      <c r="CI825" s="90"/>
      <c r="CJ825" s="90"/>
      <c r="CK825" s="90"/>
      <c r="CL825" s="90"/>
      <c r="CM825" s="90"/>
      <c r="CN825" s="90"/>
      <c r="CO825" s="90"/>
      <c r="CP825" s="90"/>
      <c r="CQ825" s="90"/>
      <c r="CR825" s="90"/>
      <c r="CS825" s="90"/>
      <c r="CT825" s="90"/>
      <c r="CU825" s="90"/>
      <c r="CV825" s="90"/>
      <c r="CW825" s="90"/>
    </row>
    <row r="826" ht="16.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0"/>
      <c r="BQ826" s="90"/>
      <c r="BR826" s="90"/>
      <c r="BS826" s="90"/>
      <c r="BT826" s="90"/>
      <c r="BU826" s="90"/>
      <c r="BV826" s="90"/>
      <c r="BW826" s="90"/>
      <c r="BX826" s="90"/>
      <c r="BY826" s="90"/>
      <c r="BZ826" s="90"/>
      <c r="CA826" s="90"/>
      <c r="CB826" s="90"/>
      <c r="CC826" s="90"/>
      <c r="CD826" s="90"/>
      <c r="CE826" s="90"/>
      <c r="CF826" s="90"/>
      <c r="CG826" s="90"/>
      <c r="CH826" s="90"/>
      <c r="CI826" s="90"/>
      <c r="CJ826" s="90"/>
      <c r="CK826" s="90"/>
      <c r="CL826" s="90"/>
      <c r="CM826" s="90"/>
      <c r="CN826" s="90"/>
      <c r="CO826" s="90"/>
      <c r="CP826" s="90"/>
      <c r="CQ826" s="90"/>
      <c r="CR826" s="90"/>
      <c r="CS826" s="90"/>
      <c r="CT826" s="90"/>
      <c r="CU826" s="90"/>
      <c r="CV826" s="90"/>
      <c r="CW826" s="90"/>
    </row>
    <row r="827" ht="16.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H827" s="90"/>
      <c r="BI827" s="90"/>
      <c r="BJ827" s="90"/>
      <c r="BK827" s="90"/>
      <c r="BL827" s="90"/>
      <c r="BM827" s="90"/>
      <c r="BN827" s="90"/>
      <c r="BO827" s="90"/>
      <c r="BP827" s="90"/>
      <c r="BQ827" s="90"/>
      <c r="BR827" s="90"/>
      <c r="BS827" s="90"/>
      <c r="BT827" s="90"/>
      <c r="BU827" s="90"/>
      <c r="BV827" s="90"/>
      <c r="BW827" s="90"/>
      <c r="BX827" s="90"/>
      <c r="BY827" s="90"/>
      <c r="BZ827" s="90"/>
      <c r="CA827" s="90"/>
      <c r="CB827" s="90"/>
      <c r="CC827" s="90"/>
      <c r="CD827" s="90"/>
      <c r="CE827" s="90"/>
      <c r="CF827" s="90"/>
      <c r="CG827" s="90"/>
      <c r="CH827" s="90"/>
      <c r="CI827" s="90"/>
      <c r="CJ827" s="90"/>
      <c r="CK827" s="90"/>
      <c r="CL827" s="90"/>
      <c r="CM827" s="90"/>
      <c r="CN827" s="90"/>
      <c r="CO827" s="90"/>
      <c r="CP827" s="90"/>
      <c r="CQ827" s="90"/>
      <c r="CR827" s="90"/>
      <c r="CS827" s="90"/>
      <c r="CT827" s="90"/>
      <c r="CU827" s="90"/>
      <c r="CV827" s="90"/>
      <c r="CW827" s="90"/>
    </row>
    <row r="828" ht="16.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0"/>
      <c r="BQ828" s="90"/>
      <c r="BR828" s="90"/>
      <c r="BS828" s="90"/>
      <c r="BT828" s="90"/>
      <c r="BU828" s="90"/>
      <c r="BV828" s="90"/>
      <c r="BW828" s="90"/>
      <c r="BX828" s="90"/>
      <c r="BY828" s="90"/>
      <c r="BZ828" s="90"/>
      <c r="CA828" s="90"/>
      <c r="CB828" s="90"/>
      <c r="CC828" s="90"/>
      <c r="CD828" s="90"/>
      <c r="CE828" s="90"/>
      <c r="CF828" s="90"/>
      <c r="CG828" s="90"/>
      <c r="CH828" s="90"/>
      <c r="CI828" s="90"/>
      <c r="CJ828" s="90"/>
      <c r="CK828" s="90"/>
      <c r="CL828" s="90"/>
      <c r="CM828" s="90"/>
      <c r="CN828" s="90"/>
      <c r="CO828" s="90"/>
      <c r="CP828" s="90"/>
      <c r="CQ828" s="90"/>
      <c r="CR828" s="90"/>
      <c r="CS828" s="90"/>
      <c r="CT828" s="90"/>
      <c r="CU828" s="90"/>
      <c r="CV828" s="90"/>
      <c r="CW828" s="90"/>
    </row>
    <row r="829" ht="16.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H829" s="90"/>
      <c r="BI829" s="90"/>
      <c r="BJ829" s="90"/>
      <c r="BK829" s="90"/>
      <c r="BL829" s="90"/>
      <c r="BM829" s="90"/>
      <c r="BN829" s="90"/>
      <c r="BO829" s="90"/>
      <c r="BP829" s="90"/>
      <c r="BQ829" s="90"/>
      <c r="BR829" s="90"/>
      <c r="BS829" s="90"/>
      <c r="BT829" s="90"/>
      <c r="BU829" s="90"/>
      <c r="BV829" s="90"/>
      <c r="BW829" s="90"/>
      <c r="BX829" s="90"/>
      <c r="BY829" s="90"/>
      <c r="BZ829" s="90"/>
      <c r="CA829" s="90"/>
      <c r="CB829" s="90"/>
      <c r="CC829" s="90"/>
      <c r="CD829" s="90"/>
      <c r="CE829" s="90"/>
      <c r="CF829" s="90"/>
      <c r="CG829" s="90"/>
      <c r="CH829" s="90"/>
      <c r="CI829" s="90"/>
      <c r="CJ829" s="90"/>
      <c r="CK829" s="90"/>
      <c r="CL829" s="90"/>
      <c r="CM829" s="90"/>
      <c r="CN829" s="90"/>
      <c r="CO829" s="90"/>
      <c r="CP829" s="90"/>
      <c r="CQ829" s="90"/>
      <c r="CR829" s="90"/>
      <c r="CS829" s="90"/>
      <c r="CT829" s="90"/>
      <c r="CU829" s="90"/>
      <c r="CV829" s="90"/>
      <c r="CW829" s="90"/>
    </row>
    <row r="830" ht="16.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0"/>
      <c r="BQ830" s="90"/>
      <c r="BR830" s="90"/>
      <c r="BS830" s="90"/>
      <c r="BT830" s="90"/>
      <c r="BU830" s="90"/>
      <c r="BV830" s="90"/>
      <c r="BW830" s="90"/>
      <c r="BX830" s="90"/>
      <c r="BY830" s="90"/>
      <c r="BZ830" s="90"/>
      <c r="CA830" s="90"/>
      <c r="CB830" s="90"/>
      <c r="CC830" s="90"/>
      <c r="CD830" s="90"/>
      <c r="CE830" s="90"/>
      <c r="CF830" s="90"/>
      <c r="CG830" s="90"/>
      <c r="CH830" s="90"/>
      <c r="CI830" s="90"/>
      <c r="CJ830" s="90"/>
      <c r="CK830" s="90"/>
      <c r="CL830" s="90"/>
      <c r="CM830" s="90"/>
      <c r="CN830" s="90"/>
      <c r="CO830" s="90"/>
      <c r="CP830" s="90"/>
      <c r="CQ830" s="90"/>
      <c r="CR830" s="90"/>
      <c r="CS830" s="90"/>
      <c r="CT830" s="90"/>
      <c r="CU830" s="90"/>
      <c r="CV830" s="90"/>
      <c r="CW830" s="90"/>
    </row>
    <row r="831" ht="16.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H831" s="90"/>
      <c r="BI831" s="90"/>
      <c r="BJ831" s="90"/>
      <c r="BK831" s="90"/>
      <c r="BL831" s="90"/>
      <c r="BM831" s="90"/>
      <c r="BN831" s="90"/>
      <c r="BO831" s="90"/>
      <c r="BP831" s="90"/>
      <c r="BQ831" s="90"/>
      <c r="BR831" s="90"/>
      <c r="BS831" s="90"/>
      <c r="BT831" s="90"/>
      <c r="BU831" s="90"/>
      <c r="BV831" s="90"/>
      <c r="BW831" s="90"/>
      <c r="BX831" s="90"/>
      <c r="BY831" s="90"/>
      <c r="BZ831" s="90"/>
      <c r="CA831" s="90"/>
      <c r="CB831" s="90"/>
      <c r="CC831" s="90"/>
      <c r="CD831" s="90"/>
      <c r="CE831" s="90"/>
      <c r="CF831" s="90"/>
      <c r="CG831" s="90"/>
      <c r="CH831" s="90"/>
      <c r="CI831" s="90"/>
      <c r="CJ831" s="90"/>
      <c r="CK831" s="90"/>
      <c r="CL831" s="90"/>
      <c r="CM831" s="90"/>
      <c r="CN831" s="90"/>
      <c r="CO831" s="90"/>
      <c r="CP831" s="90"/>
      <c r="CQ831" s="90"/>
      <c r="CR831" s="90"/>
      <c r="CS831" s="90"/>
      <c r="CT831" s="90"/>
      <c r="CU831" s="90"/>
      <c r="CV831" s="90"/>
      <c r="CW831" s="90"/>
    </row>
    <row r="832" ht="16.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0"/>
      <c r="BQ832" s="90"/>
      <c r="BR832" s="90"/>
      <c r="BS832" s="90"/>
      <c r="BT832" s="90"/>
      <c r="BU832" s="90"/>
      <c r="BV832" s="90"/>
      <c r="BW832" s="90"/>
      <c r="BX832" s="90"/>
      <c r="BY832" s="90"/>
      <c r="BZ832" s="90"/>
      <c r="CA832" s="90"/>
      <c r="CB832" s="90"/>
      <c r="CC832" s="90"/>
      <c r="CD832" s="90"/>
      <c r="CE832" s="90"/>
      <c r="CF832" s="90"/>
      <c r="CG832" s="90"/>
      <c r="CH832" s="90"/>
      <c r="CI832" s="90"/>
      <c r="CJ832" s="90"/>
      <c r="CK832" s="90"/>
      <c r="CL832" s="90"/>
      <c r="CM832" s="90"/>
      <c r="CN832" s="90"/>
      <c r="CO832" s="90"/>
      <c r="CP832" s="90"/>
      <c r="CQ832" s="90"/>
      <c r="CR832" s="90"/>
      <c r="CS832" s="90"/>
      <c r="CT832" s="90"/>
      <c r="CU832" s="90"/>
      <c r="CV832" s="90"/>
      <c r="CW832" s="90"/>
    </row>
    <row r="833" ht="16.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90"/>
      <c r="BI833" s="90"/>
      <c r="BJ833" s="90"/>
      <c r="BK833" s="90"/>
      <c r="BL833" s="90"/>
      <c r="BM833" s="90"/>
      <c r="BN833" s="90"/>
      <c r="BO833" s="90"/>
      <c r="BP833" s="90"/>
      <c r="BQ833" s="90"/>
      <c r="BR833" s="90"/>
      <c r="BS833" s="90"/>
      <c r="BT833" s="90"/>
      <c r="BU833" s="90"/>
      <c r="BV833" s="90"/>
      <c r="BW833" s="90"/>
      <c r="BX833" s="90"/>
      <c r="BY833" s="90"/>
      <c r="BZ833" s="90"/>
      <c r="CA833" s="90"/>
      <c r="CB833" s="90"/>
      <c r="CC833" s="90"/>
      <c r="CD833" s="90"/>
      <c r="CE833" s="90"/>
      <c r="CF833" s="90"/>
      <c r="CG833" s="90"/>
      <c r="CH833" s="90"/>
      <c r="CI833" s="90"/>
      <c r="CJ833" s="90"/>
      <c r="CK833" s="90"/>
      <c r="CL833" s="90"/>
      <c r="CM833" s="90"/>
      <c r="CN833" s="90"/>
      <c r="CO833" s="90"/>
      <c r="CP833" s="90"/>
      <c r="CQ833" s="90"/>
      <c r="CR833" s="90"/>
      <c r="CS833" s="90"/>
      <c r="CT833" s="90"/>
      <c r="CU833" s="90"/>
      <c r="CV833" s="90"/>
      <c r="CW833" s="90"/>
    </row>
    <row r="834" ht="16.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0"/>
      <c r="BQ834" s="90"/>
      <c r="BR834" s="90"/>
      <c r="BS834" s="90"/>
      <c r="BT834" s="90"/>
      <c r="BU834" s="90"/>
      <c r="BV834" s="90"/>
      <c r="BW834" s="90"/>
      <c r="BX834" s="90"/>
      <c r="BY834" s="90"/>
      <c r="BZ834" s="90"/>
      <c r="CA834" s="90"/>
      <c r="CB834" s="90"/>
      <c r="CC834" s="90"/>
      <c r="CD834" s="90"/>
      <c r="CE834" s="90"/>
      <c r="CF834" s="90"/>
      <c r="CG834" s="90"/>
      <c r="CH834" s="90"/>
      <c r="CI834" s="90"/>
      <c r="CJ834" s="90"/>
      <c r="CK834" s="90"/>
      <c r="CL834" s="90"/>
      <c r="CM834" s="90"/>
      <c r="CN834" s="90"/>
      <c r="CO834" s="90"/>
      <c r="CP834" s="90"/>
      <c r="CQ834" s="90"/>
      <c r="CR834" s="90"/>
      <c r="CS834" s="90"/>
      <c r="CT834" s="90"/>
      <c r="CU834" s="90"/>
      <c r="CV834" s="90"/>
      <c r="CW834" s="90"/>
    </row>
    <row r="835" ht="16.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H835" s="90"/>
      <c r="BI835" s="90"/>
      <c r="BJ835" s="90"/>
      <c r="BK835" s="90"/>
      <c r="BL835" s="90"/>
      <c r="BM835" s="90"/>
      <c r="BN835" s="90"/>
      <c r="BO835" s="90"/>
      <c r="BP835" s="90"/>
      <c r="BQ835" s="90"/>
      <c r="BR835" s="90"/>
      <c r="BS835" s="90"/>
      <c r="BT835" s="90"/>
      <c r="BU835" s="90"/>
      <c r="BV835" s="90"/>
      <c r="BW835" s="90"/>
      <c r="BX835" s="90"/>
      <c r="BY835" s="90"/>
      <c r="BZ835" s="90"/>
      <c r="CA835" s="90"/>
      <c r="CB835" s="90"/>
      <c r="CC835" s="90"/>
      <c r="CD835" s="90"/>
      <c r="CE835" s="90"/>
      <c r="CF835" s="90"/>
      <c r="CG835" s="90"/>
      <c r="CH835" s="90"/>
      <c r="CI835" s="90"/>
      <c r="CJ835" s="90"/>
      <c r="CK835" s="90"/>
      <c r="CL835" s="90"/>
      <c r="CM835" s="90"/>
      <c r="CN835" s="90"/>
      <c r="CO835" s="90"/>
      <c r="CP835" s="90"/>
      <c r="CQ835" s="90"/>
      <c r="CR835" s="90"/>
      <c r="CS835" s="90"/>
      <c r="CT835" s="90"/>
      <c r="CU835" s="90"/>
      <c r="CV835" s="90"/>
      <c r="CW835" s="90"/>
    </row>
    <row r="836" ht="16.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0"/>
      <c r="BQ836" s="90"/>
      <c r="BR836" s="90"/>
      <c r="BS836" s="90"/>
      <c r="BT836" s="90"/>
      <c r="BU836" s="90"/>
      <c r="BV836" s="90"/>
      <c r="BW836" s="90"/>
      <c r="BX836" s="90"/>
      <c r="BY836" s="90"/>
      <c r="BZ836" s="90"/>
      <c r="CA836" s="90"/>
      <c r="CB836" s="90"/>
      <c r="CC836" s="90"/>
      <c r="CD836" s="90"/>
      <c r="CE836" s="90"/>
      <c r="CF836" s="90"/>
      <c r="CG836" s="90"/>
      <c r="CH836" s="90"/>
      <c r="CI836" s="90"/>
      <c r="CJ836" s="90"/>
      <c r="CK836" s="90"/>
      <c r="CL836" s="90"/>
      <c r="CM836" s="90"/>
      <c r="CN836" s="90"/>
      <c r="CO836" s="90"/>
      <c r="CP836" s="90"/>
      <c r="CQ836" s="90"/>
      <c r="CR836" s="90"/>
      <c r="CS836" s="90"/>
      <c r="CT836" s="90"/>
      <c r="CU836" s="90"/>
      <c r="CV836" s="90"/>
      <c r="CW836" s="90"/>
    </row>
    <row r="837" ht="16.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H837" s="90"/>
      <c r="BI837" s="90"/>
      <c r="BJ837" s="90"/>
      <c r="BK837" s="90"/>
      <c r="BL837" s="90"/>
      <c r="BM837" s="90"/>
      <c r="BN837" s="90"/>
      <c r="BO837" s="90"/>
      <c r="BP837" s="90"/>
      <c r="BQ837" s="90"/>
      <c r="BR837" s="90"/>
      <c r="BS837" s="90"/>
      <c r="BT837" s="90"/>
      <c r="BU837" s="90"/>
      <c r="BV837" s="90"/>
      <c r="BW837" s="90"/>
      <c r="BX837" s="90"/>
      <c r="BY837" s="90"/>
      <c r="BZ837" s="90"/>
      <c r="CA837" s="90"/>
      <c r="CB837" s="90"/>
      <c r="CC837" s="90"/>
      <c r="CD837" s="90"/>
      <c r="CE837" s="90"/>
      <c r="CF837" s="90"/>
      <c r="CG837" s="90"/>
      <c r="CH837" s="90"/>
      <c r="CI837" s="90"/>
      <c r="CJ837" s="90"/>
      <c r="CK837" s="90"/>
      <c r="CL837" s="90"/>
      <c r="CM837" s="90"/>
      <c r="CN837" s="90"/>
      <c r="CO837" s="90"/>
      <c r="CP837" s="90"/>
      <c r="CQ837" s="90"/>
      <c r="CR837" s="90"/>
      <c r="CS837" s="90"/>
      <c r="CT837" s="90"/>
      <c r="CU837" s="90"/>
      <c r="CV837" s="90"/>
      <c r="CW837" s="90"/>
    </row>
    <row r="838" ht="16.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0"/>
      <c r="BQ838" s="90"/>
      <c r="BR838" s="90"/>
      <c r="BS838" s="90"/>
      <c r="BT838" s="90"/>
      <c r="BU838" s="90"/>
      <c r="BV838" s="90"/>
      <c r="BW838" s="90"/>
      <c r="BX838" s="90"/>
      <c r="BY838" s="90"/>
      <c r="BZ838" s="90"/>
      <c r="CA838" s="90"/>
      <c r="CB838" s="90"/>
      <c r="CC838" s="90"/>
      <c r="CD838" s="90"/>
      <c r="CE838" s="90"/>
      <c r="CF838" s="90"/>
      <c r="CG838" s="90"/>
      <c r="CH838" s="90"/>
      <c r="CI838" s="90"/>
      <c r="CJ838" s="90"/>
      <c r="CK838" s="90"/>
      <c r="CL838" s="90"/>
      <c r="CM838" s="90"/>
      <c r="CN838" s="90"/>
      <c r="CO838" s="90"/>
      <c r="CP838" s="90"/>
      <c r="CQ838" s="90"/>
      <c r="CR838" s="90"/>
      <c r="CS838" s="90"/>
      <c r="CT838" s="90"/>
      <c r="CU838" s="90"/>
      <c r="CV838" s="90"/>
      <c r="CW838" s="90"/>
    </row>
    <row r="839" ht="16.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H839" s="90"/>
      <c r="BI839" s="90"/>
      <c r="BJ839" s="90"/>
      <c r="BK839" s="90"/>
      <c r="BL839" s="90"/>
      <c r="BM839" s="90"/>
      <c r="BN839" s="90"/>
      <c r="BO839" s="90"/>
      <c r="BP839" s="90"/>
      <c r="BQ839" s="90"/>
      <c r="BR839" s="90"/>
      <c r="BS839" s="90"/>
      <c r="BT839" s="90"/>
      <c r="BU839" s="90"/>
      <c r="BV839" s="90"/>
      <c r="BW839" s="90"/>
      <c r="BX839" s="90"/>
      <c r="BY839" s="90"/>
      <c r="BZ839" s="90"/>
      <c r="CA839" s="90"/>
      <c r="CB839" s="90"/>
      <c r="CC839" s="90"/>
      <c r="CD839" s="90"/>
      <c r="CE839" s="90"/>
      <c r="CF839" s="90"/>
      <c r="CG839" s="90"/>
      <c r="CH839" s="90"/>
      <c r="CI839" s="90"/>
      <c r="CJ839" s="90"/>
      <c r="CK839" s="90"/>
      <c r="CL839" s="90"/>
      <c r="CM839" s="90"/>
      <c r="CN839" s="90"/>
      <c r="CO839" s="90"/>
      <c r="CP839" s="90"/>
      <c r="CQ839" s="90"/>
      <c r="CR839" s="90"/>
      <c r="CS839" s="90"/>
      <c r="CT839" s="90"/>
      <c r="CU839" s="90"/>
      <c r="CV839" s="90"/>
      <c r="CW839" s="90"/>
    </row>
    <row r="840" ht="16.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0"/>
      <c r="BQ840" s="90"/>
      <c r="BR840" s="90"/>
      <c r="BS840" s="90"/>
      <c r="BT840" s="90"/>
      <c r="BU840" s="90"/>
      <c r="BV840" s="90"/>
      <c r="BW840" s="90"/>
      <c r="BX840" s="90"/>
      <c r="BY840" s="90"/>
      <c r="BZ840" s="90"/>
      <c r="CA840" s="90"/>
      <c r="CB840" s="90"/>
      <c r="CC840" s="90"/>
      <c r="CD840" s="90"/>
      <c r="CE840" s="90"/>
      <c r="CF840" s="90"/>
      <c r="CG840" s="90"/>
      <c r="CH840" s="90"/>
      <c r="CI840" s="90"/>
      <c r="CJ840" s="90"/>
      <c r="CK840" s="90"/>
      <c r="CL840" s="90"/>
      <c r="CM840" s="90"/>
      <c r="CN840" s="90"/>
      <c r="CO840" s="90"/>
      <c r="CP840" s="90"/>
      <c r="CQ840" s="90"/>
      <c r="CR840" s="90"/>
      <c r="CS840" s="90"/>
      <c r="CT840" s="90"/>
      <c r="CU840" s="90"/>
      <c r="CV840" s="90"/>
      <c r="CW840" s="90"/>
    </row>
    <row r="841" ht="16.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90"/>
      <c r="BI841" s="90"/>
      <c r="BJ841" s="90"/>
      <c r="BK841" s="90"/>
      <c r="BL841" s="90"/>
      <c r="BM841" s="90"/>
      <c r="BN841" s="90"/>
      <c r="BO841" s="90"/>
      <c r="BP841" s="90"/>
      <c r="BQ841" s="90"/>
      <c r="BR841" s="90"/>
      <c r="BS841" s="90"/>
      <c r="BT841" s="90"/>
      <c r="BU841" s="90"/>
      <c r="BV841" s="90"/>
      <c r="BW841" s="90"/>
      <c r="BX841" s="90"/>
      <c r="BY841" s="90"/>
      <c r="BZ841" s="90"/>
      <c r="CA841" s="90"/>
      <c r="CB841" s="90"/>
      <c r="CC841" s="90"/>
      <c r="CD841" s="90"/>
      <c r="CE841" s="90"/>
      <c r="CF841" s="90"/>
      <c r="CG841" s="90"/>
      <c r="CH841" s="90"/>
      <c r="CI841" s="90"/>
      <c r="CJ841" s="90"/>
      <c r="CK841" s="90"/>
      <c r="CL841" s="90"/>
      <c r="CM841" s="90"/>
      <c r="CN841" s="90"/>
      <c r="CO841" s="90"/>
      <c r="CP841" s="90"/>
      <c r="CQ841" s="90"/>
      <c r="CR841" s="90"/>
      <c r="CS841" s="90"/>
      <c r="CT841" s="90"/>
      <c r="CU841" s="90"/>
      <c r="CV841" s="90"/>
      <c r="CW841" s="90"/>
    </row>
    <row r="842" ht="16.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0"/>
      <c r="BQ842" s="90"/>
      <c r="BR842" s="90"/>
      <c r="BS842" s="90"/>
      <c r="BT842" s="90"/>
      <c r="BU842" s="90"/>
      <c r="BV842" s="90"/>
      <c r="BW842" s="90"/>
      <c r="BX842" s="90"/>
      <c r="BY842" s="90"/>
      <c r="BZ842" s="90"/>
      <c r="CA842" s="90"/>
      <c r="CB842" s="90"/>
      <c r="CC842" s="90"/>
      <c r="CD842" s="90"/>
      <c r="CE842" s="90"/>
      <c r="CF842" s="90"/>
      <c r="CG842" s="90"/>
      <c r="CH842" s="90"/>
      <c r="CI842" s="90"/>
      <c r="CJ842" s="90"/>
      <c r="CK842" s="90"/>
      <c r="CL842" s="90"/>
      <c r="CM842" s="90"/>
      <c r="CN842" s="90"/>
      <c r="CO842" s="90"/>
      <c r="CP842" s="90"/>
      <c r="CQ842" s="90"/>
      <c r="CR842" s="90"/>
      <c r="CS842" s="90"/>
      <c r="CT842" s="90"/>
      <c r="CU842" s="90"/>
      <c r="CV842" s="90"/>
      <c r="CW842" s="90"/>
    </row>
    <row r="843" ht="16.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H843" s="90"/>
      <c r="BI843" s="90"/>
      <c r="BJ843" s="90"/>
      <c r="BK843" s="90"/>
      <c r="BL843" s="90"/>
      <c r="BM843" s="90"/>
      <c r="BN843" s="90"/>
      <c r="BO843" s="90"/>
      <c r="BP843" s="90"/>
      <c r="BQ843" s="90"/>
      <c r="BR843" s="90"/>
      <c r="BS843" s="90"/>
      <c r="BT843" s="90"/>
      <c r="BU843" s="90"/>
      <c r="BV843" s="90"/>
      <c r="BW843" s="90"/>
      <c r="BX843" s="90"/>
      <c r="BY843" s="90"/>
      <c r="BZ843" s="90"/>
      <c r="CA843" s="90"/>
      <c r="CB843" s="90"/>
      <c r="CC843" s="90"/>
      <c r="CD843" s="90"/>
      <c r="CE843" s="90"/>
      <c r="CF843" s="90"/>
      <c r="CG843" s="90"/>
      <c r="CH843" s="90"/>
      <c r="CI843" s="90"/>
      <c r="CJ843" s="90"/>
      <c r="CK843" s="90"/>
      <c r="CL843" s="90"/>
      <c r="CM843" s="90"/>
      <c r="CN843" s="90"/>
      <c r="CO843" s="90"/>
      <c r="CP843" s="90"/>
      <c r="CQ843" s="90"/>
      <c r="CR843" s="90"/>
      <c r="CS843" s="90"/>
      <c r="CT843" s="90"/>
      <c r="CU843" s="90"/>
      <c r="CV843" s="90"/>
      <c r="CW843" s="90"/>
    </row>
    <row r="844" ht="16.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0"/>
      <c r="BQ844" s="90"/>
      <c r="BR844" s="90"/>
      <c r="BS844" s="90"/>
      <c r="BT844" s="90"/>
      <c r="BU844" s="90"/>
      <c r="BV844" s="90"/>
      <c r="BW844" s="90"/>
      <c r="BX844" s="90"/>
      <c r="BY844" s="90"/>
      <c r="BZ844" s="90"/>
      <c r="CA844" s="90"/>
      <c r="CB844" s="90"/>
      <c r="CC844" s="90"/>
      <c r="CD844" s="90"/>
      <c r="CE844" s="90"/>
      <c r="CF844" s="90"/>
      <c r="CG844" s="90"/>
      <c r="CH844" s="90"/>
      <c r="CI844" s="90"/>
      <c r="CJ844" s="90"/>
      <c r="CK844" s="90"/>
      <c r="CL844" s="90"/>
      <c r="CM844" s="90"/>
      <c r="CN844" s="90"/>
      <c r="CO844" s="90"/>
      <c r="CP844" s="90"/>
      <c r="CQ844" s="90"/>
      <c r="CR844" s="90"/>
      <c r="CS844" s="90"/>
      <c r="CT844" s="90"/>
      <c r="CU844" s="90"/>
      <c r="CV844" s="90"/>
      <c r="CW844" s="90"/>
    </row>
    <row r="845" ht="16.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H845" s="90"/>
      <c r="BI845" s="90"/>
      <c r="BJ845" s="90"/>
      <c r="BK845" s="90"/>
      <c r="BL845" s="90"/>
      <c r="BM845" s="90"/>
      <c r="BN845" s="90"/>
      <c r="BO845" s="90"/>
      <c r="BP845" s="90"/>
      <c r="BQ845" s="90"/>
      <c r="BR845" s="90"/>
      <c r="BS845" s="90"/>
      <c r="BT845" s="90"/>
      <c r="BU845" s="90"/>
      <c r="BV845" s="90"/>
      <c r="BW845" s="90"/>
      <c r="BX845" s="90"/>
      <c r="BY845" s="90"/>
      <c r="BZ845" s="90"/>
      <c r="CA845" s="90"/>
      <c r="CB845" s="90"/>
      <c r="CC845" s="90"/>
      <c r="CD845" s="90"/>
      <c r="CE845" s="90"/>
      <c r="CF845" s="90"/>
      <c r="CG845" s="90"/>
      <c r="CH845" s="90"/>
      <c r="CI845" s="90"/>
      <c r="CJ845" s="90"/>
      <c r="CK845" s="90"/>
      <c r="CL845" s="90"/>
      <c r="CM845" s="90"/>
      <c r="CN845" s="90"/>
      <c r="CO845" s="90"/>
      <c r="CP845" s="90"/>
      <c r="CQ845" s="90"/>
      <c r="CR845" s="90"/>
      <c r="CS845" s="90"/>
      <c r="CT845" s="90"/>
      <c r="CU845" s="90"/>
      <c r="CV845" s="90"/>
      <c r="CW845" s="90"/>
    </row>
    <row r="846" ht="16.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0"/>
      <c r="BQ846" s="90"/>
      <c r="BR846" s="90"/>
      <c r="BS846" s="90"/>
      <c r="BT846" s="90"/>
      <c r="BU846" s="90"/>
      <c r="BV846" s="90"/>
      <c r="BW846" s="90"/>
      <c r="BX846" s="90"/>
      <c r="BY846" s="90"/>
      <c r="BZ846" s="90"/>
      <c r="CA846" s="90"/>
      <c r="CB846" s="90"/>
      <c r="CC846" s="90"/>
      <c r="CD846" s="90"/>
      <c r="CE846" s="90"/>
      <c r="CF846" s="90"/>
      <c r="CG846" s="90"/>
      <c r="CH846" s="90"/>
      <c r="CI846" s="90"/>
      <c r="CJ846" s="90"/>
      <c r="CK846" s="90"/>
      <c r="CL846" s="90"/>
      <c r="CM846" s="90"/>
      <c r="CN846" s="90"/>
      <c r="CO846" s="90"/>
      <c r="CP846" s="90"/>
      <c r="CQ846" s="90"/>
      <c r="CR846" s="90"/>
      <c r="CS846" s="90"/>
      <c r="CT846" s="90"/>
      <c r="CU846" s="90"/>
      <c r="CV846" s="90"/>
      <c r="CW846" s="90"/>
    </row>
    <row r="847" ht="16.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90"/>
      <c r="BI847" s="90"/>
      <c r="BJ847" s="90"/>
      <c r="BK847" s="90"/>
      <c r="BL847" s="90"/>
      <c r="BM847" s="90"/>
      <c r="BN847" s="90"/>
      <c r="BO847" s="90"/>
      <c r="BP847" s="90"/>
      <c r="BQ847" s="90"/>
      <c r="BR847" s="90"/>
      <c r="BS847" s="90"/>
      <c r="BT847" s="90"/>
      <c r="BU847" s="90"/>
      <c r="BV847" s="90"/>
      <c r="BW847" s="90"/>
      <c r="BX847" s="90"/>
      <c r="BY847" s="90"/>
      <c r="BZ847" s="90"/>
      <c r="CA847" s="90"/>
      <c r="CB847" s="90"/>
      <c r="CC847" s="90"/>
      <c r="CD847" s="90"/>
      <c r="CE847" s="90"/>
      <c r="CF847" s="90"/>
      <c r="CG847" s="90"/>
      <c r="CH847" s="90"/>
      <c r="CI847" s="90"/>
      <c r="CJ847" s="90"/>
      <c r="CK847" s="90"/>
      <c r="CL847" s="90"/>
      <c r="CM847" s="90"/>
      <c r="CN847" s="90"/>
      <c r="CO847" s="90"/>
      <c r="CP847" s="90"/>
      <c r="CQ847" s="90"/>
      <c r="CR847" s="90"/>
      <c r="CS847" s="90"/>
      <c r="CT847" s="90"/>
      <c r="CU847" s="90"/>
      <c r="CV847" s="90"/>
      <c r="CW847" s="90"/>
    </row>
    <row r="848" ht="16.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0"/>
      <c r="BQ848" s="90"/>
      <c r="BR848" s="90"/>
      <c r="BS848" s="90"/>
      <c r="BT848" s="90"/>
      <c r="BU848" s="90"/>
      <c r="BV848" s="90"/>
      <c r="BW848" s="90"/>
      <c r="BX848" s="90"/>
      <c r="BY848" s="90"/>
      <c r="BZ848" s="90"/>
      <c r="CA848" s="90"/>
      <c r="CB848" s="90"/>
      <c r="CC848" s="90"/>
      <c r="CD848" s="90"/>
      <c r="CE848" s="90"/>
      <c r="CF848" s="90"/>
      <c r="CG848" s="90"/>
      <c r="CH848" s="90"/>
      <c r="CI848" s="90"/>
      <c r="CJ848" s="90"/>
      <c r="CK848" s="90"/>
      <c r="CL848" s="90"/>
      <c r="CM848" s="90"/>
      <c r="CN848" s="90"/>
      <c r="CO848" s="90"/>
      <c r="CP848" s="90"/>
      <c r="CQ848" s="90"/>
      <c r="CR848" s="90"/>
      <c r="CS848" s="90"/>
      <c r="CT848" s="90"/>
      <c r="CU848" s="90"/>
      <c r="CV848" s="90"/>
      <c r="CW848" s="90"/>
    </row>
    <row r="849" ht="16.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H849" s="90"/>
      <c r="BI849" s="90"/>
      <c r="BJ849" s="90"/>
      <c r="BK849" s="90"/>
      <c r="BL849" s="90"/>
      <c r="BM849" s="90"/>
      <c r="BN849" s="90"/>
      <c r="BO849" s="90"/>
      <c r="BP849" s="90"/>
      <c r="BQ849" s="90"/>
      <c r="BR849" s="90"/>
      <c r="BS849" s="90"/>
      <c r="BT849" s="90"/>
      <c r="BU849" s="90"/>
      <c r="BV849" s="90"/>
      <c r="BW849" s="90"/>
      <c r="BX849" s="90"/>
      <c r="BY849" s="90"/>
      <c r="BZ849" s="90"/>
      <c r="CA849" s="90"/>
      <c r="CB849" s="90"/>
      <c r="CC849" s="90"/>
      <c r="CD849" s="90"/>
      <c r="CE849" s="90"/>
      <c r="CF849" s="90"/>
      <c r="CG849" s="90"/>
      <c r="CH849" s="90"/>
      <c r="CI849" s="90"/>
      <c r="CJ849" s="90"/>
      <c r="CK849" s="90"/>
      <c r="CL849" s="90"/>
      <c r="CM849" s="90"/>
      <c r="CN849" s="90"/>
      <c r="CO849" s="90"/>
      <c r="CP849" s="90"/>
      <c r="CQ849" s="90"/>
      <c r="CR849" s="90"/>
      <c r="CS849" s="90"/>
      <c r="CT849" s="90"/>
      <c r="CU849" s="90"/>
      <c r="CV849" s="90"/>
      <c r="CW849" s="90"/>
    </row>
    <row r="850" ht="16.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0"/>
      <c r="BQ850" s="90"/>
      <c r="BR850" s="90"/>
      <c r="BS850" s="90"/>
      <c r="BT850" s="90"/>
      <c r="BU850" s="90"/>
      <c r="BV850" s="90"/>
      <c r="BW850" s="90"/>
      <c r="BX850" s="90"/>
      <c r="BY850" s="90"/>
      <c r="BZ850" s="90"/>
      <c r="CA850" s="90"/>
      <c r="CB850" s="90"/>
      <c r="CC850" s="90"/>
      <c r="CD850" s="90"/>
      <c r="CE850" s="90"/>
      <c r="CF850" s="90"/>
      <c r="CG850" s="90"/>
      <c r="CH850" s="90"/>
      <c r="CI850" s="90"/>
      <c r="CJ850" s="90"/>
      <c r="CK850" s="90"/>
      <c r="CL850" s="90"/>
      <c r="CM850" s="90"/>
      <c r="CN850" s="90"/>
      <c r="CO850" s="90"/>
      <c r="CP850" s="90"/>
      <c r="CQ850" s="90"/>
      <c r="CR850" s="90"/>
      <c r="CS850" s="90"/>
      <c r="CT850" s="90"/>
      <c r="CU850" s="90"/>
      <c r="CV850" s="90"/>
      <c r="CW850" s="90"/>
    </row>
    <row r="851" ht="16.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H851" s="90"/>
      <c r="BI851" s="90"/>
      <c r="BJ851" s="90"/>
      <c r="BK851" s="90"/>
      <c r="BL851" s="90"/>
      <c r="BM851" s="90"/>
      <c r="BN851" s="90"/>
      <c r="BO851" s="90"/>
      <c r="BP851" s="90"/>
      <c r="BQ851" s="90"/>
      <c r="BR851" s="90"/>
      <c r="BS851" s="90"/>
      <c r="BT851" s="90"/>
      <c r="BU851" s="90"/>
      <c r="BV851" s="90"/>
      <c r="BW851" s="90"/>
      <c r="BX851" s="90"/>
      <c r="BY851" s="90"/>
      <c r="BZ851" s="90"/>
      <c r="CA851" s="90"/>
      <c r="CB851" s="90"/>
      <c r="CC851" s="90"/>
      <c r="CD851" s="90"/>
      <c r="CE851" s="90"/>
      <c r="CF851" s="90"/>
      <c r="CG851" s="90"/>
      <c r="CH851" s="90"/>
      <c r="CI851" s="90"/>
      <c r="CJ851" s="90"/>
      <c r="CK851" s="90"/>
      <c r="CL851" s="90"/>
      <c r="CM851" s="90"/>
      <c r="CN851" s="90"/>
      <c r="CO851" s="90"/>
      <c r="CP851" s="90"/>
      <c r="CQ851" s="90"/>
      <c r="CR851" s="90"/>
      <c r="CS851" s="90"/>
      <c r="CT851" s="90"/>
      <c r="CU851" s="90"/>
      <c r="CV851" s="90"/>
      <c r="CW851" s="90"/>
    </row>
    <row r="852" ht="16.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0"/>
      <c r="BQ852" s="90"/>
      <c r="BR852" s="90"/>
      <c r="BS852" s="90"/>
      <c r="BT852" s="90"/>
      <c r="BU852" s="90"/>
      <c r="BV852" s="90"/>
      <c r="BW852" s="90"/>
      <c r="BX852" s="90"/>
      <c r="BY852" s="90"/>
      <c r="BZ852" s="90"/>
      <c r="CA852" s="90"/>
      <c r="CB852" s="90"/>
      <c r="CC852" s="90"/>
      <c r="CD852" s="90"/>
      <c r="CE852" s="90"/>
      <c r="CF852" s="90"/>
      <c r="CG852" s="90"/>
      <c r="CH852" s="90"/>
      <c r="CI852" s="90"/>
      <c r="CJ852" s="90"/>
      <c r="CK852" s="90"/>
      <c r="CL852" s="90"/>
      <c r="CM852" s="90"/>
      <c r="CN852" s="90"/>
      <c r="CO852" s="90"/>
      <c r="CP852" s="90"/>
      <c r="CQ852" s="90"/>
      <c r="CR852" s="90"/>
      <c r="CS852" s="90"/>
      <c r="CT852" s="90"/>
      <c r="CU852" s="90"/>
      <c r="CV852" s="90"/>
      <c r="CW852" s="90"/>
    </row>
    <row r="853" ht="16.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H853" s="90"/>
      <c r="BI853" s="90"/>
      <c r="BJ853" s="90"/>
      <c r="BK853" s="90"/>
      <c r="BL853" s="90"/>
      <c r="BM853" s="90"/>
      <c r="BN853" s="90"/>
      <c r="BO853" s="90"/>
      <c r="BP853" s="90"/>
      <c r="BQ853" s="90"/>
      <c r="BR853" s="90"/>
      <c r="BS853" s="90"/>
      <c r="BT853" s="90"/>
      <c r="BU853" s="90"/>
      <c r="BV853" s="90"/>
      <c r="BW853" s="90"/>
      <c r="BX853" s="90"/>
      <c r="BY853" s="90"/>
      <c r="BZ853" s="90"/>
      <c r="CA853" s="90"/>
      <c r="CB853" s="90"/>
      <c r="CC853" s="90"/>
      <c r="CD853" s="90"/>
      <c r="CE853" s="90"/>
      <c r="CF853" s="90"/>
      <c r="CG853" s="90"/>
      <c r="CH853" s="90"/>
      <c r="CI853" s="90"/>
      <c r="CJ853" s="90"/>
      <c r="CK853" s="90"/>
      <c r="CL853" s="90"/>
      <c r="CM853" s="90"/>
      <c r="CN853" s="90"/>
      <c r="CO853" s="90"/>
      <c r="CP853" s="90"/>
      <c r="CQ853" s="90"/>
      <c r="CR853" s="90"/>
      <c r="CS853" s="90"/>
      <c r="CT853" s="90"/>
      <c r="CU853" s="90"/>
      <c r="CV853" s="90"/>
      <c r="CW853" s="90"/>
    </row>
    <row r="854" ht="16.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0"/>
      <c r="BQ854" s="90"/>
      <c r="BR854" s="90"/>
      <c r="BS854" s="90"/>
      <c r="BT854" s="90"/>
      <c r="BU854" s="90"/>
      <c r="BV854" s="90"/>
      <c r="BW854" s="90"/>
      <c r="BX854" s="90"/>
      <c r="BY854" s="90"/>
      <c r="BZ854" s="90"/>
      <c r="CA854" s="90"/>
      <c r="CB854" s="90"/>
      <c r="CC854" s="90"/>
      <c r="CD854" s="90"/>
      <c r="CE854" s="90"/>
      <c r="CF854" s="90"/>
      <c r="CG854" s="90"/>
      <c r="CH854" s="90"/>
      <c r="CI854" s="90"/>
      <c r="CJ854" s="90"/>
      <c r="CK854" s="90"/>
      <c r="CL854" s="90"/>
      <c r="CM854" s="90"/>
      <c r="CN854" s="90"/>
      <c r="CO854" s="90"/>
      <c r="CP854" s="90"/>
      <c r="CQ854" s="90"/>
      <c r="CR854" s="90"/>
      <c r="CS854" s="90"/>
      <c r="CT854" s="90"/>
      <c r="CU854" s="90"/>
      <c r="CV854" s="90"/>
      <c r="CW854" s="90"/>
    </row>
    <row r="855" ht="16.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H855" s="90"/>
      <c r="BI855" s="90"/>
      <c r="BJ855" s="90"/>
      <c r="BK855" s="90"/>
      <c r="BL855" s="90"/>
      <c r="BM855" s="90"/>
      <c r="BN855" s="90"/>
      <c r="BO855" s="90"/>
      <c r="BP855" s="90"/>
      <c r="BQ855" s="90"/>
      <c r="BR855" s="90"/>
      <c r="BS855" s="90"/>
      <c r="BT855" s="90"/>
      <c r="BU855" s="90"/>
      <c r="BV855" s="90"/>
      <c r="BW855" s="90"/>
      <c r="BX855" s="90"/>
      <c r="BY855" s="90"/>
      <c r="BZ855" s="90"/>
      <c r="CA855" s="90"/>
      <c r="CB855" s="90"/>
      <c r="CC855" s="90"/>
      <c r="CD855" s="90"/>
      <c r="CE855" s="90"/>
      <c r="CF855" s="90"/>
      <c r="CG855" s="90"/>
      <c r="CH855" s="90"/>
      <c r="CI855" s="90"/>
      <c r="CJ855" s="90"/>
      <c r="CK855" s="90"/>
      <c r="CL855" s="90"/>
      <c r="CM855" s="90"/>
      <c r="CN855" s="90"/>
      <c r="CO855" s="90"/>
      <c r="CP855" s="90"/>
      <c r="CQ855" s="90"/>
      <c r="CR855" s="90"/>
      <c r="CS855" s="90"/>
      <c r="CT855" s="90"/>
      <c r="CU855" s="90"/>
      <c r="CV855" s="90"/>
      <c r="CW855" s="90"/>
    </row>
    <row r="856" ht="16.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0"/>
      <c r="BQ856" s="90"/>
      <c r="BR856" s="90"/>
      <c r="BS856" s="90"/>
      <c r="BT856" s="90"/>
      <c r="BU856" s="90"/>
      <c r="BV856" s="90"/>
      <c r="BW856" s="90"/>
      <c r="BX856" s="90"/>
      <c r="BY856" s="90"/>
      <c r="BZ856" s="90"/>
      <c r="CA856" s="90"/>
      <c r="CB856" s="90"/>
      <c r="CC856" s="90"/>
      <c r="CD856" s="90"/>
      <c r="CE856" s="90"/>
      <c r="CF856" s="90"/>
      <c r="CG856" s="90"/>
      <c r="CH856" s="90"/>
      <c r="CI856" s="90"/>
      <c r="CJ856" s="90"/>
      <c r="CK856" s="90"/>
      <c r="CL856" s="90"/>
      <c r="CM856" s="90"/>
      <c r="CN856" s="90"/>
      <c r="CO856" s="90"/>
      <c r="CP856" s="90"/>
      <c r="CQ856" s="90"/>
      <c r="CR856" s="90"/>
      <c r="CS856" s="90"/>
      <c r="CT856" s="90"/>
      <c r="CU856" s="90"/>
      <c r="CV856" s="90"/>
      <c r="CW856" s="90"/>
    </row>
    <row r="857" ht="16.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H857" s="90"/>
      <c r="BI857" s="90"/>
      <c r="BJ857" s="90"/>
      <c r="BK857" s="90"/>
      <c r="BL857" s="90"/>
      <c r="BM857" s="90"/>
      <c r="BN857" s="90"/>
      <c r="BO857" s="90"/>
      <c r="BP857" s="90"/>
      <c r="BQ857" s="90"/>
      <c r="BR857" s="90"/>
      <c r="BS857" s="90"/>
      <c r="BT857" s="90"/>
      <c r="BU857" s="90"/>
      <c r="BV857" s="90"/>
      <c r="BW857" s="90"/>
      <c r="BX857" s="90"/>
      <c r="BY857" s="90"/>
      <c r="BZ857" s="90"/>
      <c r="CA857" s="90"/>
      <c r="CB857" s="90"/>
      <c r="CC857" s="90"/>
      <c r="CD857" s="90"/>
      <c r="CE857" s="90"/>
      <c r="CF857" s="90"/>
      <c r="CG857" s="90"/>
      <c r="CH857" s="90"/>
      <c r="CI857" s="90"/>
      <c r="CJ857" s="90"/>
      <c r="CK857" s="90"/>
      <c r="CL857" s="90"/>
      <c r="CM857" s="90"/>
      <c r="CN857" s="90"/>
      <c r="CO857" s="90"/>
      <c r="CP857" s="90"/>
      <c r="CQ857" s="90"/>
      <c r="CR857" s="90"/>
      <c r="CS857" s="90"/>
      <c r="CT857" s="90"/>
      <c r="CU857" s="90"/>
      <c r="CV857" s="90"/>
      <c r="CW857" s="90"/>
    </row>
    <row r="858" ht="16.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0"/>
      <c r="BQ858" s="90"/>
      <c r="BR858" s="90"/>
      <c r="BS858" s="90"/>
      <c r="BT858" s="90"/>
      <c r="BU858" s="90"/>
      <c r="BV858" s="90"/>
      <c r="BW858" s="90"/>
      <c r="BX858" s="90"/>
      <c r="BY858" s="90"/>
      <c r="BZ858" s="90"/>
      <c r="CA858" s="90"/>
      <c r="CB858" s="90"/>
      <c r="CC858" s="90"/>
      <c r="CD858" s="90"/>
      <c r="CE858" s="90"/>
      <c r="CF858" s="90"/>
      <c r="CG858" s="90"/>
      <c r="CH858" s="90"/>
      <c r="CI858" s="90"/>
      <c r="CJ858" s="90"/>
      <c r="CK858" s="90"/>
      <c r="CL858" s="90"/>
      <c r="CM858" s="90"/>
      <c r="CN858" s="90"/>
      <c r="CO858" s="90"/>
      <c r="CP858" s="90"/>
      <c r="CQ858" s="90"/>
      <c r="CR858" s="90"/>
      <c r="CS858" s="90"/>
      <c r="CT858" s="90"/>
      <c r="CU858" s="90"/>
      <c r="CV858" s="90"/>
      <c r="CW858" s="90"/>
    </row>
    <row r="859" ht="16.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H859" s="90"/>
      <c r="BI859" s="90"/>
      <c r="BJ859" s="90"/>
      <c r="BK859" s="90"/>
      <c r="BL859" s="90"/>
      <c r="BM859" s="90"/>
      <c r="BN859" s="90"/>
      <c r="BO859" s="90"/>
      <c r="BP859" s="90"/>
      <c r="BQ859" s="90"/>
      <c r="BR859" s="90"/>
      <c r="BS859" s="90"/>
      <c r="BT859" s="90"/>
      <c r="BU859" s="90"/>
      <c r="BV859" s="90"/>
      <c r="BW859" s="90"/>
      <c r="BX859" s="90"/>
      <c r="BY859" s="90"/>
      <c r="BZ859" s="90"/>
      <c r="CA859" s="90"/>
      <c r="CB859" s="90"/>
      <c r="CC859" s="90"/>
      <c r="CD859" s="90"/>
      <c r="CE859" s="90"/>
      <c r="CF859" s="90"/>
      <c r="CG859" s="90"/>
      <c r="CH859" s="90"/>
      <c r="CI859" s="90"/>
      <c r="CJ859" s="90"/>
      <c r="CK859" s="90"/>
      <c r="CL859" s="90"/>
      <c r="CM859" s="90"/>
      <c r="CN859" s="90"/>
      <c r="CO859" s="90"/>
      <c r="CP859" s="90"/>
      <c r="CQ859" s="90"/>
      <c r="CR859" s="90"/>
      <c r="CS859" s="90"/>
      <c r="CT859" s="90"/>
      <c r="CU859" s="90"/>
      <c r="CV859" s="90"/>
      <c r="CW859" s="90"/>
    </row>
    <row r="860" ht="16.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0"/>
      <c r="BQ860" s="90"/>
      <c r="BR860" s="90"/>
      <c r="BS860" s="90"/>
      <c r="BT860" s="90"/>
      <c r="BU860" s="90"/>
      <c r="BV860" s="90"/>
      <c r="BW860" s="90"/>
      <c r="BX860" s="90"/>
      <c r="BY860" s="90"/>
      <c r="BZ860" s="90"/>
      <c r="CA860" s="90"/>
      <c r="CB860" s="90"/>
      <c r="CC860" s="90"/>
      <c r="CD860" s="90"/>
      <c r="CE860" s="90"/>
      <c r="CF860" s="90"/>
      <c r="CG860" s="90"/>
      <c r="CH860" s="90"/>
      <c r="CI860" s="90"/>
      <c r="CJ860" s="90"/>
      <c r="CK860" s="90"/>
      <c r="CL860" s="90"/>
      <c r="CM860" s="90"/>
      <c r="CN860" s="90"/>
      <c r="CO860" s="90"/>
      <c r="CP860" s="90"/>
      <c r="CQ860" s="90"/>
      <c r="CR860" s="90"/>
      <c r="CS860" s="90"/>
      <c r="CT860" s="90"/>
      <c r="CU860" s="90"/>
      <c r="CV860" s="90"/>
      <c r="CW860" s="90"/>
    </row>
    <row r="861" ht="16.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H861" s="90"/>
      <c r="BI861" s="90"/>
      <c r="BJ861" s="90"/>
      <c r="BK861" s="90"/>
      <c r="BL861" s="90"/>
      <c r="BM861" s="90"/>
      <c r="BN861" s="90"/>
      <c r="BO861" s="90"/>
      <c r="BP861" s="90"/>
      <c r="BQ861" s="90"/>
      <c r="BR861" s="90"/>
      <c r="BS861" s="90"/>
      <c r="BT861" s="90"/>
      <c r="BU861" s="90"/>
      <c r="BV861" s="90"/>
      <c r="BW861" s="90"/>
      <c r="BX861" s="90"/>
      <c r="BY861" s="90"/>
      <c r="BZ861" s="90"/>
      <c r="CA861" s="90"/>
      <c r="CB861" s="90"/>
      <c r="CC861" s="90"/>
      <c r="CD861" s="90"/>
      <c r="CE861" s="90"/>
      <c r="CF861" s="90"/>
      <c r="CG861" s="90"/>
      <c r="CH861" s="90"/>
      <c r="CI861" s="90"/>
      <c r="CJ861" s="90"/>
      <c r="CK861" s="90"/>
      <c r="CL861" s="90"/>
      <c r="CM861" s="90"/>
      <c r="CN861" s="90"/>
      <c r="CO861" s="90"/>
      <c r="CP861" s="90"/>
      <c r="CQ861" s="90"/>
      <c r="CR861" s="90"/>
      <c r="CS861" s="90"/>
      <c r="CT861" s="90"/>
      <c r="CU861" s="90"/>
      <c r="CV861" s="90"/>
      <c r="CW861" s="90"/>
    </row>
    <row r="862" ht="16.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0"/>
      <c r="BQ862" s="90"/>
      <c r="BR862" s="90"/>
      <c r="BS862" s="90"/>
      <c r="BT862" s="90"/>
      <c r="BU862" s="90"/>
      <c r="BV862" s="90"/>
      <c r="BW862" s="90"/>
      <c r="BX862" s="90"/>
      <c r="BY862" s="90"/>
      <c r="BZ862" s="90"/>
      <c r="CA862" s="90"/>
      <c r="CB862" s="90"/>
      <c r="CC862" s="90"/>
      <c r="CD862" s="90"/>
      <c r="CE862" s="90"/>
      <c r="CF862" s="90"/>
      <c r="CG862" s="90"/>
      <c r="CH862" s="90"/>
      <c r="CI862" s="90"/>
      <c r="CJ862" s="90"/>
      <c r="CK862" s="90"/>
      <c r="CL862" s="90"/>
      <c r="CM862" s="90"/>
      <c r="CN862" s="90"/>
      <c r="CO862" s="90"/>
      <c r="CP862" s="90"/>
      <c r="CQ862" s="90"/>
      <c r="CR862" s="90"/>
      <c r="CS862" s="90"/>
      <c r="CT862" s="90"/>
      <c r="CU862" s="90"/>
      <c r="CV862" s="90"/>
      <c r="CW862" s="90"/>
    </row>
    <row r="863" ht="16.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H863" s="90"/>
      <c r="BI863" s="90"/>
      <c r="BJ863" s="90"/>
      <c r="BK863" s="90"/>
      <c r="BL863" s="90"/>
      <c r="BM863" s="90"/>
      <c r="BN863" s="90"/>
      <c r="BO863" s="90"/>
      <c r="BP863" s="90"/>
      <c r="BQ863" s="90"/>
      <c r="BR863" s="90"/>
      <c r="BS863" s="90"/>
      <c r="BT863" s="90"/>
      <c r="BU863" s="90"/>
      <c r="BV863" s="90"/>
      <c r="BW863" s="90"/>
      <c r="BX863" s="90"/>
      <c r="BY863" s="90"/>
      <c r="BZ863" s="90"/>
      <c r="CA863" s="90"/>
      <c r="CB863" s="90"/>
      <c r="CC863" s="90"/>
      <c r="CD863" s="90"/>
      <c r="CE863" s="90"/>
      <c r="CF863" s="90"/>
      <c r="CG863" s="90"/>
      <c r="CH863" s="90"/>
      <c r="CI863" s="90"/>
      <c r="CJ863" s="90"/>
      <c r="CK863" s="90"/>
      <c r="CL863" s="90"/>
      <c r="CM863" s="90"/>
      <c r="CN863" s="90"/>
      <c r="CO863" s="90"/>
      <c r="CP863" s="90"/>
      <c r="CQ863" s="90"/>
      <c r="CR863" s="90"/>
      <c r="CS863" s="90"/>
      <c r="CT863" s="90"/>
      <c r="CU863" s="90"/>
      <c r="CV863" s="90"/>
      <c r="CW863" s="90"/>
    </row>
    <row r="864" ht="16.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0"/>
      <c r="BQ864" s="90"/>
      <c r="BR864" s="90"/>
      <c r="BS864" s="90"/>
      <c r="BT864" s="90"/>
      <c r="BU864" s="90"/>
      <c r="BV864" s="90"/>
      <c r="BW864" s="90"/>
      <c r="BX864" s="90"/>
      <c r="BY864" s="90"/>
      <c r="BZ864" s="90"/>
      <c r="CA864" s="90"/>
      <c r="CB864" s="90"/>
      <c r="CC864" s="90"/>
      <c r="CD864" s="90"/>
      <c r="CE864" s="90"/>
      <c r="CF864" s="90"/>
      <c r="CG864" s="90"/>
      <c r="CH864" s="90"/>
      <c r="CI864" s="90"/>
      <c r="CJ864" s="90"/>
      <c r="CK864" s="90"/>
      <c r="CL864" s="90"/>
      <c r="CM864" s="90"/>
      <c r="CN864" s="90"/>
      <c r="CO864" s="90"/>
      <c r="CP864" s="90"/>
      <c r="CQ864" s="90"/>
      <c r="CR864" s="90"/>
      <c r="CS864" s="90"/>
      <c r="CT864" s="90"/>
      <c r="CU864" s="90"/>
      <c r="CV864" s="90"/>
      <c r="CW864" s="90"/>
    </row>
    <row r="865" ht="16.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H865" s="90"/>
      <c r="BI865" s="90"/>
      <c r="BJ865" s="90"/>
      <c r="BK865" s="90"/>
      <c r="BL865" s="90"/>
      <c r="BM865" s="90"/>
      <c r="BN865" s="90"/>
      <c r="BO865" s="90"/>
      <c r="BP865" s="90"/>
      <c r="BQ865" s="90"/>
      <c r="BR865" s="90"/>
      <c r="BS865" s="90"/>
      <c r="BT865" s="90"/>
      <c r="BU865" s="90"/>
      <c r="BV865" s="90"/>
      <c r="BW865" s="90"/>
      <c r="BX865" s="90"/>
      <c r="BY865" s="90"/>
      <c r="BZ865" s="90"/>
      <c r="CA865" s="90"/>
      <c r="CB865" s="90"/>
      <c r="CC865" s="90"/>
      <c r="CD865" s="90"/>
      <c r="CE865" s="90"/>
      <c r="CF865" s="90"/>
      <c r="CG865" s="90"/>
      <c r="CH865" s="90"/>
      <c r="CI865" s="90"/>
      <c r="CJ865" s="90"/>
      <c r="CK865" s="90"/>
      <c r="CL865" s="90"/>
      <c r="CM865" s="90"/>
      <c r="CN865" s="90"/>
      <c r="CO865" s="90"/>
      <c r="CP865" s="90"/>
      <c r="CQ865" s="90"/>
      <c r="CR865" s="90"/>
      <c r="CS865" s="90"/>
      <c r="CT865" s="90"/>
      <c r="CU865" s="90"/>
      <c r="CV865" s="90"/>
      <c r="CW865" s="90"/>
    </row>
    <row r="866" ht="16.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0"/>
      <c r="BQ866" s="90"/>
      <c r="BR866" s="90"/>
      <c r="BS866" s="90"/>
      <c r="BT866" s="90"/>
      <c r="BU866" s="90"/>
      <c r="BV866" s="90"/>
      <c r="BW866" s="90"/>
      <c r="BX866" s="90"/>
      <c r="BY866" s="90"/>
      <c r="BZ866" s="90"/>
      <c r="CA866" s="90"/>
      <c r="CB866" s="90"/>
      <c r="CC866" s="90"/>
      <c r="CD866" s="90"/>
      <c r="CE866" s="90"/>
      <c r="CF866" s="90"/>
      <c r="CG866" s="90"/>
      <c r="CH866" s="90"/>
      <c r="CI866" s="90"/>
      <c r="CJ866" s="90"/>
      <c r="CK866" s="90"/>
      <c r="CL866" s="90"/>
      <c r="CM866" s="90"/>
      <c r="CN866" s="90"/>
      <c r="CO866" s="90"/>
      <c r="CP866" s="90"/>
      <c r="CQ866" s="90"/>
      <c r="CR866" s="90"/>
      <c r="CS866" s="90"/>
      <c r="CT866" s="90"/>
      <c r="CU866" s="90"/>
      <c r="CV866" s="90"/>
      <c r="CW866" s="90"/>
    </row>
    <row r="867" ht="16.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H867" s="90"/>
      <c r="BI867" s="90"/>
      <c r="BJ867" s="90"/>
      <c r="BK867" s="90"/>
      <c r="BL867" s="90"/>
      <c r="BM867" s="90"/>
      <c r="BN867" s="90"/>
      <c r="BO867" s="90"/>
      <c r="BP867" s="90"/>
      <c r="BQ867" s="90"/>
      <c r="BR867" s="90"/>
      <c r="BS867" s="90"/>
      <c r="BT867" s="90"/>
      <c r="BU867" s="90"/>
      <c r="BV867" s="90"/>
      <c r="BW867" s="90"/>
      <c r="BX867" s="90"/>
      <c r="BY867" s="90"/>
      <c r="BZ867" s="90"/>
      <c r="CA867" s="90"/>
      <c r="CB867" s="90"/>
      <c r="CC867" s="90"/>
      <c r="CD867" s="90"/>
      <c r="CE867" s="90"/>
      <c r="CF867" s="90"/>
      <c r="CG867" s="90"/>
      <c r="CH867" s="90"/>
      <c r="CI867" s="90"/>
      <c r="CJ867" s="90"/>
      <c r="CK867" s="90"/>
      <c r="CL867" s="90"/>
      <c r="CM867" s="90"/>
      <c r="CN867" s="90"/>
      <c r="CO867" s="90"/>
      <c r="CP867" s="90"/>
      <c r="CQ867" s="90"/>
      <c r="CR867" s="90"/>
      <c r="CS867" s="90"/>
      <c r="CT867" s="90"/>
      <c r="CU867" s="90"/>
      <c r="CV867" s="90"/>
      <c r="CW867" s="90"/>
    </row>
    <row r="868" ht="16.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0"/>
      <c r="BQ868" s="90"/>
      <c r="BR868" s="90"/>
      <c r="BS868" s="90"/>
      <c r="BT868" s="90"/>
      <c r="BU868" s="90"/>
      <c r="BV868" s="90"/>
      <c r="BW868" s="90"/>
      <c r="BX868" s="90"/>
      <c r="BY868" s="90"/>
      <c r="BZ868" s="90"/>
      <c r="CA868" s="90"/>
      <c r="CB868" s="90"/>
      <c r="CC868" s="90"/>
      <c r="CD868" s="90"/>
      <c r="CE868" s="90"/>
      <c r="CF868" s="90"/>
      <c r="CG868" s="90"/>
      <c r="CH868" s="90"/>
      <c r="CI868" s="90"/>
      <c r="CJ868" s="90"/>
      <c r="CK868" s="90"/>
      <c r="CL868" s="90"/>
      <c r="CM868" s="90"/>
      <c r="CN868" s="90"/>
      <c r="CO868" s="90"/>
      <c r="CP868" s="90"/>
      <c r="CQ868" s="90"/>
      <c r="CR868" s="90"/>
      <c r="CS868" s="90"/>
      <c r="CT868" s="90"/>
      <c r="CU868" s="90"/>
      <c r="CV868" s="90"/>
      <c r="CW868" s="90"/>
    </row>
    <row r="869" ht="16.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H869" s="90"/>
      <c r="BI869" s="90"/>
      <c r="BJ869" s="90"/>
      <c r="BK869" s="90"/>
      <c r="BL869" s="90"/>
      <c r="BM869" s="90"/>
      <c r="BN869" s="90"/>
      <c r="BO869" s="90"/>
      <c r="BP869" s="90"/>
      <c r="BQ869" s="90"/>
      <c r="BR869" s="90"/>
      <c r="BS869" s="90"/>
      <c r="BT869" s="90"/>
      <c r="BU869" s="90"/>
      <c r="BV869" s="90"/>
      <c r="BW869" s="90"/>
      <c r="BX869" s="90"/>
      <c r="BY869" s="90"/>
      <c r="BZ869" s="90"/>
      <c r="CA869" s="90"/>
      <c r="CB869" s="90"/>
      <c r="CC869" s="90"/>
      <c r="CD869" s="90"/>
      <c r="CE869" s="90"/>
      <c r="CF869" s="90"/>
      <c r="CG869" s="90"/>
      <c r="CH869" s="90"/>
      <c r="CI869" s="90"/>
      <c r="CJ869" s="90"/>
      <c r="CK869" s="90"/>
      <c r="CL869" s="90"/>
      <c r="CM869" s="90"/>
      <c r="CN869" s="90"/>
      <c r="CO869" s="90"/>
      <c r="CP869" s="90"/>
      <c r="CQ869" s="90"/>
      <c r="CR869" s="90"/>
      <c r="CS869" s="90"/>
      <c r="CT869" s="90"/>
      <c r="CU869" s="90"/>
      <c r="CV869" s="90"/>
      <c r="CW869" s="90"/>
    </row>
    <row r="870" ht="16.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0"/>
      <c r="BQ870" s="90"/>
      <c r="BR870" s="90"/>
      <c r="BS870" s="90"/>
      <c r="BT870" s="90"/>
      <c r="BU870" s="90"/>
      <c r="BV870" s="90"/>
      <c r="BW870" s="90"/>
      <c r="BX870" s="90"/>
      <c r="BY870" s="90"/>
      <c r="BZ870" s="90"/>
      <c r="CA870" s="90"/>
      <c r="CB870" s="90"/>
      <c r="CC870" s="90"/>
      <c r="CD870" s="90"/>
      <c r="CE870" s="90"/>
      <c r="CF870" s="90"/>
      <c r="CG870" s="90"/>
      <c r="CH870" s="90"/>
      <c r="CI870" s="90"/>
      <c r="CJ870" s="90"/>
      <c r="CK870" s="90"/>
      <c r="CL870" s="90"/>
      <c r="CM870" s="90"/>
      <c r="CN870" s="90"/>
      <c r="CO870" s="90"/>
      <c r="CP870" s="90"/>
      <c r="CQ870" s="90"/>
      <c r="CR870" s="90"/>
      <c r="CS870" s="90"/>
      <c r="CT870" s="90"/>
      <c r="CU870" s="90"/>
      <c r="CV870" s="90"/>
      <c r="CW870" s="90"/>
    </row>
    <row r="871" ht="16.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H871" s="90"/>
      <c r="BI871" s="90"/>
      <c r="BJ871" s="90"/>
      <c r="BK871" s="90"/>
      <c r="BL871" s="90"/>
      <c r="BM871" s="90"/>
      <c r="BN871" s="90"/>
      <c r="BO871" s="90"/>
      <c r="BP871" s="90"/>
      <c r="BQ871" s="90"/>
      <c r="BR871" s="90"/>
      <c r="BS871" s="90"/>
      <c r="BT871" s="90"/>
      <c r="BU871" s="90"/>
      <c r="BV871" s="90"/>
      <c r="BW871" s="90"/>
      <c r="BX871" s="90"/>
      <c r="BY871" s="90"/>
      <c r="BZ871" s="90"/>
      <c r="CA871" s="90"/>
      <c r="CB871" s="90"/>
      <c r="CC871" s="90"/>
      <c r="CD871" s="90"/>
      <c r="CE871" s="90"/>
      <c r="CF871" s="90"/>
      <c r="CG871" s="90"/>
      <c r="CH871" s="90"/>
      <c r="CI871" s="90"/>
      <c r="CJ871" s="90"/>
      <c r="CK871" s="90"/>
      <c r="CL871" s="90"/>
      <c r="CM871" s="90"/>
      <c r="CN871" s="90"/>
      <c r="CO871" s="90"/>
      <c r="CP871" s="90"/>
      <c r="CQ871" s="90"/>
      <c r="CR871" s="90"/>
      <c r="CS871" s="90"/>
      <c r="CT871" s="90"/>
      <c r="CU871" s="90"/>
      <c r="CV871" s="90"/>
      <c r="CW871" s="90"/>
    </row>
    <row r="872" ht="16.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0"/>
      <c r="BQ872" s="90"/>
      <c r="BR872" s="90"/>
      <c r="BS872" s="90"/>
      <c r="BT872" s="90"/>
      <c r="BU872" s="90"/>
      <c r="BV872" s="90"/>
      <c r="BW872" s="90"/>
      <c r="BX872" s="90"/>
      <c r="BY872" s="90"/>
      <c r="BZ872" s="90"/>
      <c r="CA872" s="90"/>
      <c r="CB872" s="90"/>
      <c r="CC872" s="90"/>
      <c r="CD872" s="90"/>
      <c r="CE872" s="90"/>
      <c r="CF872" s="90"/>
      <c r="CG872" s="90"/>
      <c r="CH872" s="90"/>
      <c r="CI872" s="90"/>
      <c r="CJ872" s="90"/>
      <c r="CK872" s="90"/>
      <c r="CL872" s="90"/>
      <c r="CM872" s="90"/>
      <c r="CN872" s="90"/>
      <c r="CO872" s="90"/>
      <c r="CP872" s="90"/>
      <c r="CQ872" s="90"/>
      <c r="CR872" s="90"/>
      <c r="CS872" s="90"/>
      <c r="CT872" s="90"/>
      <c r="CU872" s="90"/>
      <c r="CV872" s="90"/>
      <c r="CW872" s="90"/>
    </row>
    <row r="873" ht="16.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H873" s="90"/>
      <c r="BI873" s="90"/>
      <c r="BJ873" s="90"/>
      <c r="BK873" s="90"/>
      <c r="BL873" s="90"/>
      <c r="BM873" s="90"/>
      <c r="BN873" s="90"/>
      <c r="BO873" s="90"/>
      <c r="BP873" s="90"/>
      <c r="BQ873" s="90"/>
      <c r="BR873" s="90"/>
      <c r="BS873" s="90"/>
      <c r="BT873" s="90"/>
      <c r="BU873" s="90"/>
      <c r="BV873" s="90"/>
      <c r="BW873" s="90"/>
      <c r="BX873" s="90"/>
      <c r="BY873" s="90"/>
      <c r="BZ873" s="90"/>
      <c r="CA873" s="90"/>
      <c r="CB873" s="90"/>
      <c r="CC873" s="90"/>
      <c r="CD873" s="90"/>
      <c r="CE873" s="90"/>
      <c r="CF873" s="90"/>
      <c r="CG873" s="90"/>
      <c r="CH873" s="90"/>
      <c r="CI873" s="90"/>
      <c r="CJ873" s="90"/>
      <c r="CK873" s="90"/>
      <c r="CL873" s="90"/>
      <c r="CM873" s="90"/>
      <c r="CN873" s="90"/>
      <c r="CO873" s="90"/>
      <c r="CP873" s="90"/>
      <c r="CQ873" s="90"/>
      <c r="CR873" s="90"/>
      <c r="CS873" s="90"/>
      <c r="CT873" s="90"/>
      <c r="CU873" s="90"/>
      <c r="CV873" s="90"/>
      <c r="CW873" s="90"/>
    </row>
    <row r="874" ht="16.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0"/>
      <c r="BQ874" s="90"/>
      <c r="BR874" s="90"/>
      <c r="BS874" s="90"/>
      <c r="BT874" s="90"/>
      <c r="BU874" s="90"/>
      <c r="BV874" s="90"/>
      <c r="BW874" s="90"/>
      <c r="BX874" s="90"/>
      <c r="BY874" s="90"/>
      <c r="BZ874" s="90"/>
      <c r="CA874" s="90"/>
      <c r="CB874" s="90"/>
      <c r="CC874" s="90"/>
      <c r="CD874" s="90"/>
      <c r="CE874" s="90"/>
      <c r="CF874" s="90"/>
      <c r="CG874" s="90"/>
      <c r="CH874" s="90"/>
      <c r="CI874" s="90"/>
      <c r="CJ874" s="90"/>
      <c r="CK874" s="90"/>
      <c r="CL874" s="90"/>
      <c r="CM874" s="90"/>
      <c r="CN874" s="90"/>
      <c r="CO874" s="90"/>
      <c r="CP874" s="90"/>
      <c r="CQ874" s="90"/>
      <c r="CR874" s="90"/>
      <c r="CS874" s="90"/>
      <c r="CT874" s="90"/>
      <c r="CU874" s="90"/>
      <c r="CV874" s="90"/>
      <c r="CW874" s="90"/>
    </row>
    <row r="875" ht="16.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H875" s="90"/>
      <c r="BI875" s="90"/>
      <c r="BJ875" s="90"/>
      <c r="BK875" s="90"/>
      <c r="BL875" s="90"/>
      <c r="BM875" s="90"/>
      <c r="BN875" s="90"/>
      <c r="BO875" s="90"/>
      <c r="BP875" s="90"/>
      <c r="BQ875" s="90"/>
      <c r="BR875" s="90"/>
      <c r="BS875" s="90"/>
      <c r="BT875" s="90"/>
      <c r="BU875" s="90"/>
      <c r="BV875" s="90"/>
      <c r="BW875" s="90"/>
      <c r="BX875" s="90"/>
      <c r="BY875" s="90"/>
      <c r="BZ875" s="90"/>
      <c r="CA875" s="90"/>
      <c r="CB875" s="90"/>
      <c r="CC875" s="90"/>
      <c r="CD875" s="90"/>
      <c r="CE875" s="90"/>
      <c r="CF875" s="90"/>
      <c r="CG875" s="90"/>
      <c r="CH875" s="90"/>
      <c r="CI875" s="90"/>
      <c r="CJ875" s="90"/>
      <c r="CK875" s="90"/>
      <c r="CL875" s="90"/>
      <c r="CM875" s="90"/>
      <c r="CN875" s="90"/>
      <c r="CO875" s="90"/>
      <c r="CP875" s="90"/>
      <c r="CQ875" s="90"/>
      <c r="CR875" s="90"/>
      <c r="CS875" s="90"/>
      <c r="CT875" s="90"/>
      <c r="CU875" s="90"/>
      <c r="CV875" s="90"/>
      <c r="CW875" s="90"/>
    </row>
    <row r="876" ht="16.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0"/>
      <c r="BQ876" s="90"/>
      <c r="BR876" s="90"/>
      <c r="BS876" s="90"/>
      <c r="BT876" s="90"/>
      <c r="BU876" s="90"/>
      <c r="BV876" s="90"/>
      <c r="BW876" s="90"/>
      <c r="BX876" s="90"/>
      <c r="BY876" s="90"/>
      <c r="BZ876" s="90"/>
      <c r="CA876" s="90"/>
      <c r="CB876" s="90"/>
      <c r="CC876" s="90"/>
      <c r="CD876" s="90"/>
      <c r="CE876" s="90"/>
      <c r="CF876" s="90"/>
      <c r="CG876" s="90"/>
      <c r="CH876" s="90"/>
      <c r="CI876" s="90"/>
      <c r="CJ876" s="90"/>
      <c r="CK876" s="90"/>
      <c r="CL876" s="90"/>
      <c r="CM876" s="90"/>
      <c r="CN876" s="90"/>
      <c r="CO876" s="90"/>
      <c r="CP876" s="90"/>
      <c r="CQ876" s="90"/>
      <c r="CR876" s="90"/>
      <c r="CS876" s="90"/>
      <c r="CT876" s="90"/>
      <c r="CU876" s="90"/>
      <c r="CV876" s="90"/>
      <c r="CW876" s="90"/>
    </row>
    <row r="877" ht="16.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H877" s="90"/>
      <c r="BI877" s="90"/>
      <c r="BJ877" s="90"/>
      <c r="BK877" s="90"/>
      <c r="BL877" s="90"/>
      <c r="BM877" s="90"/>
      <c r="BN877" s="90"/>
      <c r="BO877" s="90"/>
      <c r="BP877" s="90"/>
      <c r="BQ877" s="90"/>
      <c r="BR877" s="90"/>
      <c r="BS877" s="90"/>
      <c r="BT877" s="90"/>
      <c r="BU877" s="90"/>
      <c r="BV877" s="90"/>
      <c r="BW877" s="90"/>
      <c r="BX877" s="90"/>
      <c r="BY877" s="90"/>
      <c r="BZ877" s="90"/>
      <c r="CA877" s="90"/>
      <c r="CB877" s="90"/>
      <c r="CC877" s="90"/>
      <c r="CD877" s="90"/>
      <c r="CE877" s="90"/>
      <c r="CF877" s="90"/>
      <c r="CG877" s="90"/>
      <c r="CH877" s="90"/>
      <c r="CI877" s="90"/>
      <c r="CJ877" s="90"/>
      <c r="CK877" s="90"/>
      <c r="CL877" s="90"/>
      <c r="CM877" s="90"/>
      <c r="CN877" s="90"/>
      <c r="CO877" s="90"/>
      <c r="CP877" s="90"/>
      <c r="CQ877" s="90"/>
      <c r="CR877" s="90"/>
      <c r="CS877" s="90"/>
      <c r="CT877" s="90"/>
      <c r="CU877" s="90"/>
      <c r="CV877" s="90"/>
      <c r="CW877" s="90"/>
    </row>
    <row r="878" ht="16.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0"/>
      <c r="BQ878" s="90"/>
      <c r="BR878" s="90"/>
      <c r="BS878" s="90"/>
      <c r="BT878" s="90"/>
      <c r="BU878" s="90"/>
      <c r="BV878" s="90"/>
      <c r="BW878" s="90"/>
      <c r="BX878" s="90"/>
      <c r="BY878" s="90"/>
      <c r="BZ878" s="90"/>
      <c r="CA878" s="90"/>
      <c r="CB878" s="90"/>
      <c r="CC878" s="90"/>
      <c r="CD878" s="90"/>
      <c r="CE878" s="90"/>
      <c r="CF878" s="90"/>
      <c r="CG878" s="90"/>
      <c r="CH878" s="90"/>
      <c r="CI878" s="90"/>
      <c r="CJ878" s="90"/>
      <c r="CK878" s="90"/>
      <c r="CL878" s="90"/>
      <c r="CM878" s="90"/>
      <c r="CN878" s="90"/>
      <c r="CO878" s="90"/>
      <c r="CP878" s="90"/>
      <c r="CQ878" s="90"/>
      <c r="CR878" s="90"/>
      <c r="CS878" s="90"/>
      <c r="CT878" s="90"/>
      <c r="CU878" s="90"/>
      <c r="CV878" s="90"/>
      <c r="CW878" s="90"/>
    </row>
    <row r="879" ht="16.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H879" s="90"/>
      <c r="BI879" s="90"/>
      <c r="BJ879" s="90"/>
      <c r="BK879" s="90"/>
      <c r="BL879" s="90"/>
      <c r="BM879" s="90"/>
      <c r="BN879" s="90"/>
      <c r="BO879" s="90"/>
      <c r="BP879" s="90"/>
      <c r="BQ879" s="90"/>
      <c r="BR879" s="90"/>
      <c r="BS879" s="90"/>
      <c r="BT879" s="90"/>
      <c r="BU879" s="90"/>
      <c r="BV879" s="90"/>
      <c r="BW879" s="90"/>
      <c r="BX879" s="90"/>
      <c r="BY879" s="90"/>
      <c r="BZ879" s="90"/>
      <c r="CA879" s="90"/>
      <c r="CB879" s="90"/>
      <c r="CC879" s="90"/>
      <c r="CD879" s="90"/>
      <c r="CE879" s="90"/>
      <c r="CF879" s="90"/>
      <c r="CG879" s="90"/>
      <c r="CH879" s="90"/>
      <c r="CI879" s="90"/>
      <c r="CJ879" s="90"/>
      <c r="CK879" s="90"/>
      <c r="CL879" s="90"/>
      <c r="CM879" s="90"/>
      <c r="CN879" s="90"/>
      <c r="CO879" s="90"/>
      <c r="CP879" s="90"/>
      <c r="CQ879" s="90"/>
      <c r="CR879" s="90"/>
      <c r="CS879" s="90"/>
      <c r="CT879" s="90"/>
      <c r="CU879" s="90"/>
      <c r="CV879" s="90"/>
      <c r="CW879" s="90"/>
    </row>
    <row r="880" ht="16.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0"/>
      <c r="BQ880" s="90"/>
      <c r="BR880" s="90"/>
      <c r="BS880" s="90"/>
      <c r="BT880" s="90"/>
      <c r="BU880" s="90"/>
      <c r="BV880" s="90"/>
      <c r="BW880" s="90"/>
      <c r="BX880" s="90"/>
      <c r="BY880" s="90"/>
      <c r="BZ880" s="90"/>
      <c r="CA880" s="90"/>
      <c r="CB880" s="90"/>
      <c r="CC880" s="90"/>
      <c r="CD880" s="90"/>
      <c r="CE880" s="90"/>
      <c r="CF880" s="90"/>
      <c r="CG880" s="90"/>
      <c r="CH880" s="90"/>
      <c r="CI880" s="90"/>
      <c r="CJ880" s="90"/>
      <c r="CK880" s="90"/>
      <c r="CL880" s="90"/>
      <c r="CM880" s="90"/>
      <c r="CN880" s="90"/>
      <c r="CO880" s="90"/>
      <c r="CP880" s="90"/>
      <c r="CQ880" s="90"/>
      <c r="CR880" s="90"/>
      <c r="CS880" s="90"/>
      <c r="CT880" s="90"/>
      <c r="CU880" s="90"/>
      <c r="CV880" s="90"/>
      <c r="CW880" s="90"/>
    </row>
    <row r="881" ht="16.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H881" s="90"/>
      <c r="BI881" s="90"/>
      <c r="BJ881" s="90"/>
      <c r="BK881" s="90"/>
      <c r="BL881" s="90"/>
      <c r="BM881" s="90"/>
      <c r="BN881" s="90"/>
      <c r="BO881" s="90"/>
      <c r="BP881" s="90"/>
      <c r="BQ881" s="90"/>
      <c r="BR881" s="90"/>
      <c r="BS881" s="90"/>
      <c r="BT881" s="90"/>
      <c r="BU881" s="90"/>
      <c r="BV881" s="90"/>
      <c r="BW881" s="90"/>
      <c r="BX881" s="90"/>
      <c r="BY881" s="90"/>
      <c r="BZ881" s="90"/>
      <c r="CA881" s="90"/>
      <c r="CB881" s="90"/>
      <c r="CC881" s="90"/>
      <c r="CD881" s="90"/>
      <c r="CE881" s="90"/>
      <c r="CF881" s="90"/>
      <c r="CG881" s="90"/>
      <c r="CH881" s="90"/>
      <c r="CI881" s="90"/>
      <c r="CJ881" s="90"/>
      <c r="CK881" s="90"/>
      <c r="CL881" s="90"/>
      <c r="CM881" s="90"/>
      <c r="CN881" s="90"/>
      <c r="CO881" s="90"/>
      <c r="CP881" s="90"/>
      <c r="CQ881" s="90"/>
      <c r="CR881" s="90"/>
      <c r="CS881" s="90"/>
      <c r="CT881" s="90"/>
      <c r="CU881" s="90"/>
      <c r="CV881" s="90"/>
      <c r="CW881" s="90"/>
    </row>
    <row r="882" ht="16.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0"/>
      <c r="BQ882" s="90"/>
      <c r="BR882" s="90"/>
      <c r="BS882" s="90"/>
      <c r="BT882" s="90"/>
      <c r="BU882" s="90"/>
      <c r="BV882" s="90"/>
      <c r="BW882" s="90"/>
      <c r="BX882" s="90"/>
      <c r="BY882" s="90"/>
      <c r="BZ882" s="90"/>
      <c r="CA882" s="90"/>
      <c r="CB882" s="90"/>
      <c r="CC882" s="90"/>
      <c r="CD882" s="90"/>
      <c r="CE882" s="90"/>
      <c r="CF882" s="90"/>
      <c r="CG882" s="90"/>
      <c r="CH882" s="90"/>
      <c r="CI882" s="90"/>
      <c r="CJ882" s="90"/>
      <c r="CK882" s="90"/>
      <c r="CL882" s="90"/>
      <c r="CM882" s="90"/>
      <c r="CN882" s="90"/>
      <c r="CO882" s="90"/>
      <c r="CP882" s="90"/>
      <c r="CQ882" s="90"/>
      <c r="CR882" s="90"/>
      <c r="CS882" s="90"/>
      <c r="CT882" s="90"/>
      <c r="CU882" s="90"/>
      <c r="CV882" s="90"/>
      <c r="CW882" s="90"/>
    </row>
    <row r="883" ht="16.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H883" s="90"/>
      <c r="BI883" s="90"/>
      <c r="BJ883" s="90"/>
      <c r="BK883" s="90"/>
      <c r="BL883" s="90"/>
      <c r="BM883" s="90"/>
      <c r="BN883" s="90"/>
      <c r="BO883" s="90"/>
      <c r="BP883" s="90"/>
      <c r="BQ883" s="90"/>
      <c r="BR883" s="90"/>
      <c r="BS883" s="90"/>
      <c r="BT883" s="90"/>
      <c r="BU883" s="90"/>
      <c r="BV883" s="90"/>
      <c r="BW883" s="90"/>
      <c r="BX883" s="90"/>
      <c r="BY883" s="90"/>
      <c r="BZ883" s="90"/>
      <c r="CA883" s="90"/>
      <c r="CB883" s="90"/>
      <c r="CC883" s="90"/>
      <c r="CD883" s="90"/>
      <c r="CE883" s="90"/>
      <c r="CF883" s="90"/>
      <c r="CG883" s="90"/>
      <c r="CH883" s="90"/>
      <c r="CI883" s="90"/>
      <c r="CJ883" s="90"/>
      <c r="CK883" s="90"/>
      <c r="CL883" s="90"/>
      <c r="CM883" s="90"/>
      <c r="CN883" s="90"/>
      <c r="CO883" s="90"/>
      <c r="CP883" s="90"/>
      <c r="CQ883" s="90"/>
      <c r="CR883" s="90"/>
      <c r="CS883" s="90"/>
      <c r="CT883" s="90"/>
      <c r="CU883" s="90"/>
      <c r="CV883" s="90"/>
      <c r="CW883" s="90"/>
    </row>
    <row r="884" ht="16.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0"/>
      <c r="BQ884" s="90"/>
      <c r="BR884" s="90"/>
      <c r="BS884" s="90"/>
      <c r="BT884" s="90"/>
      <c r="BU884" s="90"/>
      <c r="BV884" s="90"/>
      <c r="BW884" s="90"/>
      <c r="BX884" s="90"/>
      <c r="BY884" s="90"/>
      <c r="BZ884" s="90"/>
      <c r="CA884" s="90"/>
      <c r="CB884" s="90"/>
      <c r="CC884" s="90"/>
      <c r="CD884" s="90"/>
      <c r="CE884" s="90"/>
      <c r="CF884" s="90"/>
      <c r="CG884" s="90"/>
      <c r="CH884" s="90"/>
      <c r="CI884" s="90"/>
      <c r="CJ884" s="90"/>
      <c r="CK884" s="90"/>
      <c r="CL884" s="90"/>
      <c r="CM884" s="90"/>
      <c r="CN884" s="90"/>
      <c r="CO884" s="90"/>
      <c r="CP884" s="90"/>
      <c r="CQ884" s="90"/>
      <c r="CR884" s="90"/>
      <c r="CS884" s="90"/>
      <c r="CT884" s="90"/>
      <c r="CU884" s="90"/>
      <c r="CV884" s="90"/>
      <c r="CW884" s="90"/>
    </row>
    <row r="885" ht="16.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H885" s="90"/>
      <c r="BI885" s="90"/>
      <c r="BJ885" s="90"/>
      <c r="BK885" s="90"/>
      <c r="BL885" s="90"/>
      <c r="BM885" s="90"/>
      <c r="BN885" s="90"/>
      <c r="BO885" s="90"/>
      <c r="BP885" s="90"/>
      <c r="BQ885" s="90"/>
      <c r="BR885" s="90"/>
      <c r="BS885" s="90"/>
      <c r="BT885" s="90"/>
      <c r="BU885" s="90"/>
      <c r="BV885" s="90"/>
      <c r="BW885" s="90"/>
      <c r="BX885" s="90"/>
      <c r="BY885" s="90"/>
      <c r="BZ885" s="90"/>
      <c r="CA885" s="90"/>
      <c r="CB885" s="90"/>
      <c r="CC885" s="90"/>
      <c r="CD885" s="90"/>
      <c r="CE885" s="90"/>
      <c r="CF885" s="90"/>
      <c r="CG885" s="90"/>
      <c r="CH885" s="90"/>
      <c r="CI885" s="90"/>
      <c r="CJ885" s="90"/>
      <c r="CK885" s="90"/>
      <c r="CL885" s="90"/>
      <c r="CM885" s="90"/>
      <c r="CN885" s="90"/>
      <c r="CO885" s="90"/>
      <c r="CP885" s="90"/>
      <c r="CQ885" s="90"/>
      <c r="CR885" s="90"/>
      <c r="CS885" s="90"/>
      <c r="CT885" s="90"/>
      <c r="CU885" s="90"/>
      <c r="CV885" s="90"/>
      <c r="CW885" s="90"/>
    </row>
    <row r="886" ht="16.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0"/>
      <c r="BQ886" s="90"/>
      <c r="BR886" s="90"/>
      <c r="BS886" s="90"/>
      <c r="BT886" s="90"/>
      <c r="BU886" s="90"/>
      <c r="BV886" s="90"/>
      <c r="BW886" s="90"/>
      <c r="BX886" s="90"/>
      <c r="BY886" s="90"/>
      <c r="BZ886" s="90"/>
      <c r="CA886" s="90"/>
      <c r="CB886" s="90"/>
      <c r="CC886" s="90"/>
      <c r="CD886" s="90"/>
      <c r="CE886" s="90"/>
      <c r="CF886" s="90"/>
      <c r="CG886" s="90"/>
      <c r="CH886" s="90"/>
      <c r="CI886" s="90"/>
      <c r="CJ886" s="90"/>
      <c r="CK886" s="90"/>
      <c r="CL886" s="90"/>
      <c r="CM886" s="90"/>
      <c r="CN886" s="90"/>
      <c r="CO886" s="90"/>
      <c r="CP886" s="90"/>
      <c r="CQ886" s="90"/>
      <c r="CR886" s="90"/>
      <c r="CS886" s="90"/>
      <c r="CT886" s="90"/>
      <c r="CU886" s="90"/>
      <c r="CV886" s="90"/>
      <c r="CW886" s="90"/>
    </row>
    <row r="887" ht="16.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H887" s="90"/>
      <c r="BI887" s="90"/>
      <c r="BJ887" s="90"/>
      <c r="BK887" s="90"/>
      <c r="BL887" s="90"/>
      <c r="BM887" s="90"/>
      <c r="BN887" s="90"/>
      <c r="BO887" s="90"/>
      <c r="BP887" s="90"/>
      <c r="BQ887" s="90"/>
      <c r="BR887" s="90"/>
      <c r="BS887" s="90"/>
      <c r="BT887" s="90"/>
      <c r="BU887" s="90"/>
      <c r="BV887" s="90"/>
      <c r="BW887" s="90"/>
      <c r="BX887" s="90"/>
      <c r="BY887" s="90"/>
      <c r="BZ887" s="90"/>
      <c r="CA887" s="90"/>
      <c r="CB887" s="90"/>
      <c r="CC887" s="90"/>
      <c r="CD887" s="90"/>
      <c r="CE887" s="90"/>
      <c r="CF887" s="90"/>
      <c r="CG887" s="90"/>
      <c r="CH887" s="90"/>
      <c r="CI887" s="90"/>
      <c r="CJ887" s="90"/>
      <c r="CK887" s="90"/>
      <c r="CL887" s="90"/>
      <c r="CM887" s="90"/>
      <c r="CN887" s="90"/>
      <c r="CO887" s="90"/>
      <c r="CP887" s="90"/>
      <c r="CQ887" s="90"/>
      <c r="CR887" s="90"/>
      <c r="CS887" s="90"/>
      <c r="CT887" s="90"/>
      <c r="CU887" s="90"/>
      <c r="CV887" s="90"/>
      <c r="CW887" s="90"/>
    </row>
    <row r="888" ht="16.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0"/>
      <c r="BQ888" s="90"/>
      <c r="BR888" s="90"/>
      <c r="BS888" s="90"/>
      <c r="BT888" s="90"/>
      <c r="BU888" s="90"/>
      <c r="BV888" s="90"/>
      <c r="BW888" s="90"/>
      <c r="BX888" s="90"/>
      <c r="BY888" s="90"/>
      <c r="BZ888" s="90"/>
      <c r="CA888" s="90"/>
      <c r="CB888" s="90"/>
      <c r="CC888" s="90"/>
      <c r="CD888" s="90"/>
      <c r="CE888" s="90"/>
      <c r="CF888" s="90"/>
      <c r="CG888" s="90"/>
      <c r="CH888" s="90"/>
      <c r="CI888" s="90"/>
      <c r="CJ888" s="90"/>
      <c r="CK888" s="90"/>
      <c r="CL888" s="90"/>
      <c r="CM888" s="90"/>
      <c r="CN888" s="90"/>
      <c r="CO888" s="90"/>
      <c r="CP888" s="90"/>
      <c r="CQ888" s="90"/>
      <c r="CR888" s="90"/>
      <c r="CS888" s="90"/>
      <c r="CT888" s="90"/>
      <c r="CU888" s="90"/>
      <c r="CV888" s="90"/>
      <c r="CW888" s="90"/>
    </row>
    <row r="889" ht="16.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H889" s="90"/>
      <c r="BI889" s="90"/>
      <c r="BJ889" s="90"/>
      <c r="BK889" s="90"/>
      <c r="BL889" s="90"/>
      <c r="BM889" s="90"/>
      <c r="BN889" s="90"/>
      <c r="BO889" s="90"/>
      <c r="BP889" s="90"/>
      <c r="BQ889" s="90"/>
      <c r="BR889" s="90"/>
      <c r="BS889" s="90"/>
      <c r="BT889" s="90"/>
      <c r="BU889" s="90"/>
      <c r="BV889" s="90"/>
      <c r="BW889" s="90"/>
      <c r="BX889" s="90"/>
      <c r="BY889" s="90"/>
      <c r="BZ889" s="90"/>
      <c r="CA889" s="90"/>
      <c r="CB889" s="90"/>
      <c r="CC889" s="90"/>
      <c r="CD889" s="90"/>
      <c r="CE889" s="90"/>
      <c r="CF889" s="90"/>
      <c r="CG889" s="90"/>
      <c r="CH889" s="90"/>
      <c r="CI889" s="90"/>
      <c r="CJ889" s="90"/>
      <c r="CK889" s="90"/>
      <c r="CL889" s="90"/>
      <c r="CM889" s="90"/>
      <c r="CN889" s="90"/>
      <c r="CO889" s="90"/>
      <c r="CP889" s="90"/>
      <c r="CQ889" s="90"/>
      <c r="CR889" s="90"/>
      <c r="CS889" s="90"/>
      <c r="CT889" s="90"/>
      <c r="CU889" s="90"/>
      <c r="CV889" s="90"/>
      <c r="CW889" s="90"/>
    </row>
    <row r="890" ht="16.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0"/>
      <c r="BQ890" s="90"/>
      <c r="BR890" s="90"/>
      <c r="BS890" s="90"/>
      <c r="BT890" s="90"/>
      <c r="BU890" s="90"/>
      <c r="BV890" s="90"/>
      <c r="BW890" s="90"/>
      <c r="BX890" s="90"/>
      <c r="BY890" s="90"/>
      <c r="BZ890" s="90"/>
      <c r="CA890" s="90"/>
      <c r="CB890" s="90"/>
      <c r="CC890" s="90"/>
      <c r="CD890" s="90"/>
      <c r="CE890" s="90"/>
      <c r="CF890" s="90"/>
      <c r="CG890" s="90"/>
      <c r="CH890" s="90"/>
      <c r="CI890" s="90"/>
      <c r="CJ890" s="90"/>
      <c r="CK890" s="90"/>
      <c r="CL890" s="90"/>
      <c r="CM890" s="90"/>
      <c r="CN890" s="90"/>
      <c r="CO890" s="90"/>
      <c r="CP890" s="90"/>
      <c r="CQ890" s="90"/>
      <c r="CR890" s="90"/>
      <c r="CS890" s="90"/>
      <c r="CT890" s="90"/>
      <c r="CU890" s="90"/>
      <c r="CV890" s="90"/>
      <c r="CW890" s="90"/>
    </row>
    <row r="891" ht="16.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H891" s="90"/>
      <c r="BI891" s="90"/>
      <c r="BJ891" s="90"/>
      <c r="BK891" s="90"/>
      <c r="BL891" s="90"/>
      <c r="BM891" s="90"/>
      <c r="BN891" s="90"/>
      <c r="BO891" s="90"/>
      <c r="BP891" s="90"/>
      <c r="BQ891" s="90"/>
      <c r="BR891" s="90"/>
      <c r="BS891" s="90"/>
      <c r="BT891" s="90"/>
      <c r="BU891" s="90"/>
      <c r="BV891" s="90"/>
      <c r="BW891" s="90"/>
      <c r="BX891" s="90"/>
      <c r="BY891" s="90"/>
      <c r="BZ891" s="90"/>
      <c r="CA891" s="90"/>
      <c r="CB891" s="90"/>
      <c r="CC891" s="90"/>
      <c r="CD891" s="90"/>
      <c r="CE891" s="90"/>
      <c r="CF891" s="90"/>
      <c r="CG891" s="90"/>
      <c r="CH891" s="90"/>
      <c r="CI891" s="90"/>
      <c r="CJ891" s="90"/>
      <c r="CK891" s="90"/>
      <c r="CL891" s="90"/>
      <c r="CM891" s="90"/>
      <c r="CN891" s="90"/>
      <c r="CO891" s="90"/>
      <c r="CP891" s="90"/>
      <c r="CQ891" s="90"/>
      <c r="CR891" s="90"/>
      <c r="CS891" s="90"/>
      <c r="CT891" s="90"/>
      <c r="CU891" s="90"/>
      <c r="CV891" s="90"/>
      <c r="CW891" s="90"/>
    </row>
    <row r="892" ht="16.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0"/>
      <c r="BQ892" s="90"/>
      <c r="BR892" s="90"/>
      <c r="BS892" s="90"/>
      <c r="BT892" s="90"/>
      <c r="BU892" s="90"/>
      <c r="BV892" s="90"/>
      <c r="BW892" s="90"/>
      <c r="BX892" s="90"/>
      <c r="BY892" s="90"/>
      <c r="BZ892" s="90"/>
      <c r="CA892" s="90"/>
      <c r="CB892" s="90"/>
      <c r="CC892" s="90"/>
      <c r="CD892" s="90"/>
      <c r="CE892" s="90"/>
      <c r="CF892" s="90"/>
      <c r="CG892" s="90"/>
      <c r="CH892" s="90"/>
      <c r="CI892" s="90"/>
      <c r="CJ892" s="90"/>
      <c r="CK892" s="90"/>
      <c r="CL892" s="90"/>
      <c r="CM892" s="90"/>
      <c r="CN892" s="90"/>
      <c r="CO892" s="90"/>
      <c r="CP892" s="90"/>
      <c r="CQ892" s="90"/>
      <c r="CR892" s="90"/>
      <c r="CS892" s="90"/>
      <c r="CT892" s="90"/>
      <c r="CU892" s="90"/>
      <c r="CV892" s="90"/>
      <c r="CW892" s="90"/>
    </row>
    <row r="893" ht="16.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H893" s="90"/>
      <c r="BI893" s="90"/>
      <c r="BJ893" s="90"/>
      <c r="BK893" s="90"/>
      <c r="BL893" s="90"/>
      <c r="BM893" s="90"/>
      <c r="BN893" s="90"/>
      <c r="BO893" s="90"/>
      <c r="BP893" s="90"/>
      <c r="BQ893" s="90"/>
      <c r="BR893" s="90"/>
      <c r="BS893" s="90"/>
      <c r="BT893" s="90"/>
      <c r="BU893" s="90"/>
      <c r="BV893" s="90"/>
      <c r="BW893" s="90"/>
      <c r="BX893" s="90"/>
      <c r="BY893" s="90"/>
      <c r="BZ893" s="90"/>
      <c r="CA893" s="90"/>
      <c r="CB893" s="90"/>
      <c r="CC893" s="90"/>
      <c r="CD893" s="90"/>
      <c r="CE893" s="90"/>
      <c r="CF893" s="90"/>
      <c r="CG893" s="90"/>
      <c r="CH893" s="90"/>
      <c r="CI893" s="90"/>
      <c r="CJ893" s="90"/>
      <c r="CK893" s="90"/>
      <c r="CL893" s="90"/>
      <c r="CM893" s="90"/>
      <c r="CN893" s="90"/>
      <c r="CO893" s="90"/>
      <c r="CP893" s="90"/>
      <c r="CQ893" s="90"/>
      <c r="CR893" s="90"/>
      <c r="CS893" s="90"/>
      <c r="CT893" s="90"/>
      <c r="CU893" s="90"/>
      <c r="CV893" s="90"/>
      <c r="CW893" s="90"/>
    </row>
    <row r="894" ht="16.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0"/>
      <c r="BQ894" s="90"/>
      <c r="BR894" s="90"/>
      <c r="BS894" s="90"/>
      <c r="BT894" s="90"/>
      <c r="BU894" s="90"/>
      <c r="BV894" s="90"/>
      <c r="BW894" s="90"/>
      <c r="BX894" s="90"/>
      <c r="BY894" s="90"/>
      <c r="BZ894" s="90"/>
      <c r="CA894" s="90"/>
      <c r="CB894" s="90"/>
      <c r="CC894" s="90"/>
      <c r="CD894" s="90"/>
      <c r="CE894" s="90"/>
      <c r="CF894" s="90"/>
      <c r="CG894" s="90"/>
      <c r="CH894" s="90"/>
      <c r="CI894" s="90"/>
      <c r="CJ894" s="90"/>
      <c r="CK894" s="90"/>
      <c r="CL894" s="90"/>
      <c r="CM894" s="90"/>
      <c r="CN894" s="90"/>
      <c r="CO894" s="90"/>
      <c r="CP894" s="90"/>
      <c r="CQ894" s="90"/>
      <c r="CR894" s="90"/>
      <c r="CS894" s="90"/>
      <c r="CT894" s="90"/>
      <c r="CU894" s="90"/>
      <c r="CV894" s="90"/>
      <c r="CW894" s="90"/>
    </row>
    <row r="895" ht="16.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H895" s="90"/>
      <c r="BI895" s="90"/>
      <c r="BJ895" s="90"/>
      <c r="BK895" s="90"/>
      <c r="BL895" s="90"/>
      <c r="BM895" s="90"/>
      <c r="BN895" s="90"/>
      <c r="BO895" s="90"/>
      <c r="BP895" s="90"/>
      <c r="BQ895" s="90"/>
      <c r="BR895" s="90"/>
      <c r="BS895" s="90"/>
      <c r="BT895" s="90"/>
      <c r="BU895" s="90"/>
      <c r="BV895" s="90"/>
      <c r="BW895" s="90"/>
      <c r="BX895" s="90"/>
      <c r="BY895" s="90"/>
      <c r="BZ895" s="90"/>
      <c r="CA895" s="90"/>
      <c r="CB895" s="90"/>
      <c r="CC895" s="90"/>
      <c r="CD895" s="90"/>
      <c r="CE895" s="90"/>
      <c r="CF895" s="90"/>
      <c r="CG895" s="90"/>
      <c r="CH895" s="90"/>
      <c r="CI895" s="90"/>
      <c r="CJ895" s="90"/>
      <c r="CK895" s="90"/>
      <c r="CL895" s="90"/>
      <c r="CM895" s="90"/>
      <c r="CN895" s="90"/>
      <c r="CO895" s="90"/>
      <c r="CP895" s="90"/>
      <c r="CQ895" s="90"/>
      <c r="CR895" s="90"/>
      <c r="CS895" s="90"/>
      <c r="CT895" s="90"/>
      <c r="CU895" s="90"/>
      <c r="CV895" s="90"/>
      <c r="CW895" s="90"/>
    </row>
    <row r="896" ht="16.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0"/>
      <c r="BQ896" s="90"/>
      <c r="BR896" s="90"/>
      <c r="BS896" s="90"/>
      <c r="BT896" s="90"/>
      <c r="BU896" s="90"/>
      <c r="BV896" s="90"/>
      <c r="BW896" s="90"/>
      <c r="BX896" s="90"/>
      <c r="BY896" s="90"/>
      <c r="BZ896" s="90"/>
      <c r="CA896" s="90"/>
      <c r="CB896" s="90"/>
      <c r="CC896" s="90"/>
      <c r="CD896" s="90"/>
      <c r="CE896" s="90"/>
      <c r="CF896" s="90"/>
      <c r="CG896" s="90"/>
      <c r="CH896" s="90"/>
      <c r="CI896" s="90"/>
      <c r="CJ896" s="90"/>
      <c r="CK896" s="90"/>
      <c r="CL896" s="90"/>
      <c r="CM896" s="90"/>
      <c r="CN896" s="90"/>
      <c r="CO896" s="90"/>
      <c r="CP896" s="90"/>
      <c r="CQ896" s="90"/>
      <c r="CR896" s="90"/>
      <c r="CS896" s="90"/>
      <c r="CT896" s="90"/>
      <c r="CU896" s="90"/>
      <c r="CV896" s="90"/>
      <c r="CW896" s="90"/>
    </row>
    <row r="897" ht="16.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H897" s="90"/>
      <c r="BI897" s="90"/>
      <c r="BJ897" s="90"/>
      <c r="BK897" s="90"/>
      <c r="BL897" s="90"/>
      <c r="BM897" s="90"/>
      <c r="BN897" s="90"/>
      <c r="BO897" s="90"/>
      <c r="BP897" s="90"/>
      <c r="BQ897" s="90"/>
      <c r="BR897" s="90"/>
      <c r="BS897" s="90"/>
      <c r="BT897" s="90"/>
      <c r="BU897" s="90"/>
      <c r="BV897" s="90"/>
      <c r="BW897" s="90"/>
      <c r="BX897" s="90"/>
      <c r="BY897" s="90"/>
      <c r="BZ897" s="90"/>
      <c r="CA897" s="90"/>
      <c r="CB897" s="90"/>
      <c r="CC897" s="90"/>
      <c r="CD897" s="90"/>
      <c r="CE897" s="90"/>
      <c r="CF897" s="90"/>
      <c r="CG897" s="90"/>
      <c r="CH897" s="90"/>
      <c r="CI897" s="90"/>
      <c r="CJ897" s="90"/>
      <c r="CK897" s="90"/>
      <c r="CL897" s="90"/>
      <c r="CM897" s="90"/>
      <c r="CN897" s="90"/>
      <c r="CO897" s="90"/>
      <c r="CP897" s="90"/>
      <c r="CQ897" s="90"/>
      <c r="CR897" s="90"/>
      <c r="CS897" s="90"/>
      <c r="CT897" s="90"/>
      <c r="CU897" s="90"/>
      <c r="CV897" s="90"/>
      <c r="CW897" s="90"/>
    </row>
    <row r="898" ht="16.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0"/>
      <c r="BQ898" s="90"/>
      <c r="BR898" s="90"/>
      <c r="BS898" s="90"/>
      <c r="BT898" s="90"/>
      <c r="BU898" s="90"/>
      <c r="BV898" s="90"/>
      <c r="BW898" s="90"/>
      <c r="BX898" s="90"/>
      <c r="BY898" s="90"/>
      <c r="BZ898" s="90"/>
      <c r="CA898" s="90"/>
      <c r="CB898" s="90"/>
      <c r="CC898" s="90"/>
      <c r="CD898" s="90"/>
      <c r="CE898" s="90"/>
      <c r="CF898" s="90"/>
      <c r="CG898" s="90"/>
      <c r="CH898" s="90"/>
      <c r="CI898" s="90"/>
      <c r="CJ898" s="90"/>
      <c r="CK898" s="90"/>
      <c r="CL898" s="90"/>
      <c r="CM898" s="90"/>
      <c r="CN898" s="90"/>
      <c r="CO898" s="90"/>
      <c r="CP898" s="90"/>
      <c r="CQ898" s="90"/>
      <c r="CR898" s="90"/>
      <c r="CS898" s="90"/>
      <c r="CT898" s="90"/>
      <c r="CU898" s="90"/>
      <c r="CV898" s="90"/>
      <c r="CW898" s="90"/>
    </row>
    <row r="899" ht="16.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H899" s="90"/>
      <c r="BI899" s="90"/>
      <c r="BJ899" s="90"/>
      <c r="BK899" s="90"/>
      <c r="BL899" s="90"/>
      <c r="BM899" s="90"/>
      <c r="BN899" s="90"/>
      <c r="BO899" s="90"/>
      <c r="BP899" s="90"/>
      <c r="BQ899" s="90"/>
      <c r="BR899" s="90"/>
      <c r="BS899" s="90"/>
      <c r="BT899" s="90"/>
      <c r="BU899" s="90"/>
      <c r="BV899" s="90"/>
      <c r="BW899" s="90"/>
      <c r="BX899" s="90"/>
      <c r="BY899" s="90"/>
      <c r="BZ899" s="90"/>
      <c r="CA899" s="90"/>
      <c r="CB899" s="90"/>
      <c r="CC899" s="90"/>
      <c r="CD899" s="90"/>
      <c r="CE899" s="90"/>
      <c r="CF899" s="90"/>
      <c r="CG899" s="90"/>
      <c r="CH899" s="90"/>
      <c r="CI899" s="90"/>
      <c r="CJ899" s="90"/>
      <c r="CK899" s="90"/>
      <c r="CL899" s="90"/>
      <c r="CM899" s="90"/>
      <c r="CN899" s="90"/>
      <c r="CO899" s="90"/>
      <c r="CP899" s="90"/>
      <c r="CQ899" s="90"/>
      <c r="CR899" s="90"/>
      <c r="CS899" s="90"/>
      <c r="CT899" s="90"/>
      <c r="CU899" s="90"/>
      <c r="CV899" s="90"/>
      <c r="CW899" s="90"/>
    </row>
    <row r="900" ht="16.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0"/>
      <c r="BQ900" s="90"/>
      <c r="BR900" s="90"/>
      <c r="BS900" s="90"/>
      <c r="BT900" s="90"/>
      <c r="BU900" s="90"/>
      <c r="BV900" s="90"/>
      <c r="BW900" s="90"/>
      <c r="BX900" s="90"/>
      <c r="BY900" s="90"/>
      <c r="BZ900" s="90"/>
      <c r="CA900" s="90"/>
      <c r="CB900" s="90"/>
      <c r="CC900" s="90"/>
      <c r="CD900" s="90"/>
      <c r="CE900" s="90"/>
      <c r="CF900" s="90"/>
      <c r="CG900" s="90"/>
      <c r="CH900" s="90"/>
      <c r="CI900" s="90"/>
      <c r="CJ900" s="90"/>
      <c r="CK900" s="90"/>
      <c r="CL900" s="90"/>
      <c r="CM900" s="90"/>
      <c r="CN900" s="90"/>
      <c r="CO900" s="90"/>
      <c r="CP900" s="90"/>
      <c r="CQ900" s="90"/>
      <c r="CR900" s="90"/>
      <c r="CS900" s="90"/>
      <c r="CT900" s="90"/>
      <c r="CU900" s="90"/>
      <c r="CV900" s="90"/>
      <c r="CW900" s="90"/>
    </row>
    <row r="901" ht="16.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H901" s="90"/>
      <c r="BI901" s="90"/>
      <c r="BJ901" s="90"/>
      <c r="BK901" s="90"/>
      <c r="BL901" s="90"/>
      <c r="BM901" s="90"/>
      <c r="BN901" s="90"/>
      <c r="BO901" s="90"/>
      <c r="BP901" s="90"/>
      <c r="BQ901" s="90"/>
      <c r="BR901" s="90"/>
      <c r="BS901" s="90"/>
      <c r="BT901" s="90"/>
      <c r="BU901" s="90"/>
      <c r="BV901" s="90"/>
      <c r="BW901" s="90"/>
      <c r="BX901" s="90"/>
      <c r="BY901" s="90"/>
      <c r="BZ901" s="90"/>
      <c r="CA901" s="90"/>
      <c r="CB901" s="90"/>
      <c r="CC901" s="90"/>
      <c r="CD901" s="90"/>
      <c r="CE901" s="90"/>
      <c r="CF901" s="90"/>
      <c r="CG901" s="90"/>
      <c r="CH901" s="90"/>
      <c r="CI901" s="90"/>
      <c r="CJ901" s="90"/>
      <c r="CK901" s="90"/>
      <c r="CL901" s="90"/>
      <c r="CM901" s="90"/>
      <c r="CN901" s="90"/>
      <c r="CO901" s="90"/>
      <c r="CP901" s="90"/>
      <c r="CQ901" s="90"/>
      <c r="CR901" s="90"/>
      <c r="CS901" s="90"/>
      <c r="CT901" s="90"/>
      <c r="CU901" s="90"/>
      <c r="CV901" s="90"/>
      <c r="CW901" s="90"/>
    </row>
    <row r="902" ht="16.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0"/>
      <c r="BQ902" s="90"/>
      <c r="BR902" s="90"/>
      <c r="BS902" s="90"/>
      <c r="BT902" s="90"/>
      <c r="BU902" s="90"/>
      <c r="BV902" s="90"/>
      <c r="BW902" s="90"/>
      <c r="BX902" s="90"/>
      <c r="BY902" s="90"/>
      <c r="BZ902" s="90"/>
      <c r="CA902" s="90"/>
      <c r="CB902" s="90"/>
      <c r="CC902" s="90"/>
      <c r="CD902" s="90"/>
      <c r="CE902" s="90"/>
      <c r="CF902" s="90"/>
      <c r="CG902" s="90"/>
      <c r="CH902" s="90"/>
      <c r="CI902" s="90"/>
      <c r="CJ902" s="90"/>
      <c r="CK902" s="90"/>
      <c r="CL902" s="90"/>
      <c r="CM902" s="90"/>
      <c r="CN902" s="90"/>
      <c r="CO902" s="90"/>
      <c r="CP902" s="90"/>
      <c r="CQ902" s="90"/>
      <c r="CR902" s="90"/>
      <c r="CS902" s="90"/>
      <c r="CT902" s="90"/>
      <c r="CU902" s="90"/>
      <c r="CV902" s="90"/>
      <c r="CW902" s="90"/>
    </row>
    <row r="903" ht="16.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H903" s="90"/>
      <c r="BI903" s="90"/>
      <c r="BJ903" s="90"/>
      <c r="BK903" s="90"/>
      <c r="BL903" s="90"/>
      <c r="BM903" s="90"/>
      <c r="BN903" s="90"/>
      <c r="BO903" s="90"/>
      <c r="BP903" s="90"/>
      <c r="BQ903" s="90"/>
      <c r="BR903" s="90"/>
      <c r="BS903" s="90"/>
      <c r="BT903" s="90"/>
      <c r="BU903" s="90"/>
      <c r="BV903" s="90"/>
      <c r="BW903" s="90"/>
      <c r="BX903" s="90"/>
      <c r="BY903" s="90"/>
      <c r="BZ903" s="90"/>
      <c r="CA903" s="90"/>
      <c r="CB903" s="90"/>
      <c r="CC903" s="90"/>
      <c r="CD903" s="90"/>
      <c r="CE903" s="90"/>
      <c r="CF903" s="90"/>
      <c r="CG903" s="90"/>
      <c r="CH903" s="90"/>
      <c r="CI903" s="90"/>
      <c r="CJ903" s="90"/>
      <c r="CK903" s="90"/>
      <c r="CL903" s="90"/>
      <c r="CM903" s="90"/>
      <c r="CN903" s="90"/>
      <c r="CO903" s="90"/>
      <c r="CP903" s="90"/>
      <c r="CQ903" s="90"/>
      <c r="CR903" s="90"/>
      <c r="CS903" s="90"/>
      <c r="CT903" s="90"/>
      <c r="CU903" s="90"/>
      <c r="CV903" s="90"/>
      <c r="CW903" s="90"/>
    </row>
    <row r="904" ht="16.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0"/>
      <c r="BQ904" s="90"/>
      <c r="BR904" s="90"/>
      <c r="BS904" s="90"/>
      <c r="BT904" s="90"/>
      <c r="BU904" s="90"/>
      <c r="BV904" s="90"/>
      <c r="BW904" s="90"/>
      <c r="BX904" s="90"/>
      <c r="BY904" s="90"/>
      <c r="BZ904" s="90"/>
      <c r="CA904" s="90"/>
      <c r="CB904" s="90"/>
      <c r="CC904" s="90"/>
      <c r="CD904" s="90"/>
      <c r="CE904" s="90"/>
      <c r="CF904" s="90"/>
      <c r="CG904" s="90"/>
      <c r="CH904" s="90"/>
      <c r="CI904" s="90"/>
      <c r="CJ904" s="90"/>
      <c r="CK904" s="90"/>
      <c r="CL904" s="90"/>
      <c r="CM904" s="90"/>
      <c r="CN904" s="90"/>
      <c r="CO904" s="90"/>
      <c r="CP904" s="90"/>
      <c r="CQ904" s="90"/>
      <c r="CR904" s="90"/>
      <c r="CS904" s="90"/>
      <c r="CT904" s="90"/>
      <c r="CU904" s="90"/>
      <c r="CV904" s="90"/>
      <c r="CW904" s="90"/>
    </row>
    <row r="905" ht="16.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H905" s="90"/>
      <c r="BI905" s="90"/>
      <c r="BJ905" s="90"/>
      <c r="BK905" s="90"/>
      <c r="BL905" s="90"/>
      <c r="BM905" s="90"/>
      <c r="BN905" s="90"/>
      <c r="BO905" s="90"/>
      <c r="BP905" s="90"/>
      <c r="BQ905" s="90"/>
      <c r="BR905" s="90"/>
      <c r="BS905" s="90"/>
      <c r="BT905" s="90"/>
      <c r="BU905" s="90"/>
      <c r="BV905" s="90"/>
      <c r="BW905" s="90"/>
      <c r="BX905" s="90"/>
      <c r="BY905" s="90"/>
      <c r="BZ905" s="90"/>
      <c r="CA905" s="90"/>
      <c r="CB905" s="90"/>
      <c r="CC905" s="90"/>
      <c r="CD905" s="90"/>
      <c r="CE905" s="90"/>
      <c r="CF905" s="90"/>
      <c r="CG905" s="90"/>
      <c r="CH905" s="90"/>
      <c r="CI905" s="90"/>
      <c r="CJ905" s="90"/>
      <c r="CK905" s="90"/>
      <c r="CL905" s="90"/>
      <c r="CM905" s="90"/>
      <c r="CN905" s="90"/>
      <c r="CO905" s="90"/>
      <c r="CP905" s="90"/>
      <c r="CQ905" s="90"/>
      <c r="CR905" s="90"/>
      <c r="CS905" s="90"/>
      <c r="CT905" s="90"/>
      <c r="CU905" s="90"/>
      <c r="CV905" s="90"/>
      <c r="CW905" s="90"/>
    </row>
    <row r="906" ht="16.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0"/>
      <c r="BQ906" s="90"/>
      <c r="BR906" s="90"/>
      <c r="BS906" s="90"/>
      <c r="BT906" s="90"/>
      <c r="BU906" s="90"/>
      <c r="BV906" s="90"/>
      <c r="BW906" s="90"/>
      <c r="BX906" s="90"/>
      <c r="BY906" s="90"/>
      <c r="BZ906" s="90"/>
      <c r="CA906" s="90"/>
      <c r="CB906" s="90"/>
      <c r="CC906" s="90"/>
      <c r="CD906" s="90"/>
      <c r="CE906" s="90"/>
      <c r="CF906" s="90"/>
      <c r="CG906" s="90"/>
      <c r="CH906" s="90"/>
      <c r="CI906" s="90"/>
      <c r="CJ906" s="90"/>
      <c r="CK906" s="90"/>
      <c r="CL906" s="90"/>
      <c r="CM906" s="90"/>
      <c r="CN906" s="90"/>
      <c r="CO906" s="90"/>
      <c r="CP906" s="90"/>
      <c r="CQ906" s="90"/>
      <c r="CR906" s="90"/>
      <c r="CS906" s="90"/>
      <c r="CT906" s="90"/>
      <c r="CU906" s="90"/>
      <c r="CV906" s="90"/>
      <c r="CW906" s="90"/>
    </row>
    <row r="907" ht="16.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H907" s="90"/>
      <c r="BI907" s="90"/>
      <c r="BJ907" s="90"/>
      <c r="BK907" s="90"/>
      <c r="BL907" s="90"/>
      <c r="BM907" s="90"/>
      <c r="BN907" s="90"/>
      <c r="BO907" s="90"/>
      <c r="BP907" s="90"/>
      <c r="BQ907" s="90"/>
      <c r="BR907" s="90"/>
      <c r="BS907" s="90"/>
      <c r="BT907" s="90"/>
      <c r="BU907" s="90"/>
      <c r="BV907" s="90"/>
      <c r="BW907" s="90"/>
      <c r="BX907" s="90"/>
      <c r="BY907" s="90"/>
      <c r="BZ907" s="90"/>
      <c r="CA907" s="90"/>
      <c r="CB907" s="90"/>
      <c r="CC907" s="90"/>
      <c r="CD907" s="90"/>
      <c r="CE907" s="90"/>
      <c r="CF907" s="90"/>
      <c r="CG907" s="90"/>
      <c r="CH907" s="90"/>
      <c r="CI907" s="90"/>
      <c r="CJ907" s="90"/>
      <c r="CK907" s="90"/>
      <c r="CL907" s="90"/>
      <c r="CM907" s="90"/>
      <c r="CN907" s="90"/>
      <c r="CO907" s="90"/>
      <c r="CP907" s="90"/>
      <c r="CQ907" s="90"/>
      <c r="CR907" s="90"/>
      <c r="CS907" s="90"/>
      <c r="CT907" s="90"/>
      <c r="CU907" s="90"/>
      <c r="CV907" s="90"/>
      <c r="CW907" s="90"/>
    </row>
    <row r="908" ht="16.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0"/>
      <c r="BQ908" s="90"/>
      <c r="BR908" s="90"/>
      <c r="BS908" s="90"/>
      <c r="BT908" s="90"/>
      <c r="BU908" s="90"/>
      <c r="BV908" s="90"/>
      <c r="BW908" s="90"/>
      <c r="BX908" s="90"/>
      <c r="BY908" s="90"/>
      <c r="BZ908" s="90"/>
      <c r="CA908" s="90"/>
      <c r="CB908" s="90"/>
      <c r="CC908" s="90"/>
      <c r="CD908" s="90"/>
      <c r="CE908" s="90"/>
      <c r="CF908" s="90"/>
      <c r="CG908" s="90"/>
      <c r="CH908" s="90"/>
      <c r="CI908" s="90"/>
      <c r="CJ908" s="90"/>
      <c r="CK908" s="90"/>
      <c r="CL908" s="90"/>
      <c r="CM908" s="90"/>
      <c r="CN908" s="90"/>
      <c r="CO908" s="90"/>
      <c r="CP908" s="90"/>
      <c r="CQ908" s="90"/>
      <c r="CR908" s="90"/>
      <c r="CS908" s="90"/>
      <c r="CT908" s="90"/>
      <c r="CU908" s="90"/>
      <c r="CV908" s="90"/>
      <c r="CW908" s="90"/>
    </row>
    <row r="909" ht="16.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H909" s="90"/>
      <c r="BI909" s="90"/>
      <c r="BJ909" s="90"/>
      <c r="BK909" s="90"/>
      <c r="BL909" s="90"/>
      <c r="BM909" s="90"/>
      <c r="BN909" s="90"/>
      <c r="BO909" s="90"/>
      <c r="BP909" s="90"/>
      <c r="BQ909" s="90"/>
      <c r="BR909" s="90"/>
      <c r="BS909" s="90"/>
      <c r="BT909" s="90"/>
      <c r="BU909" s="90"/>
      <c r="BV909" s="90"/>
      <c r="BW909" s="90"/>
      <c r="BX909" s="90"/>
      <c r="BY909" s="90"/>
      <c r="BZ909" s="90"/>
      <c r="CA909" s="90"/>
      <c r="CB909" s="90"/>
      <c r="CC909" s="90"/>
      <c r="CD909" s="90"/>
      <c r="CE909" s="90"/>
      <c r="CF909" s="90"/>
      <c r="CG909" s="90"/>
      <c r="CH909" s="90"/>
      <c r="CI909" s="90"/>
      <c r="CJ909" s="90"/>
      <c r="CK909" s="90"/>
      <c r="CL909" s="90"/>
      <c r="CM909" s="90"/>
      <c r="CN909" s="90"/>
      <c r="CO909" s="90"/>
      <c r="CP909" s="90"/>
      <c r="CQ909" s="90"/>
      <c r="CR909" s="90"/>
      <c r="CS909" s="90"/>
      <c r="CT909" s="90"/>
      <c r="CU909" s="90"/>
      <c r="CV909" s="90"/>
      <c r="CW909" s="90"/>
    </row>
    <row r="910" ht="16.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0"/>
      <c r="BQ910" s="90"/>
      <c r="BR910" s="90"/>
      <c r="BS910" s="90"/>
      <c r="BT910" s="90"/>
      <c r="BU910" s="90"/>
      <c r="BV910" s="90"/>
      <c r="BW910" s="90"/>
      <c r="BX910" s="90"/>
      <c r="BY910" s="90"/>
      <c r="BZ910" s="90"/>
      <c r="CA910" s="90"/>
      <c r="CB910" s="90"/>
      <c r="CC910" s="90"/>
      <c r="CD910" s="90"/>
      <c r="CE910" s="90"/>
      <c r="CF910" s="90"/>
      <c r="CG910" s="90"/>
      <c r="CH910" s="90"/>
      <c r="CI910" s="90"/>
      <c r="CJ910" s="90"/>
      <c r="CK910" s="90"/>
      <c r="CL910" s="90"/>
      <c r="CM910" s="90"/>
      <c r="CN910" s="90"/>
      <c r="CO910" s="90"/>
      <c r="CP910" s="90"/>
      <c r="CQ910" s="90"/>
      <c r="CR910" s="90"/>
      <c r="CS910" s="90"/>
      <c r="CT910" s="90"/>
      <c r="CU910" s="90"/>
      <c r="CV910" s="90"/>
      <c r="CW910" s="90"/>
    </row>
    <row r="911" ht="16.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H911" s="90"/>
      <c r="BI911" s="90"/>
      <c r="BJ911" s="90"/>
      <c r="BK911" s="90"/>
      <c r="BL911" s="90"/>
      <c r="BM911" s="90"/>
      <c r="BN911" s="90"/>
      <c r="BO911" s="90"/>
      <c r="BP911" s="90"/>
      <c r="BQ911" s="90"/>
      <c r="BR911" s="90"/>
      <c r="BS911" s="90"/>
      <c r="BT911" s="90"/>
      <c r="BU911" s="90"/>
      <c r="BV911" s="90"/>
      <c r="BW911" s="90"/>
      <c r="BX911" s="90"/>
      <c r="BY911" s="90"/>
      <c r="BZ911" s="90"/>
      <c r="CA911" s="90"/>
      <c r="CB911" s="90"/>
      <c r="CC911" s="90"/>
      <c r="CD911" s="90"/>
      <c r="CE911" s="90"/>
      <c r="CF911" s="90"/>
      <c r="CG911" s="90"/>
      <c r="CH911" s="90"/>
      <c r="CI911" s="90"/>
      <c r="CJ911" s="90"/>
      <c r="CK911" s="90"/>
      <c r="CL911" s="90"/>
      <c r="CM911" s="90"/>
      <c r="CN911" s="90"/>
      <c r="CO911" s="90"/>
      <c r="CP911" s="90"/>
      <c r="CQ911" s="90"/>
      <c r="CR911" s="90"/>
      <c r="CS911" s="90"/>
      <c r="CT911" s="90"/>
      <c r="CU911" s="90"/>
      <c r="CV911" s="90"/>
      <c r="CW911" s="90"/>
    </row>
    <row r="912" ht="16.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0"/>
      <c r="BQ912" s="90"/>
      <c r="BR912" s="90"/>
      <c r="BS912" s="90"/>
      <c r="BT912" s="90"/>
      <c r="BU912" s="90"/>
      <c r="BV912" s="90"/>
      <c r="BW912" s="90"/>
      <c r="BX912" s="90"/>
      <c r="BY912" s="90"/>
      <c r="BZ912" s="90"/>
      <c r="CA912" s="90"/>
      <c r="CB912" s="90"/>
      <c r="CC912" s="90"/>
      <c r="CD912" s="90"/>
      <c r="CE912" s="90"/>
      <c r="CF912" s="90"/>
      <c r="CG912" s="90"/>
      <c r="CH912" s="90"/>
      <c r="CI912" s="90"/>
      <c r="CJ912" s="90"/>
      <c r="CK912" s="90"/>
      <c r="CL912" s="90"/>
      <c r="CM912" s="90"/>
      <c r="CN912" s="90"/>
      <c r="CO912" s="90"/>
      <c r="CP912" s="90"/>
      <c r="CQ912" s="90"/>
      <c r="CR912" s="90"/>
      <c r="CS912" s="90"/>
      <c r="CT912" s="90"/>
      <c r="CU912" s="90"/>
      <c r="CV912" s="90"/>
      <c r="CW912" s="90"/>
    </row>
    <row r="913" ht="16.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H913" s="90"/>
      <c r="BI913" s="90"/>
      <c r="BJ913" s="90"/>
      <c r="BK913" s="90"/>
      <c r="BL913" s="90"/>
      <c r="BM913" s="90"/>
      <c r="BN913" s="90"/>
      <c r="BO913" s="90"/>
      <c r="BP913" s="90"/>
      <c r="BQ913" s="90"/>
      <c r="BR913" s="90"/>
      <c r="BS913" s="90"/>
      <c r="BT913" s="90"/>
      <c r="BU913" s="90"/>
      <c r="BV913" s="90"/>
      <c r="BW913" s="90"/>
      <c r="BX913" s="90"/>
      <c r="BY913" s="90"/>
      <c r="BZ913" s="90"/>
      <c r="CA913" s="90"/>
      <c r="CB913" s="90"/>
      <c r="CC913" s="90"/>
      <c r="CD913" s="90"/>
      <c r="CE913" s="90"/>
      <c r="CF913" s="90"/>
      <c r="CG913" s="90"/>
      <c r="CH913" s="90"/>
      <c r="CI913" s="90"/>
      <c r="CJ913" s="90"/>
      <c r="CK913" s="90"/>
      <c r="CL913" s="90"/>
      <c r="CM913" s="90"/>
      <c r="CN913" s="90"/>
      <c r="CO913" s="90"/>
      <c r="CP913" s="90"/>
      <c r="CQ913" s="90"/>
      <c r="CR913" s="90"/>
      <c r="CS913" s="90"/>
      <c r="CT913" s="90"/>
      <c r="CU913" s="90"/>
      <c r="CV913" s="90"/>
      <c r="CW913" s="90"/>
    </row>
    <row r="914" ht="16.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0"/>
      <c r="BQ914" s="90"/>
      <c r="BR914" s="90"/>
      <c r="BS914" s="90"/>
      <c r="BT914" s="90"/>
      <c r="BU914" s="90"/>
      <c r="BV914" s="90"/>
      <c r="BW914" s="90"/>
      <c r="BX914" s="90"/>
      <c r="BY914" s="90"/>
      <c r="BZ914" s="90"/>
      <c r="CA914" s="90"/>
      <c r="CB914" s="90"/>
      <c r="CC914" s="90"/>
      <c r="CD914" s="90"/>
      <c r="CE914" s="90"/>
      <c r="CF914" s="90"/>
      <c r="CG914" s="90"/>
      <c r="CH914" s="90"/>
      <c r="CI914" s="90"/>
      <c r="CJ914" s="90"/>
      <c r="CK914" s="90"/>
      <c r="CL914" s="90"/>
      <c r="CM914" s="90"/>
      <c r="CN914" s="90"/>
      <c r="CO914" s="90"/>
      <c r="CP914" s="90"/>
      <c r="CQ914" s="90"/>
      <c r="CR914" s="90"/>
      <c r="CS914" s="90"/>
      <c r="CT914" s="90"/>
      <c r="CU914" s="90"/>
      <c r="CV914" s="90"/>
      <c r="CW914" s="90"/>
    </row>
    <row r="915" ht="16.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H915" s="90"/>
      <c r="BI915" s="90"/>
      <c r="BJ915" s="90"/>
      <c r="BK915" s="90"/>
      <c r="BL915" s="90"/>
      <c r="BM915" s="90"/>
      <c r="BN915" s="90"/>
      <c r="BO915" s="90"/>
      <c r="BP915" s="90"/>
      <c r="BQ915" s="90"/>
      <c r="BR915" s="90"/>
      <c r="BS915" s="90"/>
      <c r="BT915" s="90"/>
      <c r="BU915" s="90"/>
      <c r="BV915" s="90"/>
      <c r="BW915" s="90"/>
      <c r="BX915" s="90"/>
      <c r="BY915" s="90"/>
      <c r="BZ915" s="90"/>
      <c r="CA915" s="90"/>
      <c r="CB915" s="90"/>
      <c r="CC915" s="90"/>
      <c r="CD915" s="90"/>
      <c r="CE915" s="90"/>
      <c r="CF915" s="90"/>
      <c r="CG915" s="90"/>
      <c r="CH915" s="90"/>
      <c r="CI915" s="90"/>
      <c r="CJ915" s="90"/>
      <c r="CK915" s="90"/>
      <c r="CL915" s="90"/>
      <c r="CM915" s="90"/>
      <c r="CN915" s="90"/>
      <c r="CO915" s="90"/>
      <c r="CP915" s="90"/>
      <c r="CQ915" s="90"/>
      <c r="CR915" s="90"/>
      <c r="CS915" s="90"/>
      <c r="CT915" s="90"/>
      <c r="CU915" s="90"/>
      <c r="CV915" s="90"/>
      <c r="CW915" s="90"/>
    </row>
    <row r="916" ht="16.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0"/>
      <c r="BQ916" s="90"/>
      <c r="BR916" s="90"/>
      <c r="BS916" s="90"/>
      <c r="BT916" s="90"/>
      <c r="BU916" s="90"/>
      <c r="BV916" s="90"/>
      <c r="BW916" s="90"/>
      <c r="BX916" s="90"/>
      <c r="BY916" s="90"/>
      <c r="BZ916" s="90"/>
      <c r="CA916" s="90"/>
      <c r="CB916" s="90"/>
      <c r="CC916" s="90"/>
      <c r="CD916" s="90"/>
      <c r="CE916" s="90"/>
      <c r="CF916" s="90"/>
      <c r="CG916" s="90"/>
      <c r="CH916" s="90"/>
      <c r="CI916" s="90"/>
      <c r="CJ916" s="90"/>
      <c r="CK916" s="90"/>
      <c r="CL916" s="90"/>
      <c r="CM916" s="90"/>
      <c r="CN916" s="90"/>
      <c r="CO916" s="90"/>
      <c r="CP916" s="90"/>
      <c r="CQ916" s="90"/>
      <c r="CR916" s="90"/>
      <c r="CS916" s="90"/>
      <c r="CT916" s="90"/>
      <c r="CU916" s="90"/>
      <c r="CV916" s="90"/>
      <c r="CW916" s="90"/>
    </row>
    <row r="917" ht="16.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H917" s="90"/>
      <c r="BI917" s="90"/>
      <c r="BJ917" s="90"/>
      <c r="BK917" s="90"/>
      <c r="BL917" s="90"/>
      <c r="BM917" s="90"/>
      <c r="BN917" s="90"/>
      <c r="BO917" s="90"/>
      <c r="BP917" s="90"/>
      <c r="BQ917" s="90"/>
      <c r="BR917" s="90"/>
      <c r="BS917" s="90"/>
      <c r="BT917" s="90"/>
      <c r="BU917" s="90"/>
      <c r="BV917" s="90"/>
      <c r="BW917" s="90"/>
      <c r="BX917" s="90"/>
      <c r="BY917" s="90"/>
      <c r="BZ917" s="90"/>
      <c r="CA917" s="90"/>
      <c r="CB917" s="90"/>
      <c r="CC917" s="90"/>
      <c r="CD917" s="90"/>
      <c r="CE917" s="90"/>
      <c r="CF917" s="90"/>
      <c r="CG917" s="90"/>
      <c r="CH917" s="90"/>
      <c r="CI917" s="90"/>
      <c r="CJ917" s="90"/>
      <c r="CK917" s="90"/>
      <c r="CL917" s="90"/>
      <c r="CM917" s="90"/>
      <c r="CN917" s="90"/>
      <c r="CO917" s="90"/>
      <c r="CP917" s="90"/>
      <c r="CQ917" s="90"/>
      <c r="CR917" s="90"/>
      <c r="CS917" s="90"/>
      <c r="CT917" s="90"/>
      <c r="CU917" s="90"/>
      <c r="CV917" s="90"/>
      <c r="CW917" s="90"/>
    </row>
    <row r="918" ht="16.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0"/>
      <c r="BQ918" s="90"/>
      <c r="BR918" s="90"/>
      <c r="BS918" s="90"/>
      <c r="BT918" s="90"/>
      <c r="BU918" s="90"/>
      <c r="BV918" s="90"/>
      <c r="BW918" s="90"/>
      <c r="BX918" s="90"/>
      <c r="BY918" s="90"/>
      <c r="BZ918" s="90"/>
      <c r="CA918" s="90"/>
      <c r="CB918" s="90"/>
      <c r="CC918" s="90"/>
      <c r="CD918" s="90"/>
      <c r="CE918" s="90"/>
      <c r="CF918" s="90"/>
      <c r="CG918" s="90"/>
      <c r="CH918" s="90"/>
      <c r="CI918" s="90"/>
      <c r="CJ918" s="90"/>
      <c r="CK918" s="90"/>
      <c r="CL918" s="90"/>
      <c r="CM918" s="90"/>
      <c r="CN918" s="90"/>
      <c r="CO918" s="90"/>
      <c r="CP918" s="90"/>
      <c r="CQ918" s="90"/>
      <c r="CR918" s="90"/>
      <c r="CS918" s="90"/>
      <c r="CT918" s="90"/>
      <c r="CU918" s="90"/>
      <c r="CV918" s="90"/>
      <c r="CW918" s="90"/>
    </row>
    <row r="919" ht="16.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H919" s="90"/>
      <c r="BI919" s="90"/>
      <c r="BJ919" s="90"/>
      <c r="BK919" s="90"/>
      <c r="BL919" s="90"/>
      <c r="BM919" s="90"/>
      <c r="BN919" s="90"/>
      <c r="BO919" s="90"/>
      <c r="BP919" s="90"/>
      <c r="BQ919" s="90"/>
      <c r="BR919" s="90"/>
      <c r="BS919" s="90"/>
      <c r="BT919" s="90"/>
      <c r="BU919" s="90"/>
      <c r="BV919" s="90"/>
      <c r="BW919" s="90"/>
      <c r="BX919" s="90"/>
      <c r="BY919" s="90"/>
      <c r="BZ919" s="90"/>
      <c r="CA919" s="90"/>
      <c r="CB919" s="90"/>
      <c r="CC919" s="90"/>
      <c r="CD919" s="90"/>
      <c r="CE919" s="90"/>
      <c r="CF919" s="90"/>
      <c r="CG919" s="90"/>
      <c r="CH919" s="90"/>
      <c r="CI919" s="90"/>
      <c r="CJ919" s="90"/>
      <c r="CK919" s="90"/>
      <c r="CL919" s="90"/>
      <c r="CM919" s="90"/>
      <c r="CN919" s="90"/>
      <c r="CO919" s="90"/>
      <c r="CP919" s="90"/>
      <c r="CQ919" s="90"/>
      <c r="CR919" s="90"/>
      <c r="CS919" s="90"/>
      <c r="CT919" s="90"/>
      <c r="CU919" s="90"/>
      <c r="CV919" s="90"/>
      <c r="CW919" s="90"/>
    </row>
    <row r="920" ht="16.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0"/>
      <c r="BQ920" s="90"/>
      <c r="BR920" s="90"/>
      <c r="BS920" s="90"/>
      <c r="BT920" s="90"/>
      <c r="BU920" s="90"/>
      <c r="BV920" s="90"/>
      <c r="BW920" s="90"/>
      <c r="BX920" s="90"/>
      <c r="BY920" s="90"/>
      <c r="BZ920" s="90"/>
      <c r="CA920" s="90"/>
      <c r="CB920" s="90"/>
      <c r="CC920" s="90"/>
      <c r="CD920" s="90"/>
      <c r="CE920" s="90"/>
      <c r="CF920" s="90"/>
      <c r="CG920" s="90"/>
      <c r="CH920" s="90"/>
      <c r="CI920" s="90"/>
      <c r="CJ920" s="90"/>
      <c r="CK920" s="90"/>
      <c r="CL920" s="90"/>
      <c r="CM920" s="90"/>
      <c r="CN920" s="90"/>
      <c r="CO920" s="90"/>
      <c r="CP920" s="90"/>
      <c r="CQ920" s="90"/>
      <c r="CR920" s="90"/>
      <c r="CS920" s="90"/>
      <c r="CT920" s="90"/>
      <c r="CU920" s="90"/>
      <c r="CV920" s="90"/>
      <c r="CW920" s="90"/>
    </row>
    <row r="921" ht="16.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H921" s="90"/>
      <c r="BI921" s="90"/>
      <c r="BJ921" s="90"/>
      <c r="BK921" s="90"/>
      <c r="BL921" s="90"/>
      <c r="BM921" s="90"/>
      <c r="BN921" s="90"/>
      <c r="BO921" s="90"/>
      <c r="BP921" s="90"/>
      <c r="BQ921" s="90"/>
      <c r="BR921" s="90"/>
      <c r="BS921" s="90"/>
      <c r="BT921" s="90"/>
      <c r="BU921" s="90"/>
      <c r="BV921" s="90"/>
      <c r="BW921" s="90"/>
      <c r="BX921" s="90"/>
      <c r="BY921" s="90"/>
      <c r="BZ921" s="90"/>
      <c r="CA921" s="90"/>
      <c r="CB921" s="90"/>
      <c r="CC921" s="90"/>
      <c r="CD921" s="90"/>
      <c r="CE921" s="90"/>
      <c r="CF921" s="90"/>
      <c r="CG921" s="90"/>
      <c r="CH921" s="90"/>
      <c r="CI921" s="90"/>
      <c r="CJ921" s="90"/>
      <c r="CK921" s="90"/>
      <c r="CL921" s="90"/>
      <c r="CM921" s="90"/>
      <c r="CN921" s="90"/>
      <c r="CO921" s="90"/>
      <c r="CP921" s="90"/>
      <c r="CQ921" s="90"/>
      <c r="CR921" s="90"/>
      <c r="CS921" s="90"/>
      <c r="CT921" s="90"/>
      <c r="CU921" s="90"/>
      <c r="CV921" s="90"/>
      <c r="CW921" s="90"/>
    </row>
    <row r="922" ht="16.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0"/>
      <c r="BQ922" s="90"/>
      <c r="BR922" s="90"/>
      <c r="BS922" s="90"/>
      <c r="BT922" s="90"/>
      <c r="BU922" s="90"/>
      <c r="BV922" s="90"/>
      <c r="BW922" s="90"/>
      <c r="BX922" s="90"/>
      <c r="BY922" s="90"/>
      <c r="BZ922" s="90"/>
      <c r="CA922" s="90"/>
      <c r="CB922" s="90"/>
      <c r="CC922" s="90"/>
      <c r="CD922" s="90"/>
      <c r="CE922" s="90"/>
      <c r="CF922" s="90"/>
      <c r="CG922" s="90"/>
      <c r="CH922" s="90"/>
      <c r="CI922" s="90"/>
      <c r="CJ922" s="90"/>
      <c r="CK922" s="90"/>
      <c r="CL922" s="90"/>
      <c r="CM922" s="90"/>
      <c r="CN922" s="90"/>
      <c r="CO922" s="90"/>
      <c r="CP922" s="90"/>
      <c r="CQ922" s="90"/>
      <c r="CR922" s="90"/>
      <c r="CS922" s="90"/>
      <c r="CT922" s="90"/>
      <c r="CU922" s="90"/>
      <c r="CV922" s="90"/>
      <c r="CW922" s="90"/>
    </row>
    <row r="923" ht="16.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H923" s="90"/>
      <c r="BI923" s="90"/>
      <c r="BJ923" s="90"/>
      <c r="BK923" s="90"/>
      <c r="BL923" s="90"/>
      <c r="BM923" s="90"/>
      <c r="BN923" s="90"/>
      <c r="BO923" s="90"/>
      <c r="BP923" s="90"/>
      <c r="BQ923" s="90"/>
      <c r="BR923" s="90"/>
      <c r="BS923" s="90"/>
      <c r="BT923" s="90"/>
      <c r="BU923" s="90"/>
      <c r="BV923" s="90"/>
      <c r="BW923" s="90"/>
      <c r="BX923" s="90"/>
      <c r="BY923" s="90"/>
      <c r="BZ923" s="90"/>
      <c r="CA923" s="90"/>
      <c r="CB923" s="90"/>
      <c r="CC923" s="90"/>
      <c r="CD923" s="90"/>
      <c r="CE923" s="90"/>
      <c r="CF923" s="90"/>
      <c r="CG923" s="90"/>
      <c r="CH923" s="90"/>
      <c r="CI923" s="90"/>
      <c r="CJ923" s="90"/>
      <c r="CK923" s="90"/>
      <c r="CL923" s="90"/>
      <c r="CM923" s="90"/>
      <c r="CN923" s="90"/>
      <c r="CO923" s="90"/>
      <c r="CP923" s="90"/>
      <c r="CQ923" s="90"/>
      <c r="CR923" s="90"/>
      <c r="CS923" s="90"/>
      <c r="CT923" s="90"/>
      <c r="CU923" s="90"/>
      <c r="CV923" s="90"/>
      <c r="CW923" s="90"/>
    </row>
    <row r="924" ht="16.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0"/>
      <c r="BQ924" s="90"/>
      <c r="BR924" s="90"/>
      <c r="BS924" s="90"/>
      <c r="BT924" s="90"/>
      <c r="BU924" s="90"/>
      <c r="BV924" s="90"/>
      <c r="BW924" s="90"/>
      <c r="BX924" s="90"/>
      <c r="BY924" s="90"/>
      <c r="BZ924" s="90"/>
      <c r="CA924" s="90"/>
      <c r="CB924" s="90"/>
      <c r="CC924" s="90"/>
      <c r="CD924" s="90"/>
      <c r="CE924" s="90"/>
      <c r="CF924" s="90"/>
      <c r="CG924" s="90"/>
      <c r="CH924" s="90"/>
      <c r="CI924" s="90"/>
      <c r="CJ924" s="90"/>
      <c r="CK924" s="90"/>
      <c r="CL924" s="90"/>
      <c r="CM924" s="90"/>
      <c r="CN924" s="90"/>
      <c r="CO924" s="90"/>
      <c r="CP924" s="90"/>
      <c r="CQ924" s="90"/>
      <c r="CR924" s="90"/>
      <c r="CS924" s="90"/>
      <c r="CT924" s="90"/>
      <c r="CU924" s="90"/>
      <c r="CV924" s="90"/>
      <c r="CW924" s="90"/>
    </row>
    <row r="925" ht="16.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H925" s="90"/>
      <c r="BI925" s="90"/>
      <c r="BJ925" s="90"/>
      <c r="BK925" s="90"/>
      <c r="BL925" s="90"/>
      <c r="BM925" s="90"/>
      <c r="BN925" s="90"/>
      <c r="BO925" s="90"/>
      <c r="BP925" s="90"/>
      <c r="BQ925" s="90"/>
      <c r="BR925" s="90"/>
      <c r="BS925" s="90"/>
      <c r="BT925" s="90"/>
      <c r="BU925" s="90"/>
      <c r="BV925" s="90"/>
      <c r="BW925" s="90"/>
      <c r="BX925" s="90"/>
      <c r="BY925" s="90"/>
      <c r="BZ925" s="90"/>
      <c r="CA925" s="90"/>
      <c r="CB925" s="90"/>
      <c r="CC925" s="90"/>
      <c r="CD925" s="90"/>
      <c r="CE925" s="90"/>
      <c r="CF925" s="90"/>
      <c r="CG925" s="90"/>
      <c r="CH925" s="90"/>
      <c r="CI925" s="90"/>
      <c r="CJ925" s="90"/>
      <c r="CK925" s="90"/>
      <c r="CL925" s="90"/>
      <c r="CM925" s="90"/>
      <c r="CN925" s="90"/>
      <c r="CO925" s="90"/>
      <c r="CP925" s="90"/>
      <c r="CQ925" s="90"/>
      <c r="CR925" s="90"/>
      <c r="CS925" s="90"/>
      <c r="CT925" s="90"/>
      <c r="CU925" s="90"/>
      <c r="CV925" s="90"/>
      <c r="CW925" s="90"/>
    </row>
    <row r="926" ht="16.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0"/>
      <c r="BQ926" s="90"/>
      <c r="BR926" s="90"/>
      <c r="BS926" s="90"/>
      <c r="BT926" s="90"/>
      <c r="BU926" s="90"/>
      <c r="BV926" s="90"/>
      <c r="BW926" s="90"/>
      <c r="BX926" s="90"/>
      <c r="BY926" s="90"/>
      <c r="BZ926" s="90"/>
      <c r="CA926" s="90"/>
      <c r="CB926" s="90"/>
      <c r="CC926" s="90"/>
      <c r="CD926" s="90"/>
      <c r="CE926" s="90"/>
      <c r="CF926" s="90"/>
      <c r="CG926" s="90"/>
      <c r="CH926" s="90"/>
      <c r="CI926" s="90"/>
      <c r="CJ926" s="90"/>
      <c r="CK926" s="90"/>
      <c r="CL926" s="90"/>
      <c r="CM926" s="90"/>
      <c r="CN926" s="90"/>
      <c r="CO926" s="90"/>
      <c r="CP926" s="90"/>
      <c r="CQ926" s="90"/>
      <c r="CR926" s="90"/>
      <c r="CS926" s="90"/>
      <c r="CT926" s="90"/>
      <c r="CU926" s="90"/>
      <c r="CV926" s="90"/>
      <c r="CW926" s="90"/>
    </row>
    <row r="927" ht="16.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H927" s="90"/>
      <c r="BI927" s="90"/>
      <c r="BJ927" s="90"/>
      <c r="BK927" s="90"/>
      <c r="BL927" s="90"/>
      <c r="BM927" s="90"/>
      <c r="BN927" s="90"/>
      <c r="BO927" s="90"/>
      <c r="BP927" s="90"/>
      <c r="BQ927" s="90"/>
      <c r="BR927" s="90"/>
      <c r="BS927" s="90"/>
      <c r="BT927" s="90"/>
      <c r="BU927" s="90"/>
      <c r="BV927" s="90"/>
      <c r="BW927" s="90"/>
      <c r="BX927" s="90"/>
      <c r="BY927" s="90"/>
      <c r="BZ927" s="90"/>
      <c r="CA927" s="90"/>
      <c r="CB927" s="90"/>
      <c r="CC927" s="90"/>
      <c r="CD927" s="90"/>
      <c r="CE927" s="90"/>
      <c r="CF927" s="90"/>
      <c r="CG927" s="90"/>
      <c r="CH927" s="90"/>
      <c r="CI927" s="90"/>
      <c r="CJ927" s="90"/>
      <c r="CK927" s="90"/>
      <c r="CL927" s="90"/>
      <c r="CM927" s="90"/>
      <c r="CN927" s="90"/>
      <c r="CO927" s="90"/>
      <c r="CP927" s="90"/>
      <c r="CQ927" s="90"/>
      <c r="CR927" s="90"/>
      <c r="CS927" s="90"/>
      <c r="CT927" s="90"/>
      <c r="CU927" s="90"/>
      <c r="CV927" s="90"/>
      <c r="CW927" s="90"/>
    </row>
    <row r="928" ht="16.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0"/>
      <c r="BQ928" s="90"/>
      <c r="BR928" s="90"/>
      <c r="BS928" s="90"/>
      <c r="BT928" s="90"/>
      <c r="BU928" s="90"/>
      <c r="BV928" s="90"/>
      <c r="BW928" s="90"/>
      <c r="BX928" s="90"/>
      <c r="BY928" s="90"/>
      <c r="BZ928" s="90"/>
      <c r="CA928" s="90"/>
      <c r="CB928" s="90"/>
      <c r="CC928" s="90"/>
      <c r="CD928" s="90"/>
      <c r="CE928" s="90"/>
      <c r="CF928" s="90"/>
      <c r="CG928" s="90"/>
      <c r="CH928" s="90"/>
      <c r="CI928" s="90"/>
      <c r="CJ928" s="90"/>
      <c r="CK928" s="90"/>
      <c r="CL928" s="90"/>
      <c r="CM928" s="90"/>
      <c r="CN928" s="90"/>
      <c r="CO928" s="90"/>
      <c r="CP928" s="90"/>
      <c r="CQ928" s="90"/>
      <c r="CR928" s="90"/>
      <c r="CS928" s="90"/>
      <c r="CT928" s="90"/>
      <c r="CU928" s="90"/>
      <c r="CV928" s="90"/>
      <c r="CW928" s="90"/>
    </row>
    <row r="929" ht="16.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H929" s="90"/>
      <c r="BI929" s="90"/>
      <c r="BJ929" s="90"/>
      <c r="BK929" s="90"/>
      <c r="BL929" s="90"/>
      <c r="BM929" s="90"/>
      <c r="BN929" s="90"/>
      <c r="BO929" s="90"/>
      <c r="BP929" s="90"/>
      <c r="BQ929" s="90"/>
      <c r="BR929" s="90"/>
      <c r="BS929" s="90"/>
      <c r="BT929" s="90"/>
      <c r="BU929" s="90"/>
      <c r="BV929" s="90"/>
      <c r="BW929" s="90"/>
      <c r="BX929" s="90"/>
      <c r="BY929" s="90"/>
      <c r="BZ929" s="90"/>
      <c r="CA929" s="90"/>
      <c r="CB929" s="90"/>
      <c r="CC929" s="90"/>
      <c r="CD929" s="90"/>
      <c r="CE929" s="90"/>
      <c r="CF929" s="90"/>
      <c r="CG929" s="90"/>
      <c r="CH929" s="90"/>
      <c r="CI929" s="90"/>
      <c r="CJ929" s="90"/>
      <c r="CK929" s="90"/>
      <c r="CL929" s="90"/>
      <c r="CM929" s="90"/>
      <c r="CN929" s="90"/>
      <c r="CO929" s="90"/>
      <c r="CP929" s="90"/>
      <c r="CQ929" s="90"/>
      <c r="CR929" s="90"/>
      <c r="CS929" s="90"/>
      <c r="CT929" s="90"/>
      <c r="CU929" s="90"/>
      <c r="CV929" s="90"/>
      <c r="CW929" s="90"/>
    </row>
    <row r="930" ht="16.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0"/>
      <c r="BQ930" s="90"/>
      <c r="BR930" s="90"/>
      <c r="BS930" s="90"/>
      <c r="BT930" s="90"/>
      <c r="BU930" s="90"/>
      <c r="BV930" s="90"/>
      <c r="BW930" s="90"/>
      <c r="BX930" s="90"/>
      <c r="BY930" s="90"/>
      <c r="BZ930" s="90"/>
      <c r="CA930" s="90"/>
      <c r="CB930" s="90"/>
      <c r="CC930" s="90"/>
      <c r="CD930" s="90"/>
      <c r="CE930" s="90"/>
      <c r="CF930" s="90"/>
      <c r="CG930" s="90"/>
      <c r="CH930" s="90"/>
      <c r="CI930" s="90"/>
      <c r="CJ930" s="90"/>
      <c r="CK930" s="90"/>
      <c r="CL930" s="90"/>
      <c r="CM930" s="90"/>
      <c r="CN930" s="90"/>
      <c r="CO930" s="90"/>
      <c r="CP930" s="90"/>
      <c r="CQ930" s="90"/>
      <c r="CR930" s="90"/>
      <c r="CS930" s="90"/>
      <c r="CT930" s="90"/>
      <c r="CU930" s="90"/>
      <c r="CV930" s="90"/>
      <c r="CW930" s="90"/>
    </row>
    <row r="931" ht="16.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H931" s="90"/>
      <c r="BI931" s="90"/>
      <c r="BJ931" s="90"/>
      <c r="BK931" s="90"/>
      <c r="BL931" s="90"/>
      <c r="BM931" s="90"/>
      <c r="BN931" s="90"/>
      <c r="BO931" s="90"/>
      <c r="BP931" s="90"/>
      <c r="BQ931" s="90"/>
      <c r="BR931" s="90"/>
      <c r="BS931" s="90"/>
      <c r="BT931" s="90"/>
      <c r="BU931" s="90"/>
      <c r="BV931" s="90"/>
      <c r="BW931" s="90"/>
      <c r="BX931" s="90"/>
      <c r="BY931" s="90"/>
      <c r="BZ931" s="90"/>
      <c r="CA931" s="90"/>
      <c r="CB931" s="90"/>
      <c r="CC931" s="90"/>
      <c r="CD931" s="90"/>
      <c r="CE931" s="90"/>
      <c r="CF931" s="90"/>
      <c r="CG931" s="90"/>
      <c r="CH931" s="90"/>
      <c r="CI931" s="90"/>
      <c r="CJ931" s="90"/>
      <c r="CK931" s="90"/>
      <c r="CL931" s="90"/>
      <c r="CM931" s="90"/>
      <c r="CN931" s="90"/>
      <c r="CO931" s="90"/>
      <c r="CP931" s="90"/>
      <c r="CQ931" s="90"/>
      <c r="CR931" s="90"/>
      <c r="CS931" s="90"/>
      <c r="CT931" s="90"/>
      <c r="CU931" s="90"/>
      <c r="CV931" s="90"/>
      <c r="CW931" s="90"/>
    </row>
    <row r="932" ht="16.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0"/>
      <c r="BQ932" s="90"/>
      <c r="BR932" s="90"/>
      <c r="BS932" s="90"/>
      <c r="BT932" s="90"/>
      <c r="BU932" s="90"/>
      <c r="BV932" s="90"/>
      <c r="BW932" s="90"/>
      <c r="BX932" s="90"/>
      <c r="BY932" s="90"/>
      <c r="BZ932" s="90"/>
      <c r="CA932" s="90"/>
      <c r="CB932" s="90"/>
      <c r="CC932" s="90"/>
      <c r="CD932" s="90"/>
      <c r="CE932" s="90"/>
      <c r="CF932" s="90"/>
      <c r="CG932" s="90"/>
      <c r="CH932" s="90"/>
      <c r="CI932" s="90"/>
      <c r="CJ932" s="90"/>
      <c r="CK932" s="90"/>
      <c r="CL932" s="90"/>
      <c r="CM932" s="90"/>
      <c r="CN932" s="90"/>
      <c r="CO932" s="90"/>
      <c r="CP932" s="90"/>
      <c r="CQ932" s="90"/>
      <c r="CR932" s="90"/>
      <c r="CS932" s="90"/>
      <c r="CT932" s="90"/>
      <c r="CU932" s="90"/>
      <c r="CV932" s="90"/>
      <c r="CW932" s="90"/>
    </row>
    <row r="933" ht="16.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H933" s="90"/>
      <c r="BI933" s="90"/>
      <c r="BJ933" s="90"/>
      <c r="BK933" s="90"/>
      <c r="BL933" s="90"/>
      <c r="BM933" s="90"/>
      <c r="BN933" s="90"/>
      <c r="BO933" s="90"/>
      <c r="BP933" s="90"/>
      <c r="BQ933" s="90"/>
      <c r="BR933" s="90"/>
      <c r="BS933" s="90"/>
      <c r="BT933" s="90"/>
      <c r="BU933" s="90"/>
      <c r="BV933" s="90"/>
      <c r="BW933" s="90"/>
      <c r="BX933" s="90"/>
      <c r="BY933" s="90"/>
      <c r="BZ933" s="90"/>
      <c r="CA933" s="90"/>
      <c r="CB933" s="90"/>
      <c r="CC933" s="90"/>
      <c r="CD933" s="90"/>
      <c r="CE933" s="90"/>
      <c r="CF933" s="90"/>
      <c r="CG933" s="90"/>
      <c r="CH933" s="90"/>
      <c r="CI933" s="90"/>
      <c r="CJ933" s="90"/>
      <c r="CK933" s="90"/>
      <c r="CL933" s="90"/>
      <c r="CM933" s="90"/>
      <c r="CN933" s="90"/>
      <c r="CO933" s="90"/>
      <c r="CP933" s="90"/>
      <c r="CQ933" s="90"/>
      <c r="CR933" s="90"/>
      <c r="CS933" s="90"/>
      <c r="CT933" s="90"/>
      <c r="CU933" s="90"/>
      <c r="CV933" s="90"/>
      <c r="CW933" s="90"/>
    </row>
    <row r="934" ht="16.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0"/>
      <c r="BS934" s="90"/>
      <c r="BT934" s="90"/>
      <c r="BU934" s="90"/>
      <c r="BV934" s="90"/>
      <c r="BW934" s="90"/>
      <c r="BX934" s="90"/>
      <c r="BY934" s="90"/>
      <c r="BZ934" s="90"/>
      <c r="CA934" s="90"/>
      <c r="CB934" s="90"/>
      <c r="CC934" s="90"/>
      <c r="CD934" s="90"/>
      <c r="CE934" s="90"/>
      <c r="CF934" s="90"/>
      <c r="CG934" s="90"/>
      <c r="CH934" s="90"/>
      <c r="CI934" s="90"/>
      <c r="CJ934" s="90"/>
      <c r="CK934" s="90"/>
      <c r="CL934" s="90"/>
      <c r="CM934" s="90"/>
      <c r="CN934" s="90"/>
      <c r="CO934" s="90"/>
      <c r="CP934" s="90"/>
      <c r="CQ934" s="90"/>
      <c r="CR934" s="90"/>
      <c r="CS934" s="90"/>
      <c r="CT934" s="90"/>
      <c r="CU934" s="90"/>
      <c r="CV934" s="90"/>
      <c r="CW934" s="90"/>
    </row>
    <row r="935" ht="16.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  <c r="BK935" s="90"/>
      <c r="BL935" s="90"/>
      <c r="BM935" s="90"/>
      <c r="BN935" s="90"/>
      <c r="BO935" s="90"/>
      <c r="BP935" s="90"/>
      <c r="BQ935" s="90"/>
      <c r="BR935" s="90"/>
      <c r="BS935" s="90"/>
      <c r="BT935" s="90"/>
      <c r="BU935" s="90"/>
      <c r="BV935" s="90"/>
      <c r="BW935" s="90"/>
      <c r="BX935" s="90"/>
      <c r="BY935" s="90"/>
      <c r="BZ935" s="90"/>
      <c r="CA935" s="90"/>
      <c r="CB935" s="90"/>
      <c r="CC935" s="90"/>
      <c r="CD935" s="90"/>
      <c r="CE935" s="90"/>
      <c r="CF935" s="90"/>
      <c r="CG935" s="90"/>
      <c r="CH935" s="90"/>
      <c r="CI935" s="90"/>
      <c r="CJ935" s="90"/>
      <c r="CK935" s="90"/>
      <c r="CL935" s="90"/>
      <c r="CM935" s="90"/>
      <c r="CN935" s="90"/>
      <c r="CO935" s="90"/>
      <c r="CP935" s="90"/>
      <c r="CQ935" s="90"/>
      <c r="CR935" s="90"/>
      <c r="CS935" s="90"/>
      <c r="CT935" s="90"/>
      <c r="CU935" s="90"/>
      <c r="CV935" s="90"/>
      <c r="CW935" s="90"/>
    </row>
    <row r="936" ht="16.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0"/>
      <c r="BS936" s="90"/>
      <c r="BT936" s="90"/>
      <c r="BU936" s="90"/>
      <c r="BV936" s="90"/>
      <c r="BW936" s="90"/>
      <c r="BX936" s="90"/>
      <c r="BY936" s="90"/>
      <c r="BZ936" s="90"/>
      <c r="CA936" s="90"/>
      <c r="CB936" s="90"/>
      <c r="CC936" s="90"/>
      <c r="CD936" s="90"/>
      <c r="CE936" s="90"/>
      <c r="CF936" s="90"/>
      <c r="CG936" s="90"/>
      <c r="CH936" s="90"/>
      <c r="CI936" s="90"/>
      <c r="CJ936" s="90"/>
      <c r="CK936" s="90"/>
      <c r="CL936" s="90"/>
      <c r="CM936" s="90"/>
      <c r="CN936" s="90"/>
      <c r="CO936" s="90"/>
      <c r="CP936" s="90"/>
      <c r="CQ936" s="90"/>
      <c r="CR936" s="90"/>
      <c r="CS936" s="90"/>
      <c r="CT936" s="90"/>
      <c r="CU936" s="90"/>
      <c r="CV936" s="90"/>
      <c r="CW936" s="90"/>
    </row>
    <row r="937" ht="16.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H937" s="90"/>
      <c r="BI937" s="90"/>
      <c r="BJ937" s="90"/>
      <c r="BK937" s="90"/>
      <c r="BL937" s="90"/>
      <c r="BM937" s="90"/>
      <c r="BN937" s="90"/>
      <c r="BO937" s="90"/>
      <c r="BP937" s="90"/>
      <c r="BQ937" s="90"/>
      <c r="BR937" s="90"/>
      <c r="BS937" s="90"/>
      <c r="BT937" s="90"/>
      <c r="BU937" s="90"/>
      <c r="BV937" s="90"/>
      <c r="BW937" s="90"/>
      <c r="BX937" s="90"/>
      <c r="BY937" s="90"/>
      <c r="BZ937" s="90"/>
      <c r="CA937" s="90"/>
      <c r="CB937" s="90"/>
      <c r="CC937" s="90"/>
      <c r="CD937" s="90"/>
      <c r="CE937" s="90"/>
      <c r="CF937" s="90"/>
      <c r="CG937" s="90"/>
      <c r="CH937" s="90"/>
      <c r="CI937" s="90"/>
      <c r="CJ937" s="90"/>
      <c r="CK937" s="90"/>
      <c r="CL937" s="90"/>
      <c r="CM937" s="90"/>
      <c r="CN937" s="90"/>
      <c r="CO937" s="90"/>
      <c r="CP937" s="90"/>
      <c r="CQ937" s="90"/>
      <c r="CR937" s="90"/>
      <c r="CS937" s="90"/>
      <c r="CT937" s="90"/>
      <c r="CU937" s="90"/>
      <c r="CV937" s="90"/>
      <c r="CW937" s="90"/>
    </row>
    <row r="938" ht="16.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0"/>
      <c r="BQ938" s="90"/>
      <c r="BR938" s="90"/>
      <c r="BS938" s="90"/>
      <c r="BT938" s="90"/>
      <c r="BU938" s="90"/>
      <c r="BV938" s="90"/>
      <c r="BW938" s="90"/>
      <c r="BX938" s="90"/>
      <c r="BY938" s="90"/>
      <c r="BZ938" s="90"/>
      <c r="CA938" s="90"/>
      <c r="CB938" s="90"/>
      <c r="CC938" s="90"/>
      <c r="CD938" s="90"/>
      <c r="CE938" s="90"/>
      <c r="CF938" s="90"/>
      <c r="CG938" s="90"/>
      <c r="CH938" s="90"/>
      <c r="CI938" s="90"/>
      <c r="CJ938" s="90"/>
      <c r="CK938" s="90"/>
      <c r="CL938" s="90"/>
      <c r="CM938" s="90"/>
      <c r="CN938" s="90"/>
      <c r="CO938" s="90"/>
      <c r="CP938" s="90"/>
      <c r="CQ938" s="90"/>
      <c r="CR938" s="90"/>
      <c r="CS938" s="90"/>
      <c r="CT938" s="90"/>
      <c r="CU938" s="90"/>
      <c r="CV938" s="90"/>
      <c r="CW938" s="90"/>
    </row>
    <row r="939" ht="16.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H939" s="90"/>
      <c r="BI939" s="90"/>
      <c r="BJ939" s="90"/>
      <c r="BK939" s="90"/>
      <c r="BL939" s="90"/>
      <c r="BM939" s="90"/>
      <c r="BN939" s="90"/>
      <c r="BO939" s="90"/>
      <c r="BP939" s="90"/>
      <c r="BQ939" s="90"/>
      <c r="BR939" s="90"/>
      <c r="BS939" s="90"/>
      <c r="BT939" s="90"/>
      <c r="BU939" s="90"/>
      <c r="BV939" s="90"/>
      <c r="BW939" s="90"/>
      <c r="BX939" s="90"/>
      <c r="BY939" s="90"/>
      <c r="BZ939" s="90"/>
      <c r="CA939" s="90"/>
      <c r="CB939" s="90"/>
      <c r="CC939" s="90"/>
      <c r="CD939" s="90"/>
      <c r="CE939" s="90"/>
      <c r="CF939" s="90"/>
      <c r="CG939" s="90"/>
      <c r="CH939" s="90"/>
      <c r="CI939" s="90"/>
      <c r="CJ939" s="90"/>
      <c r="CK939" s="90"/>
      <c r="CL939" s="90"/>
      <c r="CM939" s="90"/>
      <c r="CN939" s="90"/>
      <c r="CO939" s="90"/>
      <c r="CP939" s="90"/>
      <c r="CQ939" s="90"/>
      <c r="CR939" s="90"/>
      <c r="CS939" s="90"/>
      <c r="CT939" s="90"/>
      <c r="CU939" s="90"/>
      <c r="CV939" s="90"/>
      <c r="CW939" s="90"/>
    </row>
    <row r="940" ht="16.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0"/>
      <c r="BQ940" s="90"/>
      <c r="BR940" s="90"/>
      <c r="BS940" s="90"/>
      <c r="BT940" s="90"/>
      <c r="BU940" s="90"/>
      <c r="BV940" s="90"/>
      <c r="BW940" s="90"/>
      <c r="BX940" s="90"/>
      <c r="BY940" s="90"/>
      <c r="BZ940" s="90"/>
      <c r="CA940" s="90"/>
      <c r="CB940" s="90"/>
      <c r="CC940" s="90"/>
      <c r="CD940" s="90"/>
      <c r="CE940" s="90"/>
      <c r="CF940" s="90"/>
      <c r="CG940" s="90"/>
      <c r="CH940" s="90"/>
      <c r="CI940" s="90"/>
      <c r="CJ940" s="90"/>
      <c r="CK940" s="90"/>
      <c r="CL940" s="90"/>
      <c r="CM940" s="90"/>
      <c r="CN940" s="90"/>
      <c r="CO940" s="90"/>
      <c r="CP940" s="90"/>
      <c r="CQ940" s="90"/>
      <c r="CR940" s="90"/>
      <c r="CS940" s="90"/>
      <c r="CT940" s="90"/>
      <c r="CU940" s="90"/>
      <c r="CV940" s="90"/>
      <c r="CW940" s="90"/>
    </row>
    <row r="941" ht="16.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H941" s="90"/>
      <c r="BI941" s="90"/>
      <c r="BJ941" s="90"/>
      <c r="BK941" s="90"/>
      <c r="BL941" s="90"/>
      <c r="BM941" s="90"/>
      <c r="BN941" s="90"/>
      <c r="BO941" s="90"/>
      <c r="BP941" s="90"/>
      <c r="BQ941" s="90"/>
      <c r="BR941" s="90"/>
      <c r="BS941" s="90"/>
      <c r="BT941" s="90"/>
      <c r="BU941" s="90"/>
      <c r="BV941" s="90"/>
      <c r="BW941" s="90"/>
      <c r="BX941" s="90"/>
      <c r="BY941" s="90"/>
      <c r="BZ941" s="90"/>
      <c r="CA941" s="90"/>
      <c r="CB941" s="90"/>
      <c r="CC941" s="90"/>
      <c r="CD941" s="90"/>
      <c r="CE941" s="90"/>
      <c r="CF941" s="90"/>
      <c r="CG941" s="90"/>
      <c r="CH941" s="90"/>
      <c r="CI941" s="90"/>
      <c r="CJ941" s="90"/>
      <c r="CK941" s="90"/>
      <c r="CL941" s="90"/>
      <c r="CM941" s="90"/>
      <c r="CN941" s="90"/>
      <c r="CO941" s="90"/>
      <c r="CP941" s="90"/>
      <c r="CQ941" s="90"/>
      <c r="CR941" s="90"/>
      <c r="CS941" s="90"/>
      <c r="CT941" s="90"/>
      <c r="CU941" s="90"/>
      <c r="CV941" s="90"/>
      <c r="CW941" s="90"/>
    </row>
    <row r="942" ht="16.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0"/>
      <c r="BQ942" s="90"/>
      <c r="BR942" s="90"/>
      <c r="BS942" s="90"/>
      <c r="BT942" s="90"/>
      <c r="BU942" s="90"/>
      <c r="BV942" s="90"/>
      <c r="BW942" s="90"/>
      <c r="BX942" s="90"/>
      <c r="BY942" s="90"/>
      <c r="BZ942" s="90"/>
      <c r="CA942" s="90"/>
      <c r="CB942" s="90"/>
      <c r="CC942" s="90"/>
      <c r="CD942" s="90"/>
      <c r="CE942" s="90"/>
      <c r="CF942" s="90"/>
      <c r="CG942" s="90"/>
      <c r="CH942" s="90"/>
      <c r="CI942" s="90"/>
      <c r="CJ942" s="90"/>
      <c r="CK942" s="90"/>
      <c r="CL942" s="90"/>
      <c r="CM942" s="90"/>
      <c r="CN942" s="90"/>
      <c r="CO942" s="90"/>
      <c r="CP942" s="90"/>
      <c r="CQ942" s="90"/>
      <c r="CR942" s="90"/>
      <c r="CS942" s="90"/>
      <c r="CT942" s="90"/>
      <c r="CU942" s="90"/>
      <c r="CV942" s="90"/>
      <c r="CW942" s="90"/>
    </row>
    <row r="943" ht="16.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H943" s="90"/>
      <c r="BI943" s="90"/>
      <c r="BJ943" s="90"/>
      <c r="BK943" s="90"/>
      <c r="BL943" s="90"/>
      <c r="BM943" s="90"/>
      <c r="BN943" s="90"/>
      <c r="BO943" s="90"/>
      <c r="BP943" s="90"/>
      <c r="BQ943" s="90"/>
      <c r="BR943" s="90"/>
      <c r="BS943" s="90"/>
      <c r="BT943" s="90"/>
      <c r="BU943" s="90"/>
      <c r="BV943" s="90"/>
      <c r="BW943" s="90"/>
      <c r="BX943" s="90"/>
      <c r="BY943" s="90"/>
      <c r="BZ943" s="90"/>
      <c r="CA943" s="90"/>
      <c r="CB943" s="90"/>
      <c r="CC943" s="90"/>
      <c r="CD943" s="90"/>
      <c r="CE943" s="90"/>
      <c r="CF943" s="90"/>
      <c r="CG943" s="90"/>
      <c r="CH943" s="90"/>
      <c r="CI943" s="90"/>
      <c r="CJ943" s="90"/>
      <c r="CK943" s="90"/>
      <c r="CL943" s="90"/>
      <c r="CM943" s="90"/>
      <c r="CN943" s="90"/>
      <c r="CO943" s="90"/>
      <c r="CP943" s="90"/>
      <c r="CQ943" s="90"/>
      <c r="CR943" s="90"/>
      <c r="CS943" s="90"/>
      <c r="CT943" s="90"/>
      <c r="CU943" s="90"/>
      <c r="CV943" s="90"/>
      <c r="CW943" s="90"/>
    </row>
    <row r="944" ht="16.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0"/>
      <c r="BQ944" s="90"/>
      <c r="BR944" s="90"/>
      <c r="BS944" s="90"/>
      <c r="BT944" s="90"/>
      <c r="BU944" s="90"/>
      <c r="BV944" s="90"/>
      <c r="BW944" s="90"/>
      <c r="BX944" s="90"/>
      <c r="BY944" s="90"/>
      <c r="BZ944" s="90"/>
      <c r="CA944" s="90"/>
      <c r="CB944" s="90"/>
      <c r="CC944" s="90"/>
      <c r="CD944" s="90"/>
      <c r="CE944" s="90"/>
      <c r="CF944" s="90"/>
      <c r="CG944" s="90"/>
      <c r="CH944" s="90"/>
      <c r="CI944" s="90"/>
      <c r="CJ944" s="90"/>
      <c r="CK944" s="90"/>
      <c r="CL944" s="90"/>
      <c r="CM944" s="90"/>
      <c r="CN944" s="90"/>
      <c r="CO944" s="90"/>
      <c r="CP944" s="90"/>
      <c r="CQ944" s="90"/>
      <c r="CR944" s="90"/>
      <c r="CS944" s="90"/>
      <c r="CT944" s="90"/>
      <c r="CU944" s="90"/>
      <c r="CV944" s="90"/>
      <c r="CW944" s="90"/>
    </row>
    <row r="945" ht="16.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H945" s="90"/>
      <c r="BI945" s="90"/>
      <c r="BJ945" s="90"/>
      <c r="BK945" s="90"/>
      <c r="BL945" s="90"/>
      <c r="BM945" s="90"/>
      <c r="BN945" s="90"/>
      <c r="BO945" s="90"/>
      <c r="BP945" s="90"/>
      <c r="BQ945" s="90"/>
      <c r="BR945" s="90"/>
      <c r="BS945" s="90"/>
      <c r="BT945" s="90"/>
      <c r="BU945" s="90"/>
      <c r="BV945" s="90"/>
      <c r="BW945" s="90"/>
      <c r="BX945" s="90"/>
      <c r="BY945" s="90"/>
      <c r="BZ945" s="90"/>
      <c r="CA945" s="90"/>
      <c r="CB945" s="90"/>
      <c r="CC945" s="90"/>
      <c r="CD945" s="90"/>
      <c r="CE945" s="90"/>
      <c r="CF945" s="90"/>
      <c r="CG945" s="90"/>
      <c r="CH945" s="90"/>
      <c r="CI945" s="90"/>
      <c r="CJ945" s="90"/>
      <c r="CK945" s="90"/>
      <c r="CL945" s="90"/>
      <c r="CM945" s="90"/>
      <c r="CN945" s="90"/>
      <c r="CO945" s="90"/>
      <c r="CP945" s="90"/>
      <c r="CQ945" s="90"/>
      <c r="CR945" s="90"/>
      <c r="CS945" s="90"/>
      <c r="CT945" s="90"/>
      <c r="CU945" s="90"/>
      <c r="CV945" s="90"/>
      <c r="CW945" s="90"/>
    </row>
    <row r="946" ht="16.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0"/>
      <c r="BQ946" s="90"/>
      <c r="BR946" s="90"/>
      <c r="BS946" s="90"/>
      <c r="BT946" s="90"/>
      <c r="BU946" s="90"/>
      <c r="BV946" s="90"/>
      <c r="BW946" s="90"/>
      <c r="BX946" s="90"/>
      <c r="BY946" s="90"/>
      <c r="BZ946" s="90"/>
      <c r="CA946" s="90"/>
      <c r="CB946" s="90"/>
      <c r="CC946" s="90"/>
      <c r="CD946" s="90"/>
      <c r="CE946" s="90"/>
      <c r="CF946" s="90"/>
      <c r="CG946" s="90"/>
      <c r="CH946" s="90"/>
      <c r="CI946" s="90"/>
      <c r="CJ946" s="90"/>
      <c r="CK946" s="90"/>
      <c r="CL946" s="90"/>
      <c r="CM946" s="90"/>
      <c r="CN946" s="90"/>
      <c r="CO946" s="90"/>
      <c r="CP946" s="90"/>
      <c r="CQ946" s="90"/>
      <c r="CR946" s="90"/>
      <c r="CS946" s="90"/>
      <c r="CT946" s="90"/>
      <c r="CU946" s="90"/>
      <c r="CV946" s="90"/>
      <c r="CW946" s="90"/>
    </row>
    <row r="947" ht="16.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H947" s="90"/>
      <c r="BI947" s="90"/>
      <c r="BJ947" s="90"/>
      <c r="BK947" s="90"/>
      <c r="BL947" s="90"/>
      <c r="BM947" s="90"/>
      <c r="BN947" s="90"/>
      <c r="BO947" s="90"/>
      <c r="BP947" s="90"/>
      <c r="BQ947" s="90"/>
      <c r="BR947" s="90"/>
      <c r="BS947" s="90"/>
      <c r="BT947" s="90"/>
      <c r="BU947" s="90"/>
      <c r="BV947" s="90"/>
      <c r="BW947" s="90"/>
      <c r="BX947" s="90"/>
      <c r="BY947" s="90"/>
      <c r="BZ947" s="90"/>
      <c r="CA947" s="90"/>
      <c r="CB947" s="90"/>
      <c r="CC947" s="90"/>
      <c r="CD947" s="90"/>
      <c r="CE947" s="90"/>
      <c r="CF947" s="90"/>
      <c r="CG947" s="90"/>
      <c r="CH947" s="90"/>
      <c r="CI947" s="90"/>
      <c r="CJ947" s="90"/>
      <c r="CK947" s="90"/>
      <c r="CL947" s="90"/>
      <c r="CM947" s="90"/>
      <c r="CN947" s="90"/>
      <c r="CO947" s="90"/>
      <c r="CP947" s="90"/>
      <c r="CQ947" s="90"/>
      <c r="CR947" s="90"/>
      <c r="CS947" s="90"/>
      <c r="CT947" s="90"/>
      <c r="CU947" s="90"/>
      <c r="CV947" s="90"/>
      <c r="CW947" s="90"/>
    </row>
    <row r="948" ht="16.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0"/>
      <c r="BQ948" s="90"/>
      <c r="BR948" s="90"/>
      <c r="BS948" s="90"/>
      <c r="BT948" s="90"/>
      <c r="BU948" s="90"/>
      <c r="BV948" s="90"/>
      <c r="BW948" s="90"/>
      <c r="BX948" s="90"/>
      <c r="BY948" s="90"/>
      <c r="BZ948" s="90"/>
      <c r="CA948" s="90"/>
      <c r="CB948" s="90"/>
      <c r="CC948" s="90"/>
      <c r="CD948" s="90"/>
      <c r="CE948" s="90"/>
      <c r="CF948" s="90"/>
      <c r="CG948" s="90"/>
      <c r="CH948" s="90"/>
      <c r="CI948" s="90"/>
      <c r="CJ948" s="90"/>
      <c r="CK948" s="90"/>
      <c r="CL948" s="90"/>
      <c r="CM948" s="90"/>
      <c r="CN948" s="90"/>
      <c r="CO948" s="90"/>
      <c r="CP948" s="90"/>
      <c r="CQ948" s="90"/>
      <c r="CR948" s="90"/>
      <c r="CS948" s="90"/>
      <c r="CT948" s="90"/>
      <c r="CU948" s="90"/>
      <c r="CV948" s="90"/>
      <c r="CW948" s="90"/>
    </row>
    <row r="949" ht="16.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H949" s="90"/>
      <c r="BI949" s="90"/>
      <c r="BJ949" s="90"/>
      <c r="BK949" s="90"/>
      <c r="BL949" s="90"/>
      <c r="BM949" s="90"/>
      <c r="BN949" s="90"/>
      <c r="BO949" s="90"/>
      <c r="BP949" s="90"/>
      <c r="BQ949" s="90"/>
      <c r="BR949" s="90"/>
      <c r="BS949" s="90"/>
      <c r="BT949" s="90"/>
      <c r="BU949" s="90"/>
      <c r="BV949" s="90"/>
      <c r="BW949" s="90"/>
      <c r="BX949" s="90"/>
      <c r="BY949" s="90"/>
      <c r="BZ949" s="90"/>
      <c r="CA949" s="90"/>
      <c r="CB949" s="90"/>
      <c r="CC949" s="90"/>
      <c r="CD949" s="90"/>
      <c r="CE949" s="90"/>
      <c r="CF949" s="90"/>
      <c r="CG949" s="90"/>
      <c r="CH949" s="90"/>
      <c r="CI949" s="90"/>
      <c r="CJ949" s="90"/>
      <c r="CK949" s="90"/>
      <c r="CL949" s="90"/>
      <c r="CM949" s="90"/>
      <c r="CN949" s="90"/>
      <c r="CO949" s="90"/>
      <c r="CP949" s="90"/>
      <c r="CQ949" s="90"/>
      <c r="CR949" s="90"/>
      <c r="CS949" s="90"/>
      <c r="CT949" s="90"/>
      <c r="CU949" s="90"/>
      <c r="CV949" s="90"/>
      <c r="CW949" s="90"/>
    </row>
    <row r="950" ht="16.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0"/>
      <c r="BQ950" s="90"/>
      <c r="BR950" s="90"/>
      <c r="BS950" s="90"/>
      <c r="BT950" s="90"/>
      <c r="BU950" s="90"/>
      <c r="BV950" s="90"/>
      <c r="BW950" s="90"/>
      <c r="BX950" s="90"/>
      <c r="BY950" s="90"/>
      <c r="BZ950" s="90"/>
      <c r="CA950" s="90"/>
      <c r="CB950" s="90"/>
      <c r="CC950" s="90"/>
      <c r="CD950" s="90"/>
      <c r="CE950" s="90"/>
      <c r="CF950" s="90"/>
      <c r="CG950" s="90"/>
      <c r="CH950" s="90"/>
      <c r="CI950" s="90"/>
      <c r="CJ950" s="90"/>
      <c r="CK950" s="90"/>
      <c r="CL950" s="90"/>
      <c r="CM950" s="90"/>
      <c r="CN950" s="90"/>
      <c r="CO950" s="90"/>
      <c r="CP950" s="90"/>
      <c r="CQ950" s="90"/>
      <c r="CR950" s="90"/>
      <c r="CS950" s="90"/>
      <c r="CT950" s="90"/>
      <c r="CU950" s="90"/>
      <c r="CV950" s="90"/>
      <c r="CW950" s="90"/>
    </row>
    <row r="951" ht="16.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H951" s="90"/>
      <c r="BI951" s="90"/>
      <c r="BJ951" s="90"/>
      <c r="BK951" s="90"/>
      <c r="BL951" s="90"/>
      <c r="BM951" s="90"/>
      <c r="BN951" s="90"/>
      <c r="BO951" s="90"/>
      <c r="BP951" s="90"/>
      <c r="BQ951" s="90"/>
      <c r="BR951" s="90"/>
      <c r="BS951" s="90"/>
      <c r="BT951" s="90"/>
      <c r="BU951" s="90"/>
      <c r="BV951" s="90"/>
      <c r="BW951" s="90"/>
      <c r="BX951" s="90"/>
      <c r="BY951" s="90"/>
      <c r="BZ951" s="90"/>
      <c r="CA951" s="90"/>
      <c r="CB951" s="90"/>
      <c r="CC951" s="90"/>
      <c r="CD951" s="90"/>
      <c r="CE951" s="90"/>
      <c r="CF951" s="90"/>
      <c r="CG951" s="90"/>
      <c r="CH951" s="90"/>
      <c r="CI951" s="90"/>
      <c r="CJ951" s="90"/>
      <c r="CK951" s="90"/>
      <c r="CL951" s="90"/>
      <c r="CM951" s="90"/>
      <c r="CN951" s="90"/>
      <c r="CO951" s="90"/>
      <c r="CP951" s="90"/>
      <c r="CQ951" s="90"/>
      <c r="CR951" s="90"/>
      <c r="CS951" s="90"/>
      <c r="CT951" s="90"/>
      <c r="CU951" s="90"/>
      <c r="CV951" s="90"/>
      <c r="CW951" s="90"/>
    </row>
    <row r="952" ht="16.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  <c r="BO952" s="90"/>
      <c r="BP952" s="90"/>
      <c r="BQ952" s="90"/>
      <c r="BR952" s="90"/>
      <c r="BS952" s="90"/>
      <c r="BT952" s="90"/>
      <c r="BU952" s="90"/>
      <c r="BV952" s="90"/>
      <c r="BW952" s="90"/>
      <c r="BX952" s="90"/>
      <c r="BY952" s="90"/>
      <c r="BZ952" s="90"/>
      <c r="CA952" s="90"/>
      <c r="CB952" s="90"/>
      <c r="CC952" s="90"/>
      <c r="CD952" s="90"/>
      <c r="CE952" s="90"/>
      <c r="CF952" s="90"/>
      <c r="CG952" s="90"/>
      <c r="CH952" s="90"/>
      <c r="CI952" s="90"/>
      <c r="CJ952" s="90"/>
      <c r="CK952" s="90"/>
      <c r="CL952" s="90"/>
      <c r="CM952" s="90"/>
      <c r="CN952" s="90"/>
      <c r="CO952" s="90"/>
      <c r="CP952" s="90"/>
      <c r="CQ952" s="90"/>
      <c r="CR952" s="90"/>
      <c r="CS952" s="90"/>
      <c r="CT952" s="90"/>
      <c r="CU952" s="90"/>
      <c r="CV952" s="90"/>
      <c r="CW952" s="90"/>
    </row>
    <row r="953" ht="16.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H953" s="90"/>
      <c r="BI953" s="90"/>
      <c r="BJ953" s="90"/>
      <c r="BK953" s="90"/>
      <c r="BL953" s="90"/>
      <c r="BM953" s="90"/>
      <c r="BN953" s="90"/>
      <c r="BO953" s="90"/>
      <c r="BP953" s="90"/>
      <c r="BQ953" s="90"/>
      <c r="BR953" s="90"/>
      <c r="BS953" s="90"/>
      <c r="BT953" s="90"/>
      <c r="BU953" s="90"/>
      <c r="BV953" s="90"/>
      <c r="BW953" s="90"/>
      <c r="BX953" s="90"/>
      <c r="BY953" s="90"/>
      <c r="BZ953" s="90"/>
      <c r="CA953" s="90"/>
      <c r="CB953" s="90"/>
      <c r="CC953" s="90"/>
      <c r="CD953" s="90"/>
      <c r="CE953" s="90"/>
      <c r="CF953" s="90"/>
      <c r="CG953" s="90"/>
      <c r="CH953" s="90"/>
      <c r="CI953" s="90"/>
      <c r="CJ953" s="90"/>
      <c r="CK953" s="90"/>
      <c r="CL953" s="90"/>
      <c r="CM953" s="90"/>
      <c r="CN953" s="90"/>
      <c r="CO953" s="90"/>
      <c r="CP953" s="90"/>
      <c r="CQ953" s="90"/>
      <c r="CR953" s="90"/>
      <c r="CS953" s="90"/>
      <c r="CT953" s="90"/>
      <c r="CU953" s="90"/>
      <c r="CV953" s="90"/>
      <c r="CW953" s="90"/>
    </row>
    <row r="954" ht="16.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  <c r="BO954" s="90"/>
      <c r="BP954" s="90"/>
      <c r="BQ954" s="90"/>
      <c r="BR954" s="90"/>
      <c r="BS954" s="90"/>
      <c r="BT954" s="90"/>
      <c r="BU954" s="90"/>
      <c r="BV954" s="90"/>
      <c r="BW954" s="90"/>
      <c r="BX954" s="90"/>
      <c r="BY954" s="90"/>
      <c r="BZ954" s="90"/>
      <c r="CA954" s="90"/>
      <c r="CB954" s="90"/>
      <c r="CC954" s="90"/>
      <c r="CD954" s="90"/>
      <c r="CE954" s="90"/>
      <c r="CF954" s="90"/>
      <c r="CG954" s="90"/>
      <c r="CH954" s="90"/>
      <c r="CI954" s="90"/>
      <c r="CJ954" s="90"/>
      <c r="CK954" s="90"/>
      <c r="CL954" s="90"/>
      <c r="CM954" s="90"/>
      <c r="CN954" s="90"/>
      <c r="CO954" s="90"/>
      <c r="CP954" s="90"/>
      <c r="CQ954" s="90"/>
      <c r="CR954" s="90"/>
      <c r="CS954" s="90"/>
      <c r="CT954" s="90"/>
      <c r="CU954" s="90"/>
      <c r="CV954" s="90"/>
      <c r="CW954" s="90"/>
    </row>
    <row r="955" ht="16.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H955" s="90"/>
      <c r="BI955" s="90"/>
      <c r="BJ955" s="90"/>
      <c r="BK955" s="90"/>
      <c r="BL955" s="90"/>
      <c r="BM955" s="90"/>
      <c r="BN955" s="90"/>
      <c r="BO955" s="90"/>
      <c r="BP955" s="90"/>
      <c r="BQ955" s="90"/>
      <c r="BR955" s="90"/>
      <c r="BS955" s="90"/>
      <c r="BT955" s="90"/>
      <c r="BU955" s="90"/>
      <c r="BV955" s="90"/>
      <c r="BW955" s="90"/>
      <c r="BX955" s="90"/>
      <c r="BY955" s="90"/>
      <c r="BZ955" s="90"/>
      <c r="CA955" s="90"/>
      <c r="CB955" s="90"/>
      <c r="CC955" s="90"/>
      <c r="CD955" s="90"/>
      <c r="CE955" s="90"/>
      <c r="CF955" s="90"/>
      <c r="CG955" s="90"/>
      <c r="CH955" s="90"/>
      <c r="CI955" s="90"/>
      <c r="CJ955" s="90"/>
      <c r="CK955" s="90"/>
      <c r="CL955" s="90"/>
      <c r="CM955" s="90"/>
      <c r="CN955" s="90"/>
      <c r="CO955" s="90"/>
      <c r="CP955" s="90"/>
      <c r="CQ955" s="90"/>
      <c r="CR955" s="90"/>
      <c r="CS955" s="90"/>
      <c r="CT955" s="90"/>
      <c r="CU955" s="90"/>
      <c r="CV955" s="90"/>
      <c r="CW955" s="90"/>
    </row>
    <row r="956" ht="16.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  <c r="BO956" s="90"/>
      <c r="BP956" s="90"/>
      <c r="BQ956" s="90"/>
      <c r="BR956" s="90"/>
      <c r="BS956" s="90"/>
      <c r="BT956" s="90"/>
      <c r="BU956" s="90"/>
      <c r="BV956" s="90"/>
      <c r="BW956" s="90"/>
      <c r="BX956" s="90"/>
      <c r="BY956" s="90"/>
      <c r="BZ956" s="90"/>
      <c r="CA956" s="90"/>
      <c r="CB956" s="90"/>
      <c r="CC956" s="90"/>
      <c r="CD956" s="90"/>
      <c r="CE956" s="90"/>
      <c r="CF956" s="90"/>
      <c r="CG956" s="90"/>
      <c r="CH956" s="90"/>
      <c r="CI956" s="90"/>
      <c r="CJ956" s="90"/>
      <c r="CK956" s="90"/>
      <c r="CL956" s="90"/>
      <c r="CM956" s="90"/>
      <c r="CN956" s="90"/>
      <c r="CO956" s="90"/>
      <c r="CP956" s="90"/>
      <c r="CQ956" s="90"/>
      <c r="CR956" s="90"/>
      <c r="CS956" s="90"/>
      <c r="CT956" s="90"/>
      <c r="CU956" s="90"/>
      <c r="CV956" s="90"/>
      <c r="CW956" s="90"/>
    </row>
    <row r="957" ht="16.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H957" s="90"/>
      <c r="BI957" s="90"/>
      <c r="BJ957" s="90"/>
      <c r="BK957" s="90"/>
      <c r="BL957" s="90"/>
      <c r="BM957" s="90"/>
      <c r="BN957" s="90"/>
      <c r="BO957" s="90"/>
      <c r="BP957" s="90"/>
      <c r="BQ957" s="90"/>
      <c r="BR957" s="90"/>
      <c r="BS957" s="90"/>
      <c r="BT957" s="90"/>
      <c r="BU957" s="90"/>
      <c r="BV957" s="90"/>
      <c r="BW957" s="90"/>
      <c r="BX957" s="90"/>
      <c r="BY957" s="90"/>
      <c r="BZ957" s="90"/>
      <c r="CA957" s="90"/>
      <c r="CB957" s="90"/>
      <c r="CC957" s="90"/>
      <c r="CD957" s="90"/>
      <c r="CE957" s="90"/>
      <c r="CF957" s="90"/>
      <c r="CG957" s="90"/>
      <c r="CH957" s="90"/>
      <c r="CI957" s="90"/>
      <c r="CJ957" s="90"/>
      <c r="CK957" s="90"/>
      <c r="CL957" s="90"/>
      <c r="CM957" s="90"/>
      <c r="CN957" s="90"/>
      <c r="CO957" s="90"/>
      <c r="CP957" s="90"/>
      <c r="CQ957" s="90"/>
      <c r="CR957" s="90"/>
      <c r="CS957" s="90"/>
      <c r="CT957" s="90"/>
      <c r="CU957" s="90"/>
      <c r="CV957" s="90"/>
      <c r="CW957" s="90"/>
    </row>
    <row r="958" ht="16.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H958" s="90"/>
      <c r="BI958" s="90"/>
      <c r="BJ958" s="90"/>
      <c r="BK958" s="90"/>
      <c r="BL958" s="90"/>
      <c r="BM958" s="90"/>
      <c r="BN958" s="90"/>
      <c r="BO958" s="90"/>
      <c r="BP958" s="90"/>
      <c r="BQ958" s="90"/>
      <c r="BR958" s="90"/>
      <c r="BS958" s="90"/>
      <c r="BT958" s="90"/>
      <c r="BU958" s="90"/>
      <c r="BV958" s="90"/>
      <c r="BW958" s="90"/>
      <c r="BX958" s="90"/>
      <c r="BY958" s="90"/>
      <c r="BZ958" s="90"/>
      <c r="CA958" s="90"/>
      <c r="CB958" s="90"/>
      <c r="CC958" s="90"/>
      <c r="CD958" s="90"/>
      <c r="CE958" s="90"/>
      <c r="CF958" s="90"/>
      <c r="CG958" s="90"/>
      <c r="CH958" s="90"/>
      <c r="CI958" s="90"/>
      <c r="CJ958" s="90"/>
      <c r="CK958" s="90"/>
      <c r="CL958" s="90"/>
      <c r="CM958" s="90"/>
      <c r="CN958" s="90"/>
      <c r="CO958" s="90"/>
      <c r="CP958" s="90"/>
      <c r="CQ958" s="90"/>
      <c r="CR958" s="90"/>
      <c r="CS958" s="90"/>
      <c r="CT958" s="90"/>
      <c r="CU958" s="90"/>
      <c r="CV958" s="90"/>
      <c r="CW958" s="90"/>
    </row>
    <row r="959" ht="16.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H959" s="90"/>
      <c r="BI959" s="90"/>
      <c r="BJ959" s="90"/>
      <c r="BK959" s="90"/>
      <c r="BL959" s="90"/>
      <c r="BM959" s="90"/>
      <c r="BN959" s="90"/>
      <c r="BO959" s="90"/>
      <c r="BP959" s="90"/>
      <c r="BQ959" s="90"/>
      <c r="BR959" s="90"/>
      <c r="BS959" s="90"/>
      <c r="BT959" s="90"/>
      <c r="BU959" s="90"/>
      <c r="BV959" s="90"/>
      <c r="BW959" s="90"/>
      <c r="BX959" s="90"/>
      <c r="BY959" s="90"/>
      <c r="BZ959" s="90"/>
      <c r="CA959" s="90"/>
      <c r="CB959" s="90"/>
      <c r="CC959" s="90"/>
      <c r="CD959" s="90"/>
      <c r="CE959" s="90"/>
      <c r="CF959" s="90"/>
      <c r="CG959" s="90"/>
      <c r="CH959" s="90"/>
      <c r="CI959" s="90"/>
      <c r="CJ959" s="90"/>
      <c r="CK959" s="90"/>
      <c r="CL959" s="90"/>
      <c r="CM959" s="90"/>
      <c r="CN959" s="90"/>
      <c r="CO959" s="90"/>
      <c r="CP959" s="90"/>
      <c r="CQ959" s="90"/>
      <c r="CR959" s="90"/>
      <c r="CS959" s="90"/>
      <c r="CT959" s="90"/>
      <c r="CU959" s="90"/>
      <c r="CV959" s="90"/>
      <c r="CW959" s="90"/>
    </row>
    <row r="960" ht="16.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H960" s="90"/>
      <c r="BI960" s="90"/>
      <c r="BJ960" s="90"/>
      <c r="BK960" s="90"/>
      <c r="BL960" s="90"/>
      <c r="BM960" s="90"/>
      <c r="BN960" s="90"/>
      <c r="BO960" s="90"/>
      <c r="BP960" s="90"/>
      <c r="BQ960" s="90"/>
      <c r="BR960" s="90"/>
      <c r="BS960" s="90"/>
      <c r="BT960" s="90"/>
      <c r="BU960" s="90"/>
      <c r="BV960" s="90"/>
      <c r="BW960" s="90"/>
      <c r="BX960" s="90"/>
      <c r="BY960" s="90"/>
      <c r="BZ960" s="90"/>
      <c r="CA960" s="90"/>
      <c r="CB960" s="90"/>
      <c r="CC960" s="90"/>
      <c r="CD960" s="90"/>
      <c r="CE960" s="90"/>
      <c r="CF960" s="90"/>
      <c r="CG960" s="90"/>
      <c r="CH960" s="90"/>
      <c r="CI960" s="90"/>
      <c r="CJ960" s="90"/>
      <c r="CK960" s="90"/>
      <c r="CL960" s="90"/>
      <c r="CM960" s="90"/>
      <c r="CN960" s="90"/>
      <c r="CO960" s="90"/>
      <c r="CP960" s="90"/>
      <c r="CQ960" s="90"/>
      <c r="CR960" s="90"/>
      <c r="CS960" s="90"/>
      <c r="CT960" s="90"/>
      <c r="CU960" s="90"/>
      <c r="CV960" s="90"/>
      <c r="CW960" s="90"/>
    </row>
    <row r="961" ht="16.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H961" s="90"/>
      <c r="BI961" s="90"/>
      <c r="BJ961" s="90"/>
      <c r="BK961" s="90"/>
      <c r="BL961" s="90"/>
      <c r="BM961" s="90"/>
      <c r="BN961" s="90"/>
      <c r="BO961" s="90"/>
      <c r="BP961" s="90"/>
      <c r="BQ961" s="90"/>
      <c r="BR961" s="90"/>
      <c r="BS961" s="90"/>
      <c r="BT961" s="90"/>
      <c r="BU961" s="90"/>
      <c r="BV961" s="90"/>
      <c r="BW961" s="90"/>
      <c r="BX961" s="90"/>
      <c r="BY961" s="90"/>
      <c r="BZ961" s="90"/>
      <c r="CA961" s="90"/>
      <c r="CB961" s="90"/>
      <c r="CC961" s="90"/>
      <c r="CD961" s="90"/>
      <c r="CE961" s="90"/>
      <c r="CF961" s="90"/>
      <c r="CG961" s="90"/>
      <c r="CH961" s="90"/>
      <c r="CI961" s="90"/>
      <c r="CJ961" s="90"/>
      <c r="CK961" s="90"/>
      <c r="CL961" s="90"/>
      <c r="CM961" s="90"/>
      <c r="CN961" s="90"/>
      <c r="CO961" s="90"/>
      <c r="CP961" s="90"/>
      <c r="CQ961" s="90"/>
      <c r="CR961" s="90"/>
      <c r="CS961" s="90"/>
      <c r="CT961" s="90"/>
      <c r="CU961" s="90"/>
      <c r="CV961" s="90"/>
      <c r="CW961" s="90"/>
    </row>
    <row r="962" ht="16.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H962" s="90"/>
      <c r="BI962" s="90"/>
      <c r="BJ962" s="90"/>
      <c r="BK962" s="90"/>
      <c r="BL962" s="90"/>
      <c r="BM962" s="90"/>
      <c r="BN962" s="90"/>
      <c r="BO962" s="90"/>
      <c r="BP962" s="90"/>
      <c r="BQ962" s="90"/>
      <c r="BR962" s="90"/>
      <c r="BS962" s="90"/>
      <c r="BT962" s="90"/>
      <c r="BU962" s="90"/>
      <c r="BV962" s="90"/>
      <c r="BW962" s="90"/>
      <c r="BX962" s="90"/>
      <c r="BY962" s="90"/>
      <c r="BZ962" s="90"/>
      <c r="CA962" s="90"/>
      <c r="CB962" s="90"/>
      <c r="CC962" s="90"/>
      <c r="CD962" s="90"/>
      <c r="CE962" s="90"/>
      <c r="CF962" s="90"/>
      <c r="CG962" s="90"/>
      <c r="CH962" s="90"/>
      <c r="CI962" s="90"/>
      <c r="CJ962" s="90"/>
      <c r="CK962" s="90"/>
      <c r="CL962" s="90"/>
      <c r="CM962" s="90"/>
      <c r="CN962" s="90"/>
      <c r="CO962" s="90"/>
      <c r="CP962" s="90"/>
      <c r="CQ962" s="90"/>
      <c r="CR962" s="90"/>
      <c r="CS962" s="90"/>
      <c r="CT962" s="90"/>
      <c r="CU962" s="90"/>
      <c r="CV962" s="90"/>
      <c r="CW962" s="90"/>
    </row>
    <row r="963" ht="16.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H963" s="90"/>
      <c r="BI963" s="90"/>
      <c r="BJ963" s="90"/>
      <c r="BK963" s="90"/>
      <c r="BL963" s="90"/>
      <c r="BM963" s="90"/>
      <c r="BN963" s="90"/>
      <c r="BO963" s="90"/>
      <c r="BP963" s="90"/>
      <c r="BQ963" s="90"/>
      <c r="BR963" s="90"/>
      <c r="BS963" s="90"/>
      <c r="BT963" s="90"/>
      <c r="BU963" s="90"/>
      <c r="BV963" s="90"/>
      <c r="BW963" s="90"/>
      <c r="BX963" s="90"/>
      <c r="BY963" s="90"/>
      <c r="BZ963" s="90"/>
      <c r="CA963" s="90"/>
      <c r="CB963" s="90"/>
      <c r="CC963" s="90"/>
      <c r="CD963" s="90"/>
      <c r="CE963" s="90"/>
      <c r="CF963" s="90"/>
      <c r="CG963" s="90"/>
      <c r="CH963" s="90"/>
      <c r="CI963" s="90"/>
      <c r="CJ963" s="90"/>
      <c r="CK963" s="90"/>
      <c r="CL963" s="90"/>
      <c r="CM963" s="90"/>
      <c r="CN963" s="90"/>
      <c r="CO963" s="90"/>
      <c r="CP963" s="90"/>
      <c r="CQ963" s="90"/>
      <c r="CR963" s="90"/>
      <c r="CS963" s="90"/>
      <c r="CT963" s="90"/>
      <c r="CU963" s="90"/>
      <c r="CV963" s="90"/>
      <c r="CW963" s="90"/>
    </row>
    <row r="964" ht="16.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H964" s="90"/>
      <c r="BI964" s="90"/>
      <c r="BJ964" s="90"/>
      <c r="BK964" s="90"/>
      <c r="BL964" s="90"/>
      <c r="BM964" s="90"/>
      <c r="BN964" s="90"/>
      <c r="BO964" s="90"/>
      <c r="BP964" s="90"/>
      <c r="BQ964" s="90"/>
      <c r="BR964" s="90"/>
      <c r="BS964" s="90"/>
      <c r="BT964" s="90"/>
      <c r="BU964" s="90"/>
      <c r="BV964" s="90"/>
      <c r="BW964" s="90"/>
      <c r="BX964" s="90"/>
      <c r="BY964" s="90"/>
      <c r="BZ964" s="90"/>
      <c r="CA964" s="90"/>
      <c r="CB964" s="90"/>
      <c r="CC964" s="90"/>
      <c r="CD964" s="90"/>
      <c r="CE964" s="90"/>
      <c r="CF964" s="90"/>
      <c r="CG964" s="90"/>
      <c r="CH964" s="90"/>
      <c r="CI964" s="90"/>
      <c r="CJ964" s="90"/>
      <c r="CK964" s="90"/>
      <c r="CL964" s="90"/>
      <c r="CM964" s="90"/>
      <c r="CN964" s="90"/>
      <c r="CO964" s="90"/>
      <c r="CP964" s="90"/>
      <c r="CQ964" s="90"/>
      <c r="CR964" s="90"/>
      <c r="CS964" s="90"/>
      <c r="CT964" s="90"/>
      <c r="CU964" s="90"/>
      <c r="CV964" s="90"/>
      <c r="CW964" s="90"/>
    </row>
    <row r="965" ht="16.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H965" s="90"/>
      <c r="BI965" s="90"/>
      <c r="BJ965" s="90"/>
      <c r="BK965" s="90"/>
      <c r="BL965" s="90"/>
      <c r="BM965" s="90"/>
      <c r="BN965" s="90"/>
      <c r="BO965" s="90"/>
      <c r="BP965" s="90"/>
      <c r="BQ965" s="90"/>
      <c r="BR965" s="90"/>
      <c r="BS965" s="90"/>
      <c r="BT965" s="90"/>
      <c r="BU965" s="90"/>
      <c r="BV965" s="90"/>
      <c r="BW965" s="90"/>
      <c r="BX965" s="90"/>
      <c r="BY965" s="90"/>
      <c r="BZ965" s="90"/>
      <c r="CA965" s="90"/>
      <c r="CB965" s="90"/>
      <c r="CC965" s="90"/>
      <c r="CD965" s="90"/>
      <c r="CE965" s="90"/>
      <c r="CF965" s="90"/>
      <c r="CG965" s="90"/>
      <c r="CH965" s="90"/>
      <c r="CI965" s="90"/>
      <c r="CJ965" s="90"/>
      <c r="CK965" s="90"/>
      <c r="CL965" s="90"/>
      <c r="CM965" s="90"/>
      <c r="CN965" s="90"/>
      <c r="CO965" s="90"/>
      <c r="CP965" s="90"/>
      <c r="CQ965" s="90"/>
      <c r="CR965" s="90"/>
      <c r="CS965" s="90"/>
      <c r="CT965" s="90"/>
      <c r="CU965" s="90"/>
      <c r="CV965" s="90"/>
      <c r="CW965" s="90"/>
    </row>
    <row r="966" ht="16.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H966" s="90"/>
      <c r="BI966" s="90"/>
      <c r="BJ966" s="90"/>
      <c r="BK966" s="90"/>
      <c r="BL966" s="90"/>
      <c r="BM966" s="90"/>
      <c r="BN966" s="90"/>
      <c r="BO966" s="90"/>
      <c r="BP966" s="90"/>
      <c r="BQ966" s="90"/>
      <c r="BR966" s="90"/>
      <c r="BS966" s="90"/>
      <c r="BT966" s="90"/>
      <c r="BU966" s="90"/>
      <c r="BV966" s="90"/>
      <c r="BW966" s="90"/>
      <c r="BX966" s="90"/>
      <c r="BY966" s="90"/>
      <c r="BZ966" s="90"/>
      <c r="CA966" s="90"/>
      <c r="CB966" s="90"/>
      <c r="CC966" s="90"/>
      <c r="CD966" s="90"/>
      <c r="CE966" s="90"/>
      <c r="CF966" s="90"/>
      <c r="CG966" s="90"/>
      <c r="CH966" s="90"/>
      <c r="CI966" s="90"/>
      <c r="CJ966" s="90"/>
      <c r="CK966" s="90"/>
      <c r="CL966" s="90"/>
      <c r="CM966" s="90"/>
      <c r="CN966" s="90"/>
      <c r="CO966" s="90"/>
      <c r="CP966" s="90"/>
      <c r="CQ966" s="90"/>
      <c r="CR966" s="90"/>
      <c r="CS966" s="90"/>
      <c r="CT966" s="90"/>
      <c r="CU966" s="90"/>
      <c r="CV966" s="90"/>
      <c r="CW966" s="90"/>
    </row>
    <row r="967" ht="16.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H967" s="90"/>
      <c r="BI967" s="90"/>
      <c r="BJ967" s="90"/>
      <c r="BK967" s="90"/>
      <c r="BL967" s="90"/>
      <c r="BM967" s="90"/>
      <c r="BN967" s="90"/>
      <c r="BO967" s="90"/>
      <c r="BP967" s="90"/>
      <c r="BQ967" s="90"/>
      <c r="BR967" s="90"/>
      <c r="BS967" s="90"/>
      <c r="BT967" s="90"/>
      <c r="BU967" s="90"/>
      <c r="BV967" s="90"/>
      <c r="BW967" s="90"/>
      <c r="BX967" s="90"/>
      <c r="BY967" s="90"/>
      <c r="BZ967" s="90"/>
      <c r="CA967" s="90"/>
      <c r="CB967" s="90"/>
      <c r="CC967" s="90"/>
      <c r="CD967" s="90"/>
      <c r="CE967" s="90"/>
      <c r="CF967" s="90"/>
      <c r="CG967" s="90"/>
      <c r="CH967" s="90"/>
      <c r="CI967" s="90"/>
      <c r="CJ967" s="90"/>
      <c r="CK967" s="90"/>
      <c r="CL967" s="90"/>
      <c r="CM967" s="90"/>
      <c r="CN967" s="90"/>
      <c r="CO967" s="90"/>
      <c r="CP967" s="90"/>
      <c r="CQ967" s="90"/>
      <c r="CR967" s="90"/>
      <c r="CS967" s="90"/>
      <c r="CT967" s="90"/>
      <c r="CU967" s="90"/>
      <c r="CV967" s="90"/>
      <c r="CW967" s="90"/>
    </row>
    <row r="968" ht="16.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H968" s="90"/>
      <c r="BI968" s="90"/>
      <c r="BJ968" s="90"/>
      <c r="BK968" s="90"/>
      <c r="BL968" s="90"/>
      <c r="BM968" s="90"/>
      <c r="BN968" s="90"/>
      <c r="BO968" s="90"/>
      <c r="BP968" s="90"/>
      <c r="BQ968" s="90"/>
      <c r="BR968" s="90"/>
      <c r="BS968" s="90"/>
      <c r="BT968" s="90"/>
      <c r="BU968" s="90"/>
      <c r="BV968" s="90"/>
      <c r="BW968" s="90"/>
      <c r="BX968" s="90"/>
      <c r="BY968" s="90"/>
      <c r="BZ968" s="90"/>
      <c r="CA968" s="90"/>
      <c r="CB968" s="90"/>
      <c r="CC968" s="90"/>
      <c r="CD968" s="90"/>
      <c r="CE968" s="90"/>
      <c r="CF968" s="90"/>
      <c r="CG968" s="90"/>
      <c r="CH968" s="90"/>
      <c r="CI968" s="90"/>
      <c r="CJ968" s="90"/>
      <c r="CK968" s="90"/>
      <c r="CL968" s="90"/>
      <c r="CM968" s="90"/>
      <c r="CN968" s="90"/>
      <c r="CO968" s="90"/>
      <c r="CP968" s="90"/>
      <c r="CQ968" s="90"/>
      <c r="CR968" s="90"/>
      <c r="CS968" s="90"/>
      <c r="CT968" s="90"/>
      <c r="CU968" s="90"/>
      <c r="CV968" s="90"/>
      <c r="CW968" s="90"/>
    </row>
    <row r="969" ht="16.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H969" s="90"/>
      <c r="BI969" s="90"/>
      <c r="BJ969" s="90"/>
      <c r="BK969" s="90"/>
      <c r="BL969" s="90"/>
      <c r="BM969" s="90"/>
      <c r="BN969" s="90"/>
      <c r="BO969" s="90"/>
      <c r="BP969" s="90"/>
      <c r="BQ969" s="90"/>
      <c r="BR969" s="90"/>
      <c r="BS969" s="90"/>
      <c r="BT969" s="90"/>
      <c r="BU969" s="90"/>
      <c r="BV969" s="90"/>
      <c r="BW969" s="90"/>
      <c r="BX969" s="90"/>
      <c r="BY969" s="90"/>
      <c r="BZ969" s="90"/>
      <c r="CA969" s="90"/>
      <c r="CB969" s="90"/>
      <c r="CC969" s="90"/>
      <c r="CD969" s="90"/>
      <c r="CE969" s="90"/>
      <c r="CF969" s="90"/>
      <c r="CG969" s="90"/>
      <c r="CH969" s="90"/>
      <c r="CI969" s="90"/>
      <c r="CJ969" s="90"/>
      <c r="CK969" s="90"/>
      <c r="CL969" s="90"/>
      <c r="CM969" s="90"/>
      <c r="CN969" s="90"/>
      <c r="CO969" s="90"/>
      <c r="CP969" s="90"/>
      <c r="CQ969" s="90"/>
      <c r="CR969" s="90"/>
      <c r="CS969" s="90"/>
      <c r="CT969" s="90"/>
      <c r="CU969" s="90"/>
      <c r="CV969" s="90"/>
      <c r="CW969" s="90"/>
    </row>
    <row r="970" ht="16.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H970" s="90"/>
      <c r="BI970" s="90"/>
      <c r="BJ970" s="90"/>
      <c r="BK970" s="90"/>
      <c r="BL970" s="90"/>
      <c r="BM970" s="90"/>
      <c r="BN970" s="90"/>
      <c r="BO970" s="90"/>
      <c r="BP970" s="90"/>
      <c r="BQ970" s="90"/>
      <c r="BR970" s="90"/>
      <c r="BS970" s="90"/>
      <c r="BT970" s="90"/>
      <c r="BU970" s="90"/>
      <c r="BV970" s="90"/>
      <c r="BW970" s="90"/>
      <c r="BX970" s="90"/>
      <c r="BY970" s="90"/>
      <c r="BZ970" s="90"/>
      <c r="CA970" s="90"/>
      <c r="CB970" s="90"/>
      <c r="CC970" s="90"/>
      <c r="CD970" s="90"/>
      <c r="CE970" s="90"/>
      <c r="CF970" s="90"/>
      <c r="CG970" s="90"/>
      <c r="CH970" s="90"/>
      <c r="CI970" s="90"/>
      <c r="CJ970" s="90"/>
      <c r="CK970" s="90"/>
      <c r="CL970" s="90"/>
      <c r="CM970" s="90"/>
      <c r="CN970" s="90"/>
      <c r="CO970" s="90"/>
      <c r="CP970" s="90"/>
      <c r="CQ970" s="90"/>
      <c r="CR970" s="90"/>
      <c r="CS970" s="90"/>
      <c r="CT970" s="90"/>
      <c r="CU970" s="90"/>
      <c r="CV970" s="90"/>
      <c r="CW970" s="90"/>
    </row>
    <row r="971" ht="16.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H971" s="90"/>
      <c r="BI971" s="90"/>
      <c r="BJ971" s="90"/>
      <c r="BK971" s="90"/>
      <c r="BL971" s="90"/>
      <c r="BM971" s="90"/>
      <c r="BN971" s="90"/>
      <c r="BO971" s="90"/>
      <c r="BP971" s="90"/>
      <c r="BQ971" s="90"/>
      <c r="BR971" s="90"/>
      <c r="BS971" s="90"/>
      <c r="BT971" s="90"/>
      <c r="BU971" s="90"/>
      <c r="BV971" s="90"/>
      <c r="BW971" s="90"/>
      <c r="BX971" s="90"/>
      <c r="BY971" s="90"/>
      <c r="BZ971" s="90"/>
      <c r="CA971" s="90"/>
      <c r="CB971" s="90"/>
      <c r="CC971" s="90"/>
      <c r="CD971" s="90"/>
      <c r="CE971" s="90"/>
      <c r="CF971" s="90"/>
      <c r="CG971" s="90"/>
      <c r="CH971" s="90"/>
      <c r="CI971" s="90"/>
      <c r="CJ971" s="90"/>
      <c r="CK971" s="90"/>
      <c r="CL971" s="90"/>
      <c r="CM971" s="90"/>
      <c r="CN971" s="90"/>
      <c r="CO971" s="90"/>
      <c r="CP971" s="90"/>
      <c r="CQ971" s="90"/>
      <c r="CR971" s="90"/>
      <c r="CS971" s="90"/>
      <c r="CT971" s="90"/>
      <c r="CU971" s="90"/>
      <c r="CV971" s="90"/>
      <c r="CW971" s="90"/>
    </row>
    <row r="972" ht="16.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H972" s="90"/>
      <c r="BI972" s="90"/>
      <c r="BJ972" s="90"/>
      <c r="BK972" s="90"/>
      <c r="BL972" s="90"/>
      <c r="BM972" s="90"/>
      <c r="BN972" s="90"/>
      <c r="BO972" s="90"/>
      <c r="BP972" s="90"/>
      <c r="BQ972" s="90"/>
      <c r="BR972" s="90"/>
      <c r="BS972" s="90"/>
      <c r="BT972" s="90"/>
      <c r="BU972" s="90"/>
      <c r="BV972" s="90"/>
      <c r="BW972" s="90"/>
      <c r="BX972" s="90"/>
      <c r="BY972" s="90"/>
      <c r="BZ972" s="90"/>
      <c r="CA972" s="90"/>
      <c r="CB972" s="90"/>
      <c r="CC972" s="90"/>
      <c r="CD972" s="90"/>
      <c r="CE972" s="90"/>
      <c r="CF972" s="90"/>
      <c r="CG972" s="90"/>
      <c r="CH972" s="90"/>
      <c r="CI972" s="90"/>
      <c r="CJ972" s="90"/>
      <c r="CK972" s="90"/>
      <c r="CL972" s="90"/>
      <c r="CM972" s="90"/>
      <c r="CN972" s="90"/>
      <c r="CO972" s="90"/>
      <c r="CP972" s="90"/>
      <c r="CQ972" s="90"/>
      <c r="CR972" s="90"/>
      <c r="CS972" s="90"/>
      <c r="CT972" s="90"/>
      <c r="CU972" s="90"/>
      <c r="CV972" s="90"/>
      <c r="CW972" s="90"/>
    </row>
    <row r="973" ht="16.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H973" s="90"/>
      <c r="BI973" s="90"/>
      <c r="BJ973" s="90"/>
      <c r="BK973" s="90"/>
      <c r="BL973" s="90"/>
      <c r="BM973" s="90"/>
      <c r="BN973" s="90"/>
      <c r="BO973" s="90"/>
      <c r="BP973" s="90"/>
      <c r="BQ973" s="90"/>
      <c r="BR973" s="90"/>
      <c r="BS973" s="90"/>
      <c r="BT973" s="90"/>
      <c r="BU973" s="90"/>
      <c r="BV973" s="90"/>
      <c r="BW973" s="90"/>
      <c r="BX973" s="90"/>
      <c r="BY973" s="90"/>
      <c r="BZ973" s="90"/>
      <c r="CA973" s="90"/>
      <c r="CB973" s="90"/>
      <c r="CC973" s="90"/>
      <c r="CD973" s="90"/>
      <c r="CE973" s="90"/>
      <c r="CF973" s="90"/>
      <c r="CG973" s="90"/>
      <c r="CH973" s="90"/>
      <c r="CI973" s="90"/>
      <c r="CJ973" s="90"/>
      <c r="CK973" s="90"/>
      <c r="CL973" s="90"/>
      <c r="CM973" s="90"/>
      <c r="CN973" s="90"/>
      <c r="CO973" s="90"/>
      <c r="CP973" s="90"/>
      <c r="CQ973" s="90"/>
      <c r="CR973" s="90"/>
      <c r="CS973" s="90"/>
      <c r="CT973" s="90"/>
      <c r="CU973" s="90"/>
      <c r="CV973" s="90"/>
      <c r="CW973" s="90"/>
    </row>
    <row r="974" ht="16.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H974" s="90"/>
      <c r="BI974" s="90"/>
      <c r="BJ974" s="90"/>
      <c r="BK974" s="90"/>
      <c r="BL974" s="90"/>
      <c r="BM974" s="90"/>
      <c r="BN974" s="90"/>
      <c r="BO974" s="90"/>
      <c r="BP974" s="90"/>
      <c r="BQ974" s="90"/>
      <c r="BR974" s="90"/>
      <c r="BS974" s="90"/>
      <c r="BT974" s="90"/>
      <c r="BU974" s="90"/>
      <c r="BV974" s="90"/>
      <c r="BW974" s="90"/>
      <c r="BX974" s="90"/>
      <c r="BY974" s="90"/>
      <c r="BZ974" s="90"/>
      <c r="CA974" s="90"/>
      <c r="CB974" s="90"/>
      <c r="CC974" s="90"/>
      <c r="CD974" s="90"/>
      <c r="CE974" s="90"/>
      <c r="CF974" s="90"/>
      <c r="CG974" s="90"/>
      <c r="CH974" s="90"/>
      <c r="CI974" s="90"/>
      <c r="CJ974" s="90"/>
      <c r="CK974" s="90"/>
      <c r="CL974" s="90"/>
      <c r="CM974" s="90"/>
      <c r="CN974" s="90"/>
      <c r="CO974" s="90"/>
      <c r="CP974" s="90"/>
      <c r="CQ974" s="90"/>
      <c r="CR974" s="90"/>
      <c r="CS974" s="90"/>
      <c r="CT974" s="90"/>
      <c r="CU974" s="90"/>
      <c r="CV974" s="90"/>
      <c r="CW974" s="90"/>
    </row>
    <row r="975" ht="16.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H975" s="90"/>
      <c r="BI975" s="90"/>
      <c r="BJ975" s="90"/>
      <c r="BK975" s="90"/>
      <c r="BL975" s="90"/>
      <c r="BM975" s="90"/>
      <c r="BN975" s="90"/>
      <c r="BO975" s="90"/>
      <c r="BP975" s="90"/>
      <c r="BQ975" s="90"/>
      <c r="BR975" s="90"/>
      <c r="BS975" s="90"/>
      <c r="BT975" s="90"/>
      <c r="BU975" s="90"/>
      <c r="BV975" s="90"/>
      <c r="BW975" s="90"/>
      <c r="BX975" s="90"/>
      <c r="BY975" s="90"/>
      <c r="BZ975" s="90"/>
      <c r="CA975" s="90"/>
      <c r="CB975" s="90"/>
      <c r="CC975" s="90"/>
      <c r="CD975" s="90"/>
      <c r="CE975" s="90"/>
      <c r="CF975" s="90"/>
      <c r="CG975" s="90"/>
      <c r="CH975" s="90"/>
      <c r="CI975" s="90"/>
      <c r="CJ975" s="90"/>
      <c r="CK975" s="90"/>
      <c r="CL975" s="90"/>
      <c r="CM975" s="90"/>
      <c r="CN975" s="90"/>
      <c r="CO975" s="90"/>
      <c r="CP975" s="90"/>
      <c r="CQ975" s="90"/>
      <c r="CR975" s="90"/>
      <c r="CS975" s="90"/>
      <c r="CT975" s="90"/>
      <c r="CU975" s="90"/>
      <c r="CV975" s="90"/>
      <c r="CW975" s="90"/>
    </row>
    <row r="976" ht="16.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H976" s="90"/>
      <c r="BI976" s="90"/>
      <c r="BJ976" s="90"/>
      <c r="BK976" s="90"/>
      <c r="BL976" s="90"/>
      <c r="BM976" s="90"/>
      <c r="BN976" s="90"/>
      <c r="BO976" s="90"/>
      <c r="BP976" s="90"/>
      <c r="BQ976" s="90"/>
      <c r="BR976" s="90"/>
      <c r="BS976" s="90"/>
      <c r="BT976" s="90"/>
      <c r="BU976" s="90"/>
      <c r="BV976" s="90"/>
      <c r="BW976" s="90"/>
      <c r="BX976" s="90"/>
      <c r="BY976" s="90"/>
      <c r="BZ976" s="90"/>
      <c r="CA976" s="90"/>
      <c r="CB976" s="90"/>
      <c r="CC976" s="90"/>
      <c r="CD976" s="90"/>
      <c r="CE976" s="90"/>
      <c r="CF976" s="90"/>
      <c r="CG976" s="90"/>
      <c r="CH976" s="90"/>
      <c r="CI976" s="90"/>
      <c r="CJ976" s="90"/>
      <c r="CK976" s="90"/>
      <c r="CL976" s="90"/>
      <c r="CM976" s="90"/>
      <c r="CN976" s="90"/>
      <c r="CO976" s="90"/>
      <c r="CP976" s="90"/>
      <c r="CQ976" s="90"/>
      <c r="CR976" s="90"/>
      <c r="CS976" s="90"/>
      <c r="CT976" s="90"/>
      <c r="CU976" s="90"/>
      <c r="CV976" s="90"/>
      <c r="CW976" s="90"/>
    </row>
    <row r="977" ht="16.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H977" s="90"/>
      <c r="BI977" s="90"/>
      <c r="BJ977" s="90"/>
      <c r="BK977" s="90"/>
      <c r="BL977" s="90"/>
      <c r="BM977" s="90"/>
      <c r="BN977" s="90"/>
      <c r="BO977" s="90"/>
      <c r="BP977" s="90"/>
      <c r="BQ977" s="90"/>
      <c r="BR977" s="90"/>
      <c r="BS977" s="90"/>
      <c r="BT977" s="90"/>
      <c r="BU977" s="90"/>
      <c r="BV977" s="90"/>
      <c r="BW977" s="90"/>
      <c r="BX977" s="90"/>
      <c r="BY977" s="90"/>
      <c r="BZ977" s="90"/>
      <c r="CA977" s="90"/>
      <c r="CB977" s="90"/>
      <c r="CC977" s="90"/>
      <c r="CD977" s="90"/>
      <c r="CE977" s="90"/>
      <c r="CF977" s="90"/>
      <c r="CG977" s="90"/>
      <c r="CH977" s="90"/>
      <c r="CI977" s="90"/>
      <c r="CJ977" s="90"/>
      <c r="CK977" s="90"/>
      <c r="CL977" s="90"/>
      <c r="CM977" s="90"/>
      <c r="CN977" s="90"/>
      <c r="CO977" s="90"/>
      <c r="CP977" s="90"/>
      <c r="CQ977" s="90"/>
      <c r="CR977" s="90"/>
      <c r="CS977" s="90"/>
      <c r="CT977" s="90"/>
      <c r="CU977" s="90"/>
      <c r="CV977" s="90"/>
      <c r="CW977" s="90"/>
    </row>
    <row r="978" ht="16.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H978" s="90"/>
      <c r="BI978" s="90"/>
      <c r="BJ978" s="90"/>
      <c r="BK978" s="90"/>
      <c r="BL978" s="90"/>
      <c r="BM978" s="90"/>
      <c r="BN978" s="90"/>
      <c r="BO978" s="90"/>
      <c r="BP978" s="90"/>
      <c r="BQ978" s="90"/>
      <c r="BR978" s="90"/>
      <c r="BS978" s="90"/>
      <c r="BT978" s="90"/>
      <c r="BU978" s="90"/>
      <c r="BV978" s="90"/>
      <c r="BW978" s="90"/>
      <c r="BX978" s="90"/>
      <c r="BY978" s="90"/>
      <c r="BZ978" s="90"/>
      <c r="CA978" s="90"/>
      <c r="CB978" s="90"/>
      <c r="CC978" s="90"/>
      <c r="CD978" s="90"/>
      <c r="CE978" s="90"/>
      <c r="CF978" s="90"/>
      <c r="CG978" s="90"/>
      <c r="CH978" s="90"/>
      <c r="CI978" s="90"/>
      <c r="CJ978" s="90"/>
      <c r="CK978" s="90"/>
      <c r="CL978" s="90"/>
      <c r="CM978" s="90"/>
      <c r="CN978" s="90"/>
      <c r="CO978" s="90"/>
      <c r="CP978" s="90"/>
      <c r="CQ978" s="90"/>
      <c r="CR978" s="90"/>
      <c r="CS978" s="90"/>
      <c r="CT978" s="90"/>
      <c r="CU978" s="90"/>
      <c r="CV978" s="90"/>
      <c r="CW978" s="90"/>
    </row>
    <row r="979" ht="16.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H979" s="90"/>
      <c r="BI979" s="90"/>
      <c r="BJ979" s="90"/>
      <c r="BK979" s="90"/>
      <c r="BL979" s="90"/>
      <c r="BM979" s="90"/>
      <c r="BN979" s="90"/>
      <c r="BO979" s="90"/>
      <c r="BP979" s="90"/>
      <c r="BQ979" s="90"/>
      <c r="BR979" s="90"/>
      <c r="BS979" s="90"/>
      <c r="BT979" s="90"/>
      <c r="BU979" s="90"/>
      <c r="BV979" s="90"/>
      <c r="BW979" s="90"/>
      <c r="BX979" s="90"/>
      <c r="BY979" s="90"/>
      <c r="BZ979" s="90"/>
      <c r="CA979" s="90"/>
      <c r="CB979" s="90"/>
      <c r="CC979" s="90"/>
      <c r="CD979" s="90"/>
      <c r="CE979" s="90"/>
      <c r="CF979" s="90"/>
      <c r="CG979" s="90"/>
      <c r="CH979" s="90"/>
      <c r="CI979" s="90"/>
      <c r="CJ979" s="90"/>
      <c r="CK979" s="90"/>
      <c r="CL979" s="90"/>
      <c r="CM979" s="90"/>
      <c r="CN979" s="90"/>
      <c r="CO979" s="90"/>
      <c r="CP979" s="90"/>
      <c r="CQ979" s="90"/>
      <c r="CR979" s="90"/>
      <c r="CS979" s="90"/>
      <c r="CT979" s="90"/>
      <c r="CU979" s="90"/>
      <c r="CV979" s="90"/>
      <c r="CW979" s="90"/>
    </row>
    <row r="980" ht="16.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H980" s="90"/>
      <c r="BI980" s="90"/>
      <c r="BJ980" s="90"/>
      <c r="BK980" s="90"/>
      <c r="BL980" s="90"/>
      <c r="BM980" s="90"/>
      <c r="BN980" s="90"/>
      <c r="BO980" s="90"/>
      <c r="BP980" s="90"/>
      <c r="BQ980" s="90"/>
      <c r="BR980" s="90"/>
      <c r="BS980" s="90"/>
      <c r="BT980" s="90"/>
      <c r="BU980" s="90"/>
      <c r="BV980" s="90"/>
      <c r="BW980" s="90"/>
      <c r="BX980" s="90"/>
      <c r="BY980" s="90"/>
      <c r="BZ980" s="90"/>
      <c r="CA980" s="90"/>
      <c r="CB980" s="90"/>
      <c r="CC980" s="90"/>
      <c r="CD980" s="90"/>
      <c r="CE980" s="90"/>
      <c r="CF980" s="90"/>
      <c r="CG980" s="90"/>
      <c r="CH980" s="90"/>
      <c r="CI980" s="90"/>
      <c r="CJ980" s="90"/>
      <c r="CK980" s="90"/>
      <c r="CL980" s="90"/>
      <c r="CM980" s="90"/>
      <c r="CN980" s="90"/>
      <c r="CO980" s="90"/>
      <c r="CP980" s="90"/>
      <c r="CQ980" s="90"/>
      <c r="CR980" s="90"/>
      <c r="CS980" s="90"/>
      <c r="CT980" s="90"/>
      <c r="CU980" s="90"/>
      <c r="CV980" s="90"/>
      <c r="CW980" s="90"/>
    </row>
    <row r="981" ht="16.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H981" s="90"/>
      <c r="BI981" s="90"/>
      <c r="BJ981" s="90"/>
      <c r="BK981" s="90"/>
      <c r="BL981" s="90"/>
      <c r="BM981" s="90"/>
      <c r="BN981" s="90"/>
      <c r="BO981" s="90"/>
      <c r="BP981" s="90"/>
      <c r="BQ981" s="90"/>
      <c r="BR981" s="90"/>
      <c r="BS981" s="90"/>
      <c r="BT981" s="90"/>
      <c r="BU981" s="90"/>
      <c r="BV981" s="90"/>
      <c r="BW981" s="90"/>
      <c r="BX981" s="90"/>
      <c r="BY981" s="90"/>
      <c r="BZ981" s="90"/>
      <c r="CA981" s="90"/>
      <c r="CB981" s="90"/>
      <c r="CC981" s="90"/>
      <c r="CD981" s="90"/>
      <c r="CE981" s="90"/>
      <c r="CF981" s="90"/>
      <c r="CG981" s="90"/>
      <c r="CH981" s="90"/>
      <c r="CI981" s="90"/>
      <c r="CJ981" s="90"/>
      <c r="CK981" s="90"/>
      <c r="CL981" s="90"/>
      <c r="CM981" s="90"/>
      <c r="CN981" s="90"/>
      <c r="CO981" s="90"/>
      <c r="CP981" s="90"/>
      <c r="CQ981" s="90"/>
      <c r="CR981" s="90"/>
      <c r="CS981" s="90"/>
      <c r="CT981" s="90"/>
      <c r="CU981" s="90"/>
      <c r="CV981" s="90"/>
      <c r="CW981" s="90"/>
    </row>
    <row r="982" ht="16.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H982" s="90"/>
      <c r="BI982" s="90"/>
      <c r="BJ982" s="90"/>
      <c r="BK982" s="90"/>
      <c r="BL982" s="90"/>
      <c r="BM982" s="90"/>
      <c r="BN982" s="90"/>
      <c r="BO982" s="90"/>
      <c r="BP982" s="90"/>
      <c r="BQ982" s="90"/>
      <c r="BR982" s="90"/>
      <c r="BS982" s="90"/>
      <c r="BT982" s="90"/>
      <c r="BU982" s="90"/>
      <c r="BV982" s="90"/>
      <c r="BW982" s="90"/>
      <c r="BX982" s="90"/>
      <c r="BY982" s="90"/>
      <c r="BZ982" s="90"/>
      <c r="CA982" s="90"/>
      <c r="CB982" s="90"/>
      <c r="CC982" s="90"/>
      <c r="CD982" s="90"/>
      <c r="CE982" s="90"/>
      <c r="CF982" s="90"/>
      <c r="CG982" s="90"/>
      <c r="CH982" s="90"/>
      <c r="CI982" s="90"/>
      <c r="CJ982" s="90"/>
      <c r="CK982" s="90"/>
      <c r="CL982" s="90"/>
      <c r="CM982" s="90"/>
      <c r="CN982" s="90"/>
      <c r="CO982" s="90"/>
      <c r="CP982" s="90"/>
      <c r="CQ982" s="90"/>
      <c r="CR982" s="90"/>
      <c r="CS982" s="90"/>
      <c r="CT982" s="90"/>
      <c r="CU982" s="90"/>
      <c r="CV982" s="90"/>
      <c r="CW982" s="90"/>
    </row>
    <row r="983" ht="16.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H983" s="90"/>
      <c r="BI983" s="90"/>
      <c r="BJ983" s="90"/>
      <c r="BK983" s="90"/>
      <c r="BL983" s="90"/>
      <c r="BM983" s="90"/>
      <c r="BN983" s="90"/>
      <c r="BO983" s="90"/>
      <c r="BP983" s="90"/>
      <c r="BQ983" s="90"/>
      <c r="BR983" s="90"/>
      <c r="BS983" s="90"/>
      <c r="BT983" s="90"/>
      <c r="BU983" s="90"/>
      <c r="BV983" s="90"/>
      <c r="BW983" s="90"/>
      <c r="BX983" s="90"/>
      <c r="BY983" s="90"/>
      <c r="BZ983" s="90"/>
      <c r="CA983" s="90"/>
      <c r="CB983" s="90"/>
      <c r="CC983" s="90"/>
      <c r="CD983" s="90"/>
      <c r="CE983" s="90"/>
      <c r="CF983" s="90"/>
      <c r="CG983" s="90"/>
      <c r="CH983" s="90"/>
      <c r="CI983" s="90"/>
      <c r="CJ983" s="90"/>
      <c r="CK983" s="90"/>
      <c r="CL983" s="90"/>
      <c r="CM983" s="90"/>
      <c r="CN983" s="90"/>
      <c r="CO983" s="90"/>
      <c r="CP983" s="90"/>
      <c r="CQ983" s="90"/>
      <c r="CR983" s="90"/>
      <c r="CS983" s="90"/>
      <c r="CT983" s="90"/>
      <c r="CU983" s="90"/>
      <c r="CV983" s="90"/>
      <c r="CW983" s="90"/>
    </row>
    <row r="984" ht="16.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  <c r="AT984" s="90"/>
      <c r="AU984" s="90"/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H984" s="90"/>
      <c r="BI984" s="90"/>
      <c r="BJ984" s="90"/>
      <c r="BK984" s="90"/>
      <c r="BL984" s="90"/>
      <c r="BM984" s="90"/>
      <c r="BN984" s="90"/>
      <c r="BO984" s="90"/>
      <c r="BP984" s="90"/>
      <c r="BQ984" s="90"/>
      <c r="BR984" s="90"/>
      <c r="BS984" s="90"/>
      <c r="BT984" s="90"/>
      <c r="BU984" s="90"/>
      <c r="BV984" s="90"/>
      <c r="BW984" s="90"/>
      <c r="BX984" s="90"/>
      <c r="BY984" s="90"/>
      <c r="BZ984" s="90"/>
      <c r="CA984" s="90"/>
      <c r="CB984" s="90"/>
      <c r="CC984" s="90"/>
      <c r="CD984" s="90"/>
      <c r="CE984" s="90"/>
      <c r="CF984" s="90"/>
      <c r="CG984" s="90"/>
      <c r="CH984" s="90"/>
      <c r="CI984" s="90"/>
      <c r="CJ984" s="90"/>
      <c r="CK984" s="90"/>
      <c r="CL984" s="90"/>
      <c r="CM984" s="90"/>
      <c r="CN984" s="90"/>
      <c r="CO984" s="90"/>
      <c r="CP984" s="90"/>
      <c r="CQ984" s="90"/>
      <c r="CR984" s="90"/>
      <c r="CS984" s="90"/>
      <c r="CT984" s="90"/>
      <c r="CU984" s="90"/>
      <c r="CV984" s="90"/>
      <c r="CW984" s="90"/>
    </row>
    <row r="985" ht="16.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  <c r="AT985" s="90"/>
      <c r="AU985" s="90"/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H985" s="90"/>
      <c r="BI985" s="90"/>
      <c r="BJ985" s="90"/>
      <c r="BK985" s="90"/>
      <c r="BL985" s="90"/>
      <c r="BM985" s="90"/>
      <c r="BN985" s="90"/>
      <c r="BO985" s="90"/>
      <c r="BP985" s="90"/>
      <c r="BQ985" s="90"/>
      <c r="BR985" s="90"/>
      <c r="BS985" s="90"/>
      <c r="BT985" s="90"/>
      <c r="BU985" s="90"/>
      <c r="BV985" s="90"/>
      <c r="BW985" s="90"/>
      <c r="BX985" s="90"/>
      <c r="BY985" s="90"/>
      <c r="BZ985" s="90"/>
      <c r="CA985" s="90"/>
      <c r="CB985" s="90"/>
      <c r="CC985" s="90"/>
      <c r="CD985" s="90"/>
      <c r="CE985" s="90"/>
      <c r="CF985" s="90"/>
      <c r="CG985" s="90"/>
      <c r="CH985" s="90"/>
      <c r="CI985" s="90"/>
      <c r="CJ985" s="90"/>
      <c r="CK985" s="90"/>
      <c r="CL985" s="90"/>
      <c r="CM985" s="90"/>
      <c r="CN985" s="90"/>
      <c r="CO985" s="90"/>
      <c r="CP985" s="90"/>
      <c r="CQ985" s="90"/>
      <c r="CR985" s="90"/>
      <c r="CS985" s="90"/>
      <c r="CT985" s="90"/>
      <c r="CU985" s="90"/>
      <c r="CV985" s="90"/>
      <c r="CW985" s="90"/>
    </row>
    <row r="986" ht="16.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0"/>
      <c r="AR986" s="90"/>
      <c r="AS986" s="90"/>
      <c r="AT986" s="90"/>
      <c r="AU986" s="90"/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H986" s="90"/>
      <c r="BI986" s="90"/>
      <c r="BJ986" s="90"/>
      <c r="BK986" s="90"/>
      <c r="BL986" s="90"/>
      <c r="BM986" s="90"/>
      <c r="BN986" s="90"/>
      <c r="BO986" s="90"/>
      <c r="BP986" s="90"/>
      <c r="BQ986" s="90"/>
      <c r="BR986" s="90"/>
      <c r="BS986" s="90"/>
      <c r="BT986" s="90"/>
      <c r="BU986" s="90"/>
      <c r="BV986" s="90"/>
      <c r="BW986" s="90"/>
      <c r="BX986" s="90"/>
      <c r="BY986" s="90"/>
      <c r="BZ986" s="90"/>
      <c r="CA986" s="90"/>
      <c r="CB986" s="90"/>
      <c r="CC986" s="90"/>
      <c r="CD986" s="90"/>
      <c r="CE986" s="90"/>
      <c r="CF986" s="90"/>
      <c r="CG986" s="90"/>
      <c r="CH986" s="90"/>
      <c r="CI986" s="90"/>
      <c r="CJ986" s="90"/>
      <c r="CK986" s="90"/>
      <c r="CL986" s="90"/>
      <c r="CM986" s="90"/>
      <c r="CN986" s="90"/>
      <c r="CO986" s="90"/>
      <c r="CP986" s="90"/>
      <c r="CQ986" s="90"/>
      <c r="CR986" s="90"/>
      <c r="CS986" s="90"/>
      <c r="CT986" s="90"/>
      <c r="CU986" s="90"/>
      <c r="CV986" s="90"/>
      <c r="CW986" s="90"/>
    </row>
    <row r="987" ht="16.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0"/>
      <c r="AR987" s="90"/>
      <c r="AS987" s="90"/>
      <c r="AT987" s="90"/>
      <c r="AU987" s="90"/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H987" s="90"/>
      <c r="BI987" s="90"/>
      <c r="BJ987" s="90"/>
      <c r="BK987" s="90"/>
      <c r="BL987" s="90"/>
      <c r="BM987" s="90"/>
      <c r="BN987" s="90"/>
      <c r="BO987" s="90"/>
      <c r="BP987" s="90"/>
      <c r="BQ987" s="90"/>
      <c r="BR987" s="90"/>
      <c r="BS987" s="90"/>
      <c r="BT987" s="90"/>
      <c r="BU987" s="90"/>
      <c r="BV987" s="90"/>
      <c r="BW987" s="90"/>
      <c r="BX987" s="90"/>
      <c r="BY987" s="90"/>
      <c r="BZ987" s="90"/>
      <c r="CA987" s="90"/>
      <c r="CB987" s="90"/>
      <c r="CC987" s="90"/>
      <c r="CD987" s="90"/>
      <c r="CE987" s="90"/>
      <c r="CF987" s="90"/>
      <c r="CG987" s="90"/>
      <c r="CH987" s="90"/>
      <c r="CI987" s="90"/>
      <c r="CJ987" s="90"/>
      <c r="CK987" s="90"/>
      <c r="CL987" s="90"/>
      <c r="CM987" s="90"/>
      <c r="CN987" s="90"/>
      <c r="CO987" s="90"/>
      <c r="CP987" s="90"/>
      <c r="CQ987" s="90"/>
      <c r="CR987" s="90"/>
      <c r="CS987" s="90"/>
      <c r="CT987" s="90"/>
      <c r="CU987" s="90"/>
      <c r="CV987" s="90"/>
      <c r="CW987" s="90"/>
    </row>
    <row r="988" ht="16.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0"/>
      <c r="AR988" s="90"/>
      <c r="AS988" s="90"/>
      <c r="AT988" s="90"/>
      <c r="AU988" s="90"/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H988" s="90"/>
      <c r="BI988" s="90"/>
      <c r="BJ988" s="90"/>
      <c r="BK988" s="90"/>
      <c r="BL988" s="90"/>
      <c r="BM988" s="90"/>
      <c r="BN988" s="90"/>
      <c r="BO988" s="90"/>
      <c r="BP988" s="90"/>
      <c r="BQ988" s="90"/>
      <c r="BR988" s="90"/>
      <c r="BS988" s="90"/>
      <c r="BT988" s="90"/>
      <c r="BU988" s="90"/>
      <c r="BV988" s="90"/>
      <c r="BW988" s="90"/>
      <c r="BX988" s="90"/>
      <c r="BY988" s="90"/>
      <c r="BZ988" s="90"/>
      <c r="CA988" s="90"/>
      <c r="CB988" s="90"/>
      <c r="CC988" s="90"/>
      <c r="CD988" s="90"/>
      <c r="CE988" s="90"/>
      <c r="CF988" s="90"/>
      <c r="CG988" s="90"/>
      <c r="CH988" s="90"/>
      <c r="CI988" s="90"/>
      <c r="CJ988" s="90"/>
      <c r="CK988" s="90"/>
      <c r="CL988" s="90"/>
      <c r="CM988" s="90"/>
      <c r="CN988" s="90"/>
      <c r="CO988" s="90"/>
      <c r="CP988" s="90"/>
      <c r="CQ988" s="90"/>
      <c r="CR988" s="90"/>
      <c r="CS988" s="90"/>
      <c r="CT988" s="90"/>
      <c r="CU988" s="90"/>
      <c r="CV988" s="90"/>
      <c r="CW988" s="90"/>
    </row>
    <row r="989" ht="16.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  <c r="AQ989" s="90"/>
      <c r="AR989" s="90"/>
      <c r="AS989" s="90"/>
      <c r="AT989" s="90"/>
      <c r="AU989" s="90"/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H989" s="90"/>
      <c r="BI989" s="90"/>
      <c r="BJ989" s="90"/>
      <c r="BK989" s="90"/>
      <c r="BL989" s="90"/>
      <c r="BM989" s="90"/>
      <c r="BN989" s="90"/>
      <c r="BO989" s="90"/>
      <c r="BP989" s="90"/>
      <c r="BQ989" s="90"/>
      <c r="BR989" s="90"/>
      <c r="BS989" s="90"/>
      <c r="BT989" s="90"/>
      <c r="BU989" s="90"/>
      <c r="BV989" s="90"/>
      <c r="BW989" s="90"/>
      <c r="BX989" s="90"/>
      <c r="BY989" s="90"/>
      <c r="BZ989" s="90"/>
      <c r="CA989" s="90"/>
      <c r="CB989" s="90"/>
      <c r="CC989" s="90"/>
      <c r="CD989" s="90"/>
      <c r="CE989" s="90"/>
      <c r="CF989" s="90"/>
      <c r="CG989" s="90"/>
      <c r="CH989" s="90"/>
      <c r="CI989" s="90"/>
      <c r="CJ989" s="90"/>
      <c r="CK989" s="90"/>
      <c r="CL989" s="90"/>
      <c r="CM989" s="90"/>
      <c r="CN989" s="90"/>
      <c r="CO989" s="90"/>
      <c r="CP989" s="90"/>
      <c r="CQ989" s="90"/>
      <c r="CR989" s="90"/>
      <c r="CS989" s="90"/>
      <c r="CT989" s="90"/>
      <c r="CU989" s="90"/>
      <c r="CV989" s="90"/>
      <c r="CW989" s="90"/>
    </row>
    <row r="990" ht="16.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  <c r="AQ990" s="90"/>
      <c r="AR990" s="90"/>
      <c r="AS990" s="90"/>
      <c r="AT990" s="90"/>
      <c r="AU990" s="90"/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H990" s="90"/>
      <c r="BI990" s="90"/>
      <c r="BJ990" s="90"/>
      <c r="BK990" s="90"/>
      <c r="BL990" s="90"/>
      <c r="BM990" s="90"/>
      <c r="BN990" s="90"/>
      <c r="BO990" s="90"/>
      <c r="BP990" s="90"/>
      <c r="BQ990" s="90"/>
      <c r="BR990" s="90"/>
      <c r="BS990" s="90"/>
      <c r="BT990" s="90"/>
      <c r="BU990" s="90"/>
      <c r="BV990" s="90"/>
      <c r="BW990" s="90"/>
      <c r="BX990" s="90"/>
      <c r="BY990" s="90"/>
      <c r="BZ990" s="90"/>
      <c r="CA990" s="90"/>
      <c r="CB990" s="90"/>
      <c r="CC990" s="90"/>
      <c r="CD990" s="90"/>
      <c r="CE990" s="90"/>
      <c r="CF990" s="90"/>
      <c r="CG990" s="90"/>
      <c r="CH990" s="90"/>
      <c r="CI990" s="90"/>
      <c r="CJ990" s="90"/>
      <c r="CK990" s="90"/>
      <c r="CL990" s="90"/>
      <c r="CM990" s="90"/>
      <c r="CN990" s="90"/>
      <c r="CO990" s="90"/>
      <c r="CP990" s="90"/>
      <c r="CQ990" s="90"/>
      <c r="CR990" s="90"/>
      <c r="CS990" s="90"/>
      <c r="CT990" s="90"/>
      <c r="CU990" s="90"/>
      <c r="CV990" s="90"/>
      <c r="CW990" s="90"/>
    </row>
    <row r="991" ht="16.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H991" s="90"/>
      <c r="BI991" s="90"/>
      <c r="BJ991" s="90"/>
      <c r="BK991" s="90"/>
      <c r="BL991" s="90"/>
      <c r="BM991" s="90"/>
      <c r="BN991" s="90"/>
      <c r="BO991" s="90"/>
      <c r="BP991" s="90"/>
      <c r="BQ991" s="90"/>
      <c r="BR991" s="90"/>
      <c r="BS991" s="90"/>
      <c r="BT991" s="90"/>
      <c r="BU991" s="90"/>
      <c r="BV991" s="90"/>
      <c r="BW991" s="90"/>
      <c r="BX991" s="90"/>
      <c r="BY991" s="90"/>
      <c r="BZ991" s="90"/>
      <c r="CA991" s="90"/>
      <c r="CB991" s="90"/>
      <c r="CC991" s="90"/>
      <c r="CD991" s="90"/>
      <c r="CE991" s="90"/>
      <c r="CF991" s="90"/>
      <c r="CG991" s="90"/>
      <c r="CH991" s="90"/>
      <c r="CI991" s="90"/>
      <c r="CJ991" s="90"/>
      <c r="CK991" s="90"/>
      <c r="CL991" s="90"/>
      <c r="CM991" s="90"/>
      <c r="CN991" s="90"/>
      <c r="CO991" s="90"/>
      <c r="CP991" s="90"/>
      <c r="CQ991" s="90"/>
      <c r="CR991" s="90"/>
      <c r="CS991" s="90"/>
      <c r="CT991" s="90"/>
      <c r="CU991" s="90"/>
      <c r="CV991" s="90"/>
      <c r="CW991" s="90"/>
    </row>
    <row r="992" ht="16.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  <c r="AQ992" s="90"/>
      <c r="AR992" s="90"/>
      <c r="AS992" s="90"/>
      <c r="AT992" s="90"/>
      <c r="AU992" s="90"/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H992" s="90"/>
      <c r="BI992" s="90"/>
      <c r="BJ992" s="90"/>
      <c r="BK992" s="90"/>
      <c r="BL992" s="90"/>
      <c r="BM992" s="90"/>
      <c r="BN992" s="90"/>
      <c r="BO992" s="90"/>
      <c r="BP992" s="90"/>
      <c r="BQ992" s="90"/>
      <c r="BR992" s="90"/>
      <c r="BS992" s="90"/>
      <c r="BT992" s="90"/>
      <c r="BU992" s="90"/>
      <c r="BV992" s="90"/>
      <c r="BW992" s="90"/>
      <c r="BX992" s="90"/>
      <c r="BY992" s="90"/>
      <c r="BZ992" s="90"/>
      <c r="CA992" s="90"/>
      <c r="CB992" s="90"/>
      <c r="CC992" s="90"/>
      <c r="CD992" s="90"/>
      <c r="CE992" s="90"/>
      <c r="CF992" s="90"/>
      <c r="CG992" s="90"/>
      <c r="CH992" s="90"/>
      <c r="CI992" s="90"/>
      <c r="CJ992" s="90"/>
      <c r="CK992" s="90"/>
      <c r="CL992" s="90"/>
      <c r="CM992" s="90"/>
      <c r="CN992" s="90"/>
      <c r="CO992" s="90"/>
      <c r="CP992" s="90"/>
      <c r="CQ992" s="90"/>
      <c r="CR992" s="90"/>
      <c r="CS992" s="90"/>
      <c r="CT992" s="90"/>
      <c r="CU992" s="90"/>
      <c r="CV992" s="90"/>
      <c r="CW992" s="90"/>
    </row>
    <row r="993" ht="16.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  <c r="AQ993" s="90"/>
      <c r="AR993" s="90"/>
      <c r="AS993" s="90"/>
      <c r="AT993" s="90"/>
      <c r="AU993" s="90"/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H993" s="90"/>
      <c r="BI993" s="90"/>
      <c r="BJ993" s="90"/>
      <c r="BK993" s="90"/>
      <c r="BL993" s="90"/>
      <c r="BM993" s="90"/>
      <c r="BN993" s="90"/>
      <c r="BO993" s="90"/>
      <c r="BP993" s="90"/>
      <c r="BQ993" s="90"/>
      <c r="BR993" s="90"/>
      <c r="BS993" s="90"/>
      <c r="BT993" s="90"/>
      <c r="BU993" s="90"/>
      <c r="BV993" s="90"/>
      <c r="BW993" s="90"/>
      <c r="BX993" s="90"/>
      <c r="BY993" s="90"/>
      <c r="BZ993" s="90"/>
      <c r="CA993" s="90"/>
      <c r="CB993" s="90"/>
      <c r="CC993" s="90"/>
      <c r="CD993" s="90"/>
      <c r="CE993" s="90"/>
      <c r="CF993" s="90"/>
      <c r="CG993" s="90"/>
      <c r="CH993" s="90"/>
      <c r="CI993" s="90"/>
      <c r="CJ993" s="90"/>
      <c r="CK993" s="90"/>
      <c r="CL993" s="90"/>
      <c r="CM993" s="90"/>
      <c r="CN993" s="90"/>
      <c r="CO993" s="90"/>
      <c r="CP993" s="90"/>
      <c r="CQ993" s="90"/>
      <c r="CR993" s="90"/>
      <c r="CS993" s="90"/>
      <c r="CT993" s="90"/>
      <c r="CU993" s="90"/>
      <c r="CV993" s="90"/>
      <c r="CW993" s="90"/>
    </row>
    <row r="994" ht="16.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0"/>
      <c r="AJ994" s="90"/>
      <c r="AK994" s="90"/>
      <c r="AL994" s="90"/>
      <c r="AM994" s="90"/>
      <c r="AN994" s="90"/>
      <c r="AO994" s="90"/>
      <c r="AP994" s="90"/>
      <c r="AQ994" s="90"/>
      <c r="AR994" s="90"/>
      <c r="AS994" s="90"/>
      <c r="AT994" s="90"/>
      <c r="AU994" s="90"/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H994" s="90"/>
      <c r="BI994" s="90"/>
      <c r="BJ994" s="90"/>
      <c r="BK994" s="90"/>
      <c r="BL994" s="90"/>
      <c r="BM994" s="90"/>
      <c r="BN994" s="90"/>
      <c r="BO994" s="90"/>
      <c r="BP994" s="90"/>
      <c r="BQ994" s="90"/>
      <c r="BR994" s="90"/>
      <c r="BS994" s="90"/>
      <c r="BT994" s="90"/>
      <c r="BU994" s="90"/>
      <c r="BV994" s="90"/>
      <c r="BW994" s="90"/>
      <c r="BX994" s="90"/>
      <c r="BY994" s="90"/>
      <c r="BZ994" s="90"/>
      <c r="CA994" s="90"/>
      <c r="CB994" s="90"/>
      <c r="CC994" s="90"/>
      <c r="CD994" s="90"/>
      <c r="CE994" s="90"/>
      <c r="CF994" s="90"/>
      <c r="CG994" s="90"/>
      <c r="CH994" s="90"/>
      <c r="CI994" s="90"/>
      <c r="CJ994" s="90"/>
      <c r="CK994" s="90"/>
      <c r="CL994" s="90"/>
      <c r="CM994" s="90"/>
      <c r="CN994" s="90"/>
      <c r="CO994" s="90"/>
      <c r="CP994" s="90"/>
      <c r="CQ994" s="90"/>
      <c r="CR994" s="90"/>
      <c r="CS994" s="90"/>
      <c r="CT994" s="90"/>
      <c r="CU994" s="90"/>
      <c r="CV994" s="90"/>
      <c r="CW994" s="90"/>
    </row>
    <row r="995" ht="16.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0"/>
      <c r="AJ995" s="90"/>
      <c r="AK995" s="90"/>
      <c r="AL995" s="90"/>
      <c r="AM995" s="90"/>
      <c r="AN995" s="90"/>
      <c r="AO995" s="90"/>
      <c r="AP995" s="90"/>
      <c r="AQ995" s="90"/>
      <c r="AR995" s="90"/>
      <c r="AS995" s="90"/>
      <c r="AT995" s="90"/>
      <c r="AU995" s="90"/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H995" s="90"/>
      <c r="BI995" s="90"/>
      <c r="BJ995" s="90"/>
      <c r="BK995" s="90"/>
      <c r="BL995" s="90"/>
      <c r="BM995" s="90"/>
      <c r="BN995" s="90"/>
      <c r="BO995" s="90"/>
      <c r="BP995" s="90"/>
      <c r="BQ995" s="90"/>
      <c r="BR995" s="90"/>
      <c r="BS995" s="90"/>
      <c r="BT995" s="90"/>
      <c r="BU995" s="90"/>
      <c r="BV995" s="90"/>
      <c r="BW995" s="90"/>
      <c r="BX995" s="90"/>
      <c r="BY995" s="90"/>
      <c r="BZ995" s="90"/>
      <c r="CA995" s="90"/>
      <c r="CB995" s="90"/>
      <c r="CC995" s="90"/>
      <c r="CD995" s="90"/>
      <c r="CE995" s="90"/>
      <c r="CF995" s="90"/>
      <c r="CG995" s="90"/>
      <c r="CH995" s="90"/>
      <c r="CI995" s="90"/>
      <c r="CJ995" s="90"/>
      <c r="CK995" s="90"/>
      <c r="CL995" s="90"/>
      <c r="CM995" s="90"/>
      <c r="CN995" s="90"/>
      <c r="CO995" s="90"/>
      <c r="CP995" s="90"/>
      <c r="CQ995" s="90"/>
      <c r="CR995" s="90"/>
      <c r="CS995" s="90"/>
      <c r="CT995" s="90"/>
      <c r="CU995" s="90"/>
      <c r="CV995" s="90"/>
      <c r="CW995" s="90"/>
    </row>
    <row r="996" ht="16.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0"/>
      <c r="AJ996" s="90"/>
      <c r="AK996" s="90"/>
      <c r="AL996" s="90"/>
      <c r="AM996" s="90"/>
      <c r="AN996" s="90"/>
      <c r="AO996" s="90"/>
      <c r="AP996" s="90"/>
      <c r="AQ996" s="90"/>
      <c r="AR996" s="90"/>
      <c r="AS996" s="90"/>
      <c r="AT996" s="90"/>
      <c r="AU996" s="90"/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H996" s="90"/>
      <c r="BI996" s="90"/>
      <c r="BJ996" s="90"/>
      <c r="BK996" s="90"/>
      <c r="BL996" s="90"/>
      <c r="BM996" s="90"/>
      <c r="BN996" s="90"/>
      <c r="BO996" s="90"/>
      <c r="BP996" s="90"/>
      <c r="BQ996" s="90"/>
      <c r="BR996" s="90"/>
      <c r="BS996" s="90"/>
      <c r="BT996" s="90"/>
      <c r="BU996" s="90"/>
      <c r="BV996" s="90"/>
      <c r="BW996" s="90"/>
      <c r="BX996" s="90"/>
      <c r="BY996" s="90"/>
      <c r="BZ996" s="90"/>
      <c r="CA996" s="90"/>
      <c r="CB996" s="90"/>
      <c r="CC996" s="90"/>
      <c r="CD996" s="90"/>
      <c r="CE996" s="90"/>
      <c r="CF996" s="90"/>
      <c r="CG996" s="90"/>
      <c r="CH996" s="90"/>
      <c r="CI996" s="90"/>
      <c r="CJ996" s="90"/>
      <c r="CK996" s="90"/>
      <c r="CL996" s="90"/>
      <c r="CM996" s="90"/>
      <c r="CN996" s="90"/>
      <c r="CO996" s="90"/>
      <c r="CP996" s="90"/>
      <c r="CQ996" s="90"/>
      <c r="CR996" s="90"/>
      <c r="CS996" s="90"/>
      <c r="CT996" s="90"/>
      <c r="CU996" s="90"/>
      <c r="CV996" s="90"/>
      <c r="CW996" s="90"/>
    </row>
    <row r="997" ht="16.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0"/>
      <c r="AJ997" s="90"/>
      <c r="AK997" s="90"/>
      <c r="AL997" s="90"/>
      <c r="AM997" s="90"/>
      <c r="AN997" s="90"/>
      <c r="AO997" s="90"/>
      <c r="AP997" s="90"/>
      <c r="AQ997" s="90"/>
      <c r="AR997" s="90"/>
      <c r="AS997" s="90"/>
      <c r="AT997" s="90"/>
      <c r="AU997" s="90"/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H997" s="90"/>
      <c r="BI997" s="90"/>
      <c r="BJ997" s="90"/>
      <c r="BK997" s="90"/>
      <c r="BL997" s="90"/>
      <c r="BM997" s="90"/>
      <c r="BN997" s="90"/>
      <c r="BO997" s="90"/>
      <c r="BP997" s="90"/>
      <c r="BQ997" s="90"/>
      <c r="BR997" s="90"/>
      <c r="BS997" s="90"/>
      <c r="BT997" s="90"/>
      <c r="BU997" s="90"/>
      <c r="BV997" s="90"/>
      <c r="BW997" s="90"/>
      <c r="BX997" s="90"/>
      <c r="BY997" s="90"/>
      <c r="BZ997" s="90"/>
      <c r="CA997" s="90"/>
      <c r="CB997" s="90"/>
      <c r="CC997" s="90"/>
      <c r="CD997" s="90"/>
      <c r="CE997" s="90"/>
      <c r="CF997" s="90"/>
      <c r="CG997" s="90"/>
      <c r="CH997" s="90"/>
      <c r="CI997" s="90"/>
      <c r="CJ997" s="90"/>
      <c r="CK997" s="90"/>
      <c r="CL997" s="90"/>
      <c r="CM997" s="90"/>
      <c r="CN997" s="90"/>
      <c r="CO997" s="90"/>
      <c r="CP997" s="90"/>
      <c r="CQ997" s="90"/>
      <c r="CR997" s="90"/>
      <c r="CS997" s="90"/>
      <c r="CT997" s="90"/>
      <c r="CU997" s="90"/>
      <c r="CV997" s="90"/>
      <c r="CW997" s="90"/>
    </row>
    <row r="998" ht="16.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0"/>
      <c r="AJ998" s="90"/>
      <c r="AK998" s="90"/>
      <c r="AL998" s="90"/>
      <c r="AM998" s="90"/>
      <c r="AN998" s="90"/>
      <c r="AO998" s="90"/>
      <c r="AP998" s="90"/>
      <c r="AQ998" s="90"/>
      <c r="AR998" s="90"/>
      <c r="AS998" s="90"/>
      <c r="AT998" s="90"/>
      <c r="AU998" s="90"/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H998" s="90"/>
      <c r="BI998" s="90"/>
      <c r="BJ998" s="90"/>
      <c r="BK998" s="90"/>
      <c r="BL998" s="90"/>
      <c r="BM998" s="90"/>
      <c r="BN998" s="90"/>
      <c r="BO998" s="90"/>
      <c r="BP998" s="90"/>
      <c r="BQ998" s="90"/>
      <c r="BR998" s="90"/>
      <c r="BS998" s="90"/>
      <c r="BT998" s="90"/>
      <c r="BU998" s="90"/>
      <c r="BV998" s="90"/>
      <c r="BW998" s="90"/>
      <c r="BX998" s="90"/>
      <c r="BY998" s="90"/>
      <c r="BZ998" s="90"/>
      <c r="CA998" s="90"/>
      <c r="CB998" s="90"/>
      <c r="CC998" s="90"/>
      <c r="CD998" s="90"/>
      <c r="CE998" s="90"/>
      <c r="CF998" s="90"/>
      <c r="CG998" s="90"/>
      <c r="CH998" s="90"/>
      <c r="CI998" s="90"/>
      <c r="CJ998" s="90"/>
      <c r="CK998" s="90"/>
      <c r="CL998" s="90"/>
      <c r="CM998" s="90"/>
      <c r="CN998" s="90"/>
      <c r="CO998" s="90"/>
      <c r="CP998" s="90"/>
      <c r="CQ998" s="90"/>
      <c r="CR998" s="90"/>
      <c r="CS998" s="90"/>
      <c r="CT998" s="90"/>
      <c r="CU998" s="90"/>
      <c r="CV998" s="90"/>
      <c r="CW998" s="90"/>
    </row>
    <row r="999" ht="16.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0"/>
      <c r="AJ999" s="90"/>
      <c r="AK999" s="90"/>
      <c r="AL999" s="90"/>
      <c r="AM999" s="90"/>
      <c r="AN999" s="90"/>
      <c r="AO999" s="90"/>
      <c r="AP999" s="90"/>
      <c r="AQ999" s="90"/>
      <c r="AR999" s="90"/>
      <c r="AS999" s="90"/>
      <c r="AT999" s="90"/>
      <c r="AU999" s="90"/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H999" s="90"/>
      <c r="BI999" s="90"/>
      <c r="BJ999" s="90"/>
      <c r="BK999" s="90"/>
      <c r="BL999" s="90"/>
      <c r="BM999" s="90"/>
      <c r="BN999" s="90"/>
      <c r="BO999" s="90"/>
      <c r="BP999" s="90"/>
      <c r="BQ999" s="90"/>
      <c r="BR999" s="90"/>
      <c r="BS999" s="90"/>
      <c r="BT999" s="90"/>
      <c r="BU999" s="90"/>
      <c r="BV999" s="90"/>
      <c r="BW999" s="90"/>
      <c r="BX999" s="90"/>
      <c r="BY999" s="90"/>
      <c r="BZ999" s="90"/>
      <c r="CA999" s="90"/>
      <c r="CB999" s="90"/>
      <c r="CC999" s="90"/>
      <c r="CD999" s="90"/>
      <c r="CE999" s="90"/>
      <c r="CF999" s="90"/>
      <c r="CG999" s="90"/>
      <c r="CH999" s="90"/>
      <c r="CI999" s="90"/>
      <c r="CJ999" s="90"/>
      <c r="CK999" s="90"/>
      <c r="CL999" s="90"/>
      <c r="CM999" s="90"/>
      <c r="CN999" s="90"/>
      <c r="CO999" s="90"/>
      <c r="CP999" s="90"/>
      <c r="CQ999" s="90"/>
      <c r="CR999" s="90"/>
      <c r="CS999" s="90"/>
      <c r="CT999" s="90"/>
      <c r="CU999" s="90"/>
      <c r="CV999" s="90"/>
      <c r="CW999" s="90"/>
    </row>
    <row r="1000" ht="16.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  <c r="AE1000" s="90"/>
      <c r="AF1000" s="90"/>
      <c r="AG1000" s="90"/>
      <c r="AH1000" s="90"/>
      <c r="AI1000" s="90"/>
      <c r="AJ1000" s="90"/>
      <c r="AK1000" s="90"/>
      <c r="AL1000" s="90"/>
      <c r="AM1000" s="90"/>
      <c r="AN1000" s="90"/>
      <c r="AO1000" s="90"/>
      <c r="AP1000" s="90"/>
      <c r="AQ1000" s="90"/>
      <c r="AR1000" s="90"/>
      <c r="AS1000" s="90"/>
      <c r="AT1000" s="90"/>
      <c r="AU1000" s="90"/>
      <c r="AV1000" s="90"/>
      <c r="AW1000" s="90"/>
      <c r="AX1000" s="90"/>
      <c r="AY1000" s="90"/>
      <c r="AZ1000" s="90"/>
      <c r="BA1000" s="90"/>
      <c r="BB1000" s="90"/>
      <c r="BC1000" s="90"/>
      <c r="BD1000" s="90"/>
      <c r="BE1000" s="90"/>
      <c r="BF1000" s="90"/>
      <c r="BG1000" s="90"/>
      <c r="BH1000" s="90"/>
      <c r="BI1000" s="90"/>
      <c r="BJ1000" s="90"/>
      <c r="BK1000" s="90"/>
      <c r="BL1000" s="90"/>
      <c r="BM1000" s="90"/>
      <c r="BN1000" s="90"/>
      <c r="BO1000" s="90"/>
      <c r="BP1000" s="90"/>
      <c r="BQ1000" s="90"/>
      <c r="BR1000" s="90"/>
      <c r="BS1000" s="90"/>
      <c r="BT1000" s="90"/>
      <c r="BU1000" s="90"/>
      <c r="BV1000" s="90"/>
      <c r="BW1000" s="90"/>
      <c r="BX1000" s="90"/>
      <c r="BY1000" s="90"/>
      <c r="BZ1000" s="90"/>
      <c r="CA1000" s="90"/>
      <c r="CB1000" s="90"/>
      <c r="CC1000" s="90"/>
      <c r="CD1000" s="90"/>
      <c r="CE1000" s="90"/>
      <c r="CF1000" s="90"/>
      <c r="CG1000" s="90"/>
      <c r="CH1000" s="90"/>
      <c r="CI1000" s="90"/>
      <c r="CJ1000" s="90"/>
      <c r="CK1000" s="90"/>
      <c r="CL1000" s="90"/>
      <c r="CM1000" s="90"/>
      <c r="CN1000" s="90"/>
      <c r="CO1000" s="90"/>
      <c r="CP1000" s="90"/>
      <c r="CQ1000" s="90"/>
      <c r="CR1000" s="90"/>
      <c r="CS1000" s="90"/>
      <c r="CT1000" s="90"/>
      <c r="CU1000" s="90"/>
      <c r="CV1000" s="90"/>
      <c r="CW1000" s="90"/>
    </row>
  </sheetData>
  <autoFilter ref="$A$2:$CW$82"/>
  <customSheetViews>
    <customSheetView guid="{54F8CE8E-2557-445F-84FF-C9618C825AB6}" filter="1" showAutoFilter="1">
      <autoFilter ref="$A$2:$AH$76"/>
    </customSheetView>
  </customSheetViews>
  <mergeCells count="2">
    <mergeCell ref="E1:AS1"/>
    <mergeCell ref="A83:B83"/>
  </mergeCells>
  <conditionalFormatting sqref="E3:AS76 AT3:CW78 A4:D4 A11:D11 A17:D17 A21:D21 A25 B25:D27 A27 A35:D36 D38 A41:D42 D44 A46:D46 A51:D52 A55:C57 D55:D58 A60:D60 A69:D69">
    <cfRule type="containsText" dxfId="4" priority="1" operator="containsText" text="DISPONIBLE">
      <formula>NOT(ISERROR(SEARCH(("DISPONIBLE"),(E3))))</formula>
    </cfRule>
  </conditionalFormatting>
  <conditionalFormatting sqref="E3:AS76 AT3:CW78 A4:D4 A11:D11 A17:D17 A21:D21 A25 B25:D27 A27 A35:D36 D38 A41:D42 D44 A46:D46 A51:D52 A55:C57 D55:D58 A60:D60 A69:D69">
    <cfRule type="containsText" dxfId="5" priority="2" operator="containsText" text="ASISTE TENIS">
      <formula>NOT(ISERROR(SEARCH(("ASISTE TENIS"),(E3))))</formula>
    </cfRule>
  </conditionalFormatting>
  <conditionalFormatting sqref="E3:AS76 AT3:CW78 A4:D4 A11:D11 A17:D17 A21:D21 A25 B25:D27 A27 A35:D36 D38 A41:D42 D44 A46:D46 A51:D52 A55:C57 D55:D58 A60:D60 A69:D69">
    <cfRule type="containsText" dxfId="6" priority="3" operator="containsText" text="ASISTE GOLF">
      <formula>NOT(ISERROR(SEARCH(("ASISTE GOLF"),(E3))))</formula>
    </cfRule>
  </conditionalFormatting>
  <conditionalFormatting sqref="E1:N76 AT1:BC78 BE3:BE78 BD4:BD5 BF4:BF5 BG4 BH4:BJ10 BK4:BL8 BM4:BM6 BN4:BN5 BO4:BO10 BP4:BP13 BQ4:BR6 BS4:BS10 BT4:BT13 BU4:BV6 BW4:BW10 BX4:BX13 BY4:BY10 BZ4:CA13 CB4:CB10 CC4:CC13 CD4:CD10 CE4:CE13 CF4:CF10 CG4:CH13 CI4:CW4 AE5 AG5 AH6:AI6 BQ8:BR9 BM9:BN9 BU9:BV9 BV11:BV13 BH12:BH13 BI12:BJ12 BM12:BM13 BN12 BO12:BO13 BQ12:BS13 BU12:BU13 BW12:BW13 BY12:BY13 CB12:CB13 CD12:CD13 CF12:CF13 BP15:CH15 BD17 BF17:BI17 BK17 BM17 BO17 BQ17 BS17 BU17 BW17 BY17 CA17:CD17 CF17 BD19 BF19:BG19 BH19:BJ20 BK19:BL19 BM19:BM20 BN19:BN26 BO19:BS19 BU19 BW19:BX20 BY19 CB19:CC20 CD19 CF19:CH20 CA21 BM22:BM28 BO22:BO23 CB22:CC28 CD22:CE22 CF22:CF28 CG22:CH26 BQ24:BR26 BD25 BF25:BG28 BH25:BJ25 BK25:BL31 BO25:BO27 BP25 BS25:BT27 BU25:BV26 BW25:CA25 CD25:CD28 CE25 CI25:CW25 BP27 BW27:BW28 BY27:BY28 BD28 BI28:BJ28 BN28 BR28:BR31 BV28 BX28 BZ28:CA28 CE28 CG28:CH28 BO29:BO31 BP29:BP40 BQ29:BQ31 BS29:BT30 BF30:BG31 BM30:BM34 BN30:BN31 BU30:BU40 BV30:BV31 BW30:BW40 BX30 BY30:BY40 BZ30:CA30 CB30:CB40 CC30 CD30:CD40 CE30 CF30:CF40 CG30:CH30 BH32:BH34 BT32:BT40 CG32:CH40 BD33:BD34 BF33:BG35 BI33:BI34 BJ33:BJ43 BK33:BL36 BN33:BN34 BO33:BO40 BQ33:BS40 BV33:BV40 BX33:BX40 BZ33:CA40 CC33:CC40 CE33:CE40 CI33:CW34 BH36:BI36 BM36:BM39 BN36:BN37 BF38:BG40 BK38:BL40 AE42 BG42:BG50 BK42:BK43 BL42:BL46 BM42:BM44 BO42:BO51 BQ42:BQ44 BS42:BS51 BT42 BU42:BU44 BW42:BW52 BX42:BX47 BY42:BY44 CB42:CC47 CD42:CD44 CF42:CH47 BZ43 BF44:BF50 BN44 BP44:BP51 BR44 BT44:BT51 BV44 BH46:BH49 BI46:BJ46 BK46:BK52 BM46:BM50 BN46 BQ46:BR46 BU46:BV46 BY46:BY52 BZ46:CA46 CD46:CD52 CE46 BL48:BL52 BQ48:BR50 BU48:BV52 BZ48:CA52 CE48:CE52 BX49:BX52 CB49:CC52 CF49:CG52 CH50:CH52 BI51:BI52 BF52:BH52 BJ52 BM52:BN52 BQ52:BR52 BF54:BF60 BG54:BG59 BK54:BK74 BL54:BL59 BO54:BP78 BS54:BT78 BW54:CH78 BU55:BU56 BJ58:BJ59 BM58:BM62 BN58:BN59 BQ58:BQ78 BR58:BR60 BU58:BV62 BH60:BH62 BI61:BI62 BJ61:BJ64 BL61:BL74 BN62 BR62:BR64 CI63 BF64:BI64 BM64:BN64 BU64:BU78 BV64 BD66:BD68 BF66:BG67 BH66:BJ78 BM66:BM68 BN66:BN71 BR66:BR78 BV66:BV78 CI66:CW67 BG69:BG78 AM70:AP70 AS70 BM70:BM71 BF71:BF78 BD72:BD73 BM73:BN78 BK76:BL78 BD77:BD78 CI77:CW78">
    <cfRule type="containsText" dxfId="7" priority="4" operator="containsText" text="ESTUDIA">
      <formula>NOT(ISERROR(SEARCH(("ESTUDIA"),(E1))))</formula>
    </cfRule>
  </conditionalFormatting>
  <conditionalFormatting sqref="E3:AS76 AT3:CW78 A4:D4 A11:D11 A17:D17 A21:D21 A25 B25:D27 A27 A35:D36 D38 A41:D42 D44 A46:D46 A51:D52 A55:C57 D55:D58 A60:D60 A69:D69">
    <cfRule type="containsText" dxfId="8" priority="5" operator="containsText" text="JUGADOR">
      <formula>NOT(ISERROR(SEARCH(("JUGADOR"),(E3))))</formula>
    </cfRule>
  </conditionalFormatting>
  <conditionalFormatting sqref="A1:CW1000">
    <cfRule type="containsText" dxfId="9" priority="6" operator="containsText" text="APOYO TORNEO">
      <formula>NOT(ISERROR(SEARCH(("APOYO TORNEO"),(A1))))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</hyperlinks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88"/>
    <col customWidth="1" min="2" max="2" width="24.25"/>
    <col customWidth="1" hidden="1" min="3" max="3" width="7.88"/>
    <col customWidth="1" hidden="1" min="4" max="4" width="14.0"/>
    <col customWidth="1" hidden="1" min="5" max="5" width="10.5"/>
    <col customWidth="1" hidden="1" min="6" max="6" width="8.88"/>
    <col customWidth="1" min="7" max="13" width="8.88"/>
    <col customWidth="1" min="14" max="14" width="8.25"/>
    <col customWidth="1" hidden="1" min="15" max="25" width="7.88"/>
    <col customWidth="1" min="26" max="28" width="7.88"/>
    <col customWidth="1" hidden="1" min="29" max="47" width="7.88"/>
  </cols>
  <sheetData>
    <row r="1" ht="16.5" customHeight="1">
      <c r="A1" s="1"/>
      <c r="B1" s="2"/>
      <c r="C1" s="4" t="s">
        <v>0</v>
      </c>
      <c r="D1" s="3"/>
      <c r="E1" s="6" t="s">
        <v>2</v>
      </c>
      <c r="F1" s="8" t="s">
        <v>3</v>
      </c>
      <c r="G1" s="6" t="s">
        <v>4</v>
      </c>
      <c r="H1" s="8" t="s">
        <v>5</v>
      </c>
      <c r="I1" s="6" t="s">
        <v>6</v>
      </c>
      <c r="J1" s="8" t="s">
        <v>7</v>
      </c>
      <c r="K1" s="6" t="s">
        <v>8</v>
      </c>
      <c r="L1" s="8" t="s">
        <v>9</v>
      </c>
      <c r="M1" s="6" t="s">
        <v>10</v>
      </c>
      <c r="N1" s="8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9">
        <v>46187.0</v>
      </c>
      <c r="T1" s="6" t="s">
        <v>16</v>
      </c>
      <c r="U1" s="6" t="s">
        <v>17</v>
      </c>
      <c r="V1" s="9">
        <v>46194.0</v>
      </c>
      <c r="W1" s="6" t="s">
        <v>18</v>
      </c>
      <c r="X1" s="9">
        <v>46201.0</v>
      </c>
      <c r="Y1" s="6" t="s">
        <v>19</v>
      </c>
      <c r="Z1" s="6" t="s">
        <v>20</v>
      </c>
      <c r="AA1" s="9">
        <v>46208.0</v>
      </c>
      <c r="AB1" s="6" t="s">
        <v>21</v>
      </c>
      <c r="AC1" s="9">
        <v>46215.0</v>
      </c>
      <c r="AD1" s="6" t="s">
        <v>22</v>
      </c>
      <c r="AE1" s="9">
        <v>46222.0</v>
      </c>
      <c r="AF1" s="9">
        <v>46223.0</v>
      </c>
      <c r="AG1" s="6" t="s">
        <v>23</v>
      </c>
      <c r="AH1" s="9">
        <v>46228.0</v>
      </c>
      <c r="AI1" s="6" t="s">
        <v>24</v>
      </c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</row>
    <row r="2" ht="16.5" customHeight="1">
      <c r="A2" s="14" t="s">
        <v>25</v>
      </c>
      <c r="B2" s="15" t="s">
        <v>48</v>
      </c>
      <c r="C2" s="16">
        <v>1.033178035E9</v>
      </c>
      <c r="D2" s="17" t="s">
        <v>49</v>
      </c>
      <c r="E2" s="18" t="s">
        <v>50</v>
      </c>
      <c r="F2" s="19" t="s">
        <v>51</v>
      </c>
      <c r="G2" s="20" t="s">
        <v>52</v>
      </c>
      <c r="H2" s="22"/>
      <c r="I2" s="17" t="s">
        <v>51</v>
      </c>
      <c r="J2" s="22"/>
      <c r="K2" s="19" t="s">
        <v>51</v>
      </c>
      <c r="L2" s="22"/>
      <c r="M2" s="19" t="s">
        <v>51</v>
      </c>
      <c r="N2" s="22"/>
      <c r="O2" s="18" t="s">
        <v>50</v>
      </c>
      <c r="P2" s="18" t="s">
        <v>50</v>
      </c>
      <c r="Q2" s="18" t="s">
        <v>51</v>
      </c>
      <c r="R2" s="18" t="s">
        <v>50</v>
      </c>
      <c r="S2" s="18" t="s">
        <v>50</v>
      </c>
      <c r="T2" s="18" t="s">
        <v>50</v>
      </c>
      <c r="U2" s="18" t="s">
        <v>51</v>
      </c>
      <c r="V2" s="18" t="s">
        <v>51</v>
      </c>
      <c r="W2" s="18" t="s">
        <v>50</v>
      </c>
      <c r="X2" s="18" t="s">
        <v>50</v>
      </c>
      <c r="Y2" s="18" t="s">
        <v>50</v>
      </c>
      <c r="Z2" s="17" t="s">
        <v>51</v>
      </c>
      <c r="AA2" s="17" t="s">
        <v>51</v>
      </c>
      <c r="AB2" s="17" t="s">
        <v>51</v>
      </c>
      <c r="AC2" s="17" t="s">
        <v>50</v>
      </c>
      <c r="AD2" s="17" t="s">
        <v>52</v>
      </c>
      <c r="AE2" s="17" t="s">
        <v>52</v>
      </c>
      <c r="AF2" s="17" t="s">
        <v>50</v>
      </c>
      <c r="AG2" s="17"/>
      <c r="AH2" s="17"/>
      <c r="AI2" s="17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</row>
    <row r="3" ht="16.5" customHeight="1">
      <c r="A3" s="14" t="s">
        <v>67</v>
      </c>
      <c r="B3" s="15" t="s">
        <v>88</v>
      </c>
      <c r="C3" s="25">
        <v>1.042764028E9</v>
      </c>
      <c r="D3" s="26" t="s">
        <v>90</v>
      </c>
      <c r="E3" s="22"/>
      <c r="F3" s="22"/>
      <c r="G3" s="20" t="s">
        <v>52</v>
      </c>
      <c r="H3" s="22"/>
      <c r="I3" s="20" t="s">
        <v>52</v>
      </c>
      <c r="J3" s="18" t="s">
        <v>52</v>
      </c>
      <c r="K3" s="22"/>
      <c r="L3" s="22"/>
      <c r="M3" s="22"/>
      <c r="N3" s="22"/>
      <c r="O3" s="27" t="s">
        <v>92</v>
      </c>
      <c r="P3" s="27" t="s">
        <v>92</v>
      </c>
      <c r="Q3" s="27" t="s">
        <v>92</v>
      </c>
      <c r="R3" s="27" t="s">
        <v>92</v>
      </c>
      <c r="S3" s="27" t="s">
        <v>92</v>
      </c>
      <c r="T3" s="27" t="s">
        <v>92</v>
      </c>
      <c r="U3" s="27" t="s">
        <v>92</v>
      </c>
      <c r="V3" s="27" t="s">
        <v>92</v>
      </c>
      <c r="W3" s="27" t="s">
        <v>92</v>
      </c>
      <c r="X3" s="18" t="s">
        <v>50</v>
      </c>
      <c r="Y3" s="18" t="s">
        <v>50</v>
      </c>
      <c r="Z3" s="27" t="s">
        <v>92</v>
      </c>
      <c r="AA3" s="27" t="s">
        <v>92</v>
      </c>
      <c r="AB3" s="17" t="s">
        <v>50</v>
      </c>
      <c r="AC3" s="17" t="s">
        <v>50</v>
      </c>
      <c r="AD3" s="27" t="s">
        <v>92</v>
      </c>
      <c r="AE3" s="27" t="s">
        <v>92</v>
      </c>
      <c r="AF3" s="17" t="s">
        <v>50</v>
      </c>
      <c r="AG3" s="17"/>
      <c r="AH3" s="17"/>
      <c r="AI3" s="17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</row>
    <row r="4" ht="16.5" customHeight="1">
      <c r="A4" s="14" t="s">
        <v>94</v>
      </c>
      <c r="B4" s="15" t="s">
        <v>95</v>
      </c>
      <c r="C4" s="16">
        <v>1.01139621E9</v>
      </c>
      <c r="D4" s="17" t="s">
        <v>49</v>
      </c>
      <c r="E4" s="19" t="s">
        <v>51</v>
      </c>
      <c r="F4" s="22"/>
      <c r="G4" s="22"/>
      <c r="H4" s="22"/>
      <c r="I4" s="19" t="s">
        <v>51</v>
      </c>
      <c r="J4" s="22"/>
      <c r="K4" s="22"/>
      <c r="L4" s="19" t="s">
        <v>51</v>
      </c>
      <c r="M4" s="22"/>
      <c r="N4" s="22"/>
      <c r="O4" s="18" t="s">
        <v>50</v>
      </c>
      <c r="P4" s="18" t="s">
        <v>50</v>
      </c>
      <c r="Q4" s="18" t="s">
        <v>51</v>
      </c>
      <c r="R4" s="18" t="s">
        <v>51</v>
      </c>
      <c r="S4" s="18" t="s">
        <v>50</v>
      </c>
      <c r="T4" s="18" t="s">
        <v>50</v>
      </c>
      <c r="U4" s="18" t="s">
        <v>50</v>
      </c>
      <c r="V4" s="18" t="s">
        <v>50</v>
      </c>
      <c r="W4" s="18" t="s">
        <v>50</v>
      </c>
      <c r="X4" s="18" t="s">
        <v>50</v>
      </c>
      <c r="Y4" s="18" t="s">
        <v>50</v>
      </c>
      <c r="Z4" s="17" t="s">
        <v>51</v>
      </c>
      <c r="AA4" s="17" t="s">
        <v>51</v>
      </c>
      <c r="AB4" s="17" t="s">
        <v>51</v>
      </c>
      <c r="AC4" s="17" t="s">
        <v>50</v>
      </c>
      <c r="AD4" s="17" t="s">
        <v>51</v>
      </c>
      <c r="AE4" s="17" t="s">
        <v>51</v>
      </c>
      <c r="AF4" s="17" t="s">
        <v>50</v>
      </c>
      <c r="AG4" s="17"/>
      <c r="AH4" s="17"/>
      <c r="AI4" s="17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</row>
    <row r="5" ht="16.5" customHeight="1">
      <c r="A5" s="14" t="s">
        <v>96</v>
      </c>
      <c r="B5" s="15" t="s">
        <v>97</v>
      </c>
      <c r="C5" s="25">
        <v>1.001577545E9</v>
      </c>
      <c r="D5" s="26" t="s">
        <v>98</v>
      </c>
      <c r="E5" s="18" t="s">
        <v>50</v>
      </c>
      <c r="F5" s="18" t="s">
        <v>50</v>
      </c>
      <c r="G5" s="22"/>
      <c r="H5" s="20" t="s">
        <v>99</v>
      </c>
      <c r="I5" s="22"/>
      <c r="J5" s="18" t="s">
        <v>50</v>
      </c>
      <c r="K5" s="22"/>
      <c r="L5" s="20" t="s">
        <v>52</v>
      </c>
      <c r="M5" s="22"/>
      <c r="N5" s="22"/>
      <c r="O5" s="27" t="s">
        <v>100</v>
      </c>
      <c r="P5" s="18" t="s">
        <v>50</v>
      </c>
      <c r="Q5" s="27" t="s">
        <v>100</v>
      </c>
      <c r="R5" s="18" t="s">
        <v>52</v>
      </c>
      <c r="S5" s="27" t="s">
        <v>50</v>
      </c>
      <c r="T5" s="18" t="s">
        <v>50</v>
      </c>
      <c r="U5" s="27" t="s">
        <v>100</v>
      </c>
      <c r="V5" s="18" t="s">
        <v>50</v>
      </c>
      <c r="W5" s="27" t="s">
        <v>100</v>
      </c>
      <c r="X5" s="18" t="s">
        <v>50</v>
      </c>
      <c r="Y5" s="18" t="s">
        <v>50</v>
      </c>
      <c r="Z5" s="17" t="s">
        <v>52</v>
      </c>
      <c r="AA5" s="17" t="s">
        <v>52</v>
      </c>
      <c r="AB5" s="17" t="s">
        <v>50</v>
      </c>
      <c r="AC5" s="17" t="s">
        <v>50</v>
      </c>
      <c r="AD5" s="17" t="s">
        <v>52</v>
      </c>
      <c r="AE5" s="17" t="s">
        <v>52</v>
      </c>
      <c r="AF5" s="17" t="s">
        <v>50</v>
      </c>
      <c r="AG5" s="17"/>
      <c r="AH5" s="17"/>
      <c r="AI5" s="17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</row>
    <row r="6" ht="16.5" customHeight="1">
      <c r="A6" s="14" t="s">
        <v>102</v>
      </c>
      <c r="B6" s="15" t="s">
        <v>103</v>
      </c>
      <c r="C6" s="16">
        <v>1.015070695E9</v>
      </c>
      <c r="D6" s="17" t="s">
        <v>104</v>
      </c>
      <c r="E6" s="18" t="s">
        <v>50</v>
      </c>
      <c r="F6" s="22"/>
      <c r="G6" s="19" t="s">
        <v>51</v>
      </c>
      <c r="H6" s="22"/>
      <c r="I6" s="20" t="s">
        <v>52</v>
      </c>
      <c r="J6" s="22"/>
      <c r="K6" s="20" t="s">
        <v>52</v>
      </c>
      <c r="L6" s="22"/>
      <c r="M6" s="22"/>
      <c r="N6" s="22"/>
      <c r="O6" s="18" t="s">
        <v>50</v>
      </c>
      <c r="P6" s="18" t="s">
        <v>99</v>
      </c>
      <c r="Q6" s="18" t="s">
        <v>51</v>
      </c>
      <c r="R6" s="18" t="s">
        <v>50</v>
      </c>
      <c r="S6" s="18" t="s">
        <v>50</v>
      </c>
      <c r="T6" s="18" t="s">
        <v>50</v>
      </c>
      <c r="U6" s="18" t="s">
        <v>52</v>
      </c>
      <c r="V6" s="18" t="s">
        <v>52</v>
      </c>
      <c r="W6" s="18" t="s">
        <v>50</v>
      </c>
      <c r="X6" s="18" t="s">
        <v>50</v>
      </c>
      <c r="Y6" s="18" t="s">
        <v>50</v>
      </c>
      <c r="Z6" s="17" t="s">
        <v>52</v>
      </c>
      <c r="AA6" s="17" t="s">
        <v>52</v>
      </c>
      <c r="AB6" s="17" t="s">
        <v>50</v>
      </c>
      <c r="AC6" s="17" t="s">
        <v>50</v>
      </c>
      <c r="AD6" s="17" t="s">
        <v>52</v>
      </c>
      <c r="AE6" s="17" t="s">
        <v>52</v>
      </c>
      <c r="AF6" s="17" t="s">
        <v>50</v>
      </c>
      <c r="AG6" s="17"/>
      <c r="AH6" s="17"/>
      <c r="AI6" s="17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ht="16.5" customHeight="1">
      <c r="A7" s="14" t="s">
        <v>106</v>
      </c>
      <c r="B7" s="15" t="s">
        <v>108</v>
      </c>
      <c r="C7" s="16">
        <v>1.036254137E9</v>
      </c>
      <c r="D7" s="17" t="s">
        <v>49</v>
      </c>
      <c r="E7" s="19" t="s">
        <v>51</v>
      </c>
      <c r="F7" s="22"/>
      <c r="G7" s="19" t="s">
        <v>51</v>
      </c>
      <c r="H7" s="22"/>
      <c r="I7" s="18" t="s">
        <v>50</v>
      </c>
      <c r="J7" s="22"/>
      <c r="K7" s="20" t="s">
        <v>52</v>
      </c>
      <c r="L7" s="22"/>
      <c r="M7" s="19" t="s">
        <v>51</v>
      </c>
      <c r="N7" s="22"/>
      <c r="O7" s="27" t="s">
        <v>100</v>
      </c>
      <c r="P7" s="18" t="s">
        <v>50</v>
      </c>
      <c r="Q7" s="27" t="s">
        <v>100</v>
      </c>
      <c r="R7" s="18" t="s">
        <v>52</v>
      </c>
      <c r="S7" s="18" t="s">
        <v>50</v>
      </c>
      <c r="T7" s="18" t="s">
        <v>52</v>
      </c>
      <c r="U7" s="27" t="s">
        <v>100</v>
      </c>
      <c r="V7" s="18" t="s">
        <v>50</v>
      </c>
      <c r="W7" s="27" t="s">
        <v>100</v>
      </c>
      <c r="X7" s="18" t="s">
        <v>50</v>
      </c>
      <c r="Y7" s="18" t="s">
        <v>50</v>
      </c>
      <c r="Z7" s="17" t="s">
        <v>52</v>
      </c>
      <c r="AA7" s="17" t="s">
        <v>52</v>
      </c>
      <c r="AB7" s="17" t="s">
        <v>50</v>
      </c>
      <c r="AC7" s="17" t="s">
        <v>50</v>
      </c>
      <c r="AD7" s="17" t="s">
        <v>52</v>
      </c>
      <c r="AE7" s="17" t="s">
        <v>52</v>
      </c>
      <c r="AF7" s="17" t="s">
        <v>50</v>
      </c>
      <c r="AG7" s="17"/>
      <c r="AH7" s="17"/>
      <c r="AI7" s="17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ht="16.5" customHeight="1">
      <c r="A8" s="33" t="s">
        <v>109</v>
      </c>
      <c r="B8" s="15" t="s">
        <v>113</v>
      </c>
      <c r="C8" s="25">
        <v>1.025652667E9</v>
      </c>
      <c r="D8" s="17" t="s">
        <v>49</v>
      </c>
      <c r="E8" s="18" t="s">
        <v>114</v>
      </c>
      <c r="F8" s="22"/>
      <c r="G8" s="22"/>
      <c r="H8" s="34" t="s">
        <v>51</v>
      </c>
      <c r="I8" s="22"/>
      <c r="J8" s="19" t="s">
        <v>51</v>
      </c>
      <c r="K8" s="22"/>
      <c r="L8" s="17" t="s">
        <v>51</v>
      </c>
      <c r="M8" s="17" t="s">
        <v>51</v>
      </c>
      <c r="N8" s="18" t="s">
        <v>52</v>
      </c>
      <c r="O8" s="35" t="s">
        <v>111</v>
      </c>
      <c r="P8" s="18" t="s">
        <v>50</v>
      </c>
      <c r="Q8" s="18" t="s">
        <v>50</v>
      </c>
      <c r="R8" s="35" t="s">
        <v>111</v>
      </c>
      <c r="S8" s="18" t="s">
        <v>50</v>
      </c>
      <c r="T8" s="18" t="s">
        <v>50</v>
      </c>
      <c r="U8" s="18" t="s">
        <v>51</v>
      </c>
      <c r="V8" s="18" t="s">
        <v>51</v>
      </c>
      <c r="W8" s="18" t="s">
        <v>50</v>
      </c>
      <c r="X8" s="18" t="s">
        <v>50</v>
      </c>
      <c r="Y8" s="18" t="s">
        <v>52</v>
      </c>
      <c r="Z8" s="17" t="s">
        <v>50</v>
      </c>
      <c r="AA8" s="19" t="s">
        <v>51</v>
      </c>
      <c r="AB8" s="17" t="s">
        <v>52</v>
      </c>
      <c r="AC8" s="17" t="s">
        <v>52</v>
      </c>
      <c r="AD8" s="17" t="s">
        <v>50</v>
      </c>
      <c r="AE8" s="17" t="s">
        <v>50</v>
      </c>
      <c r="AF8" s="17" t="s">
        <v>52</v>
      </c>
      <c r="AG8" s="17"/>
      <c r="AH8" s="17"/>
      <c r="AI8" s="17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ht="16.5" customHeight="1">
      <c r="A9" s="14" t="s">
        <v>116</v>
      </c>
      <c r="B9" s="15" t="s">
        <v>117</v>
      </c>
      <c r="C9" s="25">
        <v>1.036451813E9</v>
      </c>
      <c r="D9" s="17" t="s">
        <v>118</v>
      </c>
      <c r="E9" s="19" t="s">
        <v>51</v>
      </c>
      <c r="F9" s="17" t="s">
        <v>119</v>
      </c>
      <c r="G9" s="19" t="s">
        <v>51</v>
      </c>
      <c r="H9" s="22"/>
      <c r="I9" s="19" t="s">
        <v>51</v>
      </c>
      <c r="J9" s="22"/>
      <c r="K9" s="19" t="s">
        <v>51</v>
      </c>
      <c r="L9" s="22"/>
      <c r="M9" s="17" t="s">
        <v>51</v>
      </c>
      <c r="N9" s="22"/>
      <c r="O9" s="35" t="s">
        <v>111</v>
      </c>
      <c r="P9" s="18" t="s">
        <v>50</v>
      </c>
      <c r="Q9" s="18" t="s">
        <v>50</v>
      </c>
      <c r="R9" s="35" t="s">
        <v>111</v>
      </c>
      <c r="S9" s="18" t="s">
        <v>50</v>
      </c>
      <c r="T9" s="18" t="s">
        <v>50</v>
      </c>
      <c r="U9" s="18" t="s">
        <v>51</v>
      </c>
      <c r="V9" s="18" t="s">
        <v>51</v>
      </c>
      <c r="W9" s="18" t="s">
        <v>50</v>
      </c>
      <c r="X9" s="18" t="s">
        <v>50</v>
      </c>
      <c r="Y9" s="18" t="s">
        <v>51</v>
      </c>
      <c r="Z9" s="17" t="s">
        <v>50</v>
      </c>
      <c r="AA9" s="19" t="s">
        <v>51</v>
      </c>
      <c r="AB9" s="17" t="s">
        <v>50</v>
      </c>
      <c r="AC9" s="17" t="s">
        <v>50</v>
      </c>
      <c r="AD9" s="17" t="s">
        <v>51</v>
      </c>
      <c r="AE9" s="17" t="s">
        <v>51</v>
      </c>
      <c r="AF9" s="17" t="s">
        <v>50</v>
      </c>
      <c r="AG9" s="17"/>
      <c r="AH9" s="17"/>
      <c r="AI9" s="17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ht="16.5" customHeight="1">
      <c r="A10" s="14" t="s">
        <v>120</v>
      </c>
      <c r="B10" s="15" t="s">
        <v>123</v>
      </c>
      <c r="C10" s="25">
        <v>1.038869807E9</v>
      </c>
      <c r="D10" s="17" t="s">
        <v>124</v>
      </c>
      <c r="E10" s="22"/>
      <c r="F10" s="22"/>
      <c r="G10" s="22"/>
      <c r="H10" s="17" t="s">
        <v>51</v>
      </c>
      <c r="I10" s="22"/>
      <c r="J10" s="19" t="s">
        <v>51</v>
      </c>
      <c r="K10" s="17"/>
      <c r="L10" s="19" t="s">
        <v>51</v>
      </c>
      <c r="M10" s="22"/>
      <c r="N10" s="19" t="s">
        <v>51</v>
      </c>
      <c r="O10" s="36" t="s">
        <v>125</v>
      </c>
      <c r="P10" s="36" t="s">
        <v>125</v>
      </c>
      <c r="Q10" s="36" t="s">
        <v>125</v>
      </c>
      <c r="R10" s="36" t="s">
        <v>125</v>
      </c>
      <c r="S10" s="36" t="s">
        <v>125</v>
      </c>
      <c r="T10" s="18" t="s">
        <v>50</v>
      </c>
      <c r="U10" s="36" t="s">
        <v>125</v>
      </c>
      <c r="V10" s="36" t="s">
        <v>125</v>
      </c>
      <c r="W10" s="36" t="s">
        <v>125</v>
      </c>
      <c r="X10" s="36" t="s">
        <v>125</v>
      </c>
      <c r="Y10" s="18" t="s">
        <v>50</v>
      </c>
      <c r="Z10" s="36" t="s">
        <v>125</v>
      </c>
      <c r="AA10" s="36" t="s">
        <v>125</v>
      </c>
      <c r="AB10" s="17" t="s">
        <v>50</v>
      </c>
      <c r="AC10" s="17" t="s">
        <v>50</v>
      </c>
      <c r="AD10" s="36" t="s">
        <v>125</v>
      </c>
      <c r="AE10" s="36" t="s">
        <v>125</v>
      </c>
      <c r="AF10" s="17" t="s">
        <v>50</v>
      </c>
      <c r="AG10" s="17"/>
      <c r="AH10" s="17"/>
      <c r="AI10" s="17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ht="16.5" customHeight="1">
      <c r="A11" s="14" t="s">
        <v>128</v>
      </c>
      <c r="B11" s="15" t="s">
        <v>129</v>
      </c>
      <c r="C11" s="25">
        <v>1.036519137E9</v>
      </c>
      <c r="D11" s="17" t="s">
        <v>124</v>
      </c>
      <c r="E11" s="22"/>
      <c r="F11" s="38" t="s">
        <v>50</v>
      </c>
      <c r="G11" s="38" t="s">
        <v>51</v>
      </c>
      <c r="H11" s="22"/>
      <c r="I11" s="22"/>
      <c r="J11" s="19" t="s">
        <v>51</v>
      </c>
      <c r="K11" s="22"/>
      <c r="L11" s="19" t="s">
        <v>51</v>
      </c>
      <c r="M11" s="22"/>
      <c r="N11" s="18" t="s">
        <v>52</v>
      </c>
      <c r="O11" s="36" t="s">
        <v>125</v>
      </c>
      <c r="P11" s="36" t="s">
        <v>125</v>
      </c>
      <c r="Q11" s="36" t="s">
        <v>125</v>
      </c>
      <c r="R11" s="36" t="s">
        <v>125</v>
      </c>
      <c r="S11" s="36" t="s">
        <v>125</v>
      </c>
      <c r="T11" s="18" t="s">
        <v>50</v>
      </c>
      <c r="U11" s="36" t="s">
        <v>125</v>
      </c>
      <c r="V11" s="36" t="s">
        <v>125</v>
      </c>
      <c r="W11" s="36" t="s">
        <v>125</v>
      </c>
      <c r="X11" s="36" t="s">
        <v>125</v>
      </c>
      <c r="Y11" s="18" t="s">
        <v>50</v>
      </c>
      <c r="Z11" s="36" t="s">
        <v>125</v>
      </c>
      <c r="AA11" s="36" t="s">
        <v>125</v>
      </c>
      <c r="AB11" s="36" t="s">
        <v>125</v>
      </c>
      <c r="AC11" s="36" t="s">
        <v>125</v>
      </c>
      <c r="AD11" s="17" t="s">
        <v>50</v>
      </c>
      <c r="AE11" s="17" t="s">
        <v>50</v>
      </c>
      <c r="AF11" s="17" t="s">
        <v>50</v>
      </c>
      <c r="AG11" s="17"/>
      <c r="AH11" s="17"/>
      <c r="AI11" s="17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</row>
    <row r="12" ht="16.5" customHeight="1">
      <c r="A12" s="14" t="s">
        <v>131</v>
      </c>
      <c r="B12" s="15" t="s">
        <v>133</v>
      </c>
      <c r="C12" s="25">
        <v>1.011393201E9</v>
      </c>
      <c r="D12" s="17" t="s">
        <v>49</v>
      </c>
      <c r="E12" s="22"/>
      <c r="F12" s="19" t="s">
        <v>51</v>
      </c>
      <c r="G12" s="22"/>
      <c r="H12" s="18" t="s">
        <v>52</v>
      </c>
      <c r="I12" s="22"/>
      <c r="J12" s="19" t="s">
        <v>51</v>
      </c>
      <c r="K12" s="22"/>
      <c r="L12" s="20" t="s">
        <v>52</v>
      </c>
      <c r="M12" s="18" t="s">
        <v>50</v>
      </c>
      <c r="N12" s="19" t="s">
        <v>51</v>
      </c>
      <c r="O12" s="27" t="s">
        <v>100</v>
      </c>
      <c r="P12" s="18" t="s">
        <v>50</v>
      </c>
      <c r="Q12" s="27" t="s">
        <v>100</v>
      </c>
      <c r="R12" s="18" t="s">
        <v>50</v>
      </c>
      <c r="S12" s="27" t="s">
        <v>100</v>
      </c>
      <c r="T12" s="27" t="s">
        <v>100</v>
      </c>
      <c r="U12" s="27" t="s">
        <v>100</v>
      </c>
      <c r="V12" s="27" t="s">
        <v>100</v>
      </c>
      <c r="W12" s="27" t="s">
        <v>100</v>
      </c>
      <c r="X12" s="27" t="s">
        <v>100</v>
      </c>
      <c r="Y12" s="18" t="s">
        <v>50</v>
      </c>
      <c r="Z12" s="17" t="s">
        <v>51</v>
      </c>
      <c r="AA12" s="17" t="s">
        <v>50</v>
      </c>
      <c r="AB12" s="27" t="s">
        <v>100</v>
      </c>
      <c r="AC12" s="27" t="s">
        <v>100</v>
      </c>
      <c r="AD12" s="17" t="s">
        <v>50</v>
      </c>
      <c r="AE12" s="17" t="s">
        <v>50</v>
      </c>
      <c r="AF12" s="17" t="s">
        <v>51</v>
      </c>
      <c r="AG12" s="17"/>
      <c r="AH12" s="17"/>
      <c r="AI12" s="17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</row>
    <row r="13" ht="16.5" customHeight="1">
      <c r="A13" s="14" t="s">
        <v>136</v>
      </c>
      <c r="B13" s="15" t="s">
        <v>138</v>
      </c>
      <c r="C13" s="25">
        <v>1.017925946E9</v>
      </c>
      <c r="D13" s="17" t="s">
        <v>124</v>
      </c>
      <c r="E13" s="18" t="s">
        <v>50</v>
      </c>
      <c r="F13" s="22"/>
      <c r="G13" s="19" t="s">
        <v>51</v>
      </c>
      <c r="H13" s="22"/>
      <c r="I13" s="19" t="s">
        <v>51</v>
      </c>
      <c r="J13" s="22"/>
      <c r="K13" s="18" t="s">
        <v>50</v>
      </c>
      <c r="L13" s="22"/>
      <c r="M13" s="19" t="s">
        <v>51</v>
      </c>
      <c r="N13" s="22"/>
      <c r="O13" s="18" t="s">
        <v>50</v>
      </c>
      <c r="P13" s="18" t="s">
        <v>50</v>
      </c>
      <c r="Q13" s="18" t="s">
        <v>50</v>
      </c>
      <c r="R13" s="18" t="s">
        <v>50</v>
      </c>
      <c r="S13" s="18" t="s">
        <v>51</v>
      </c>
      <c r="T13" s="18" t="s">
        <v>50</v>
      </c>
      <c r="U13" s="18" t="s">
        <v>50</v>
      </c>
      <c r="V13" s="18" t="s">
        <v>50</v>
      </c>
      <c r="W13" s="18" t="s">
        <v>51</v>
      </c>
      <c r="X13" s="18" t="s">
        <v>51</v>
      </c>
      <c r="Y13" s="18" t="s">
        <v>50</v>
      </c>
      <c r="Z13" s="17" t="s">
        <v>51</v>
      </c>
      <c r="AA13" s="17" t="s">
        <v>51</v>
      </c>
      <c r="AB13" s="17" t="s">
        <v>50</v>
      </c>
      <c r="AC13" s="17" t="s">
        <v>50</v>
      </c>
      <c r="AD13" s="17" t="s">
        <v>51</v>
      </c>
      <c r="AE13" s="17" t="s">
        <v>51</v>
      </c>
      <c r="AF13" s="17" t="s">
        <v>50</v>
      </c>
      <c r="AG13" s="17"/>
      <c r="AH13" s="17"/>
      <c r="AI13" s="17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</row>
    <row r="14" ht="16.5" customHeight="1">
      <c r="A14" s="14" t="s">
        <v>139</v>
      </c>
      <c r="B14" s="15" t="s">
        <v>141</v>
      </c>
      <c r="C14" s="25">
        <v>1.035973364E9</v>
      </c>
      <c r="D14" s="17" t="s">
        <v>124</v>
      </c>
      <c r="E14" s="22"/>
      <c r="F14" s="19" t="s">
        <v>51</v>
      </c>
      <c r="G14" s="19" t="s">
        <v>51</v>
      </c>
      <c r="H14" s="22"/>
      <c r="I14" s="22"/>
      <c r="J14" s="22"/>
      <c r="K14" s="19" t="s">
        <v>51</v>
      </c>
      <c r="L14" s="22"/>
      <c r="M14" s="22"/>
      <c r="N14" s="19" t="s">
        <v>51</v>
      </c>
      <c r="O14" s="18" t="s">
        <v>51</v>
      </c>
      <c r="P14" s="18" t="s">
        <v>51</v>
      </c>
      <c r="Q14" s="18" t="s">
        <v>50</v>
      </c>
      <c r="R14" s="18" t="s">
        <v>51</v>
      </c>
      <c r="S14" s="18" t="s">
        <v>51</v>
      </c>
      <c r="T14" s="18" t="s">
        <v>52</v>
      </c>
      <c r="U14" s="36" t="s">
        <v>125</v>
      </c>
      <c r="V14" s="18" t="s">
        <v>50</v>
      </c>
      <c r="W14" s="18" t="s">
        <v>50</v>
      </c>
      <c r="X14" s="18" t="s">
        <v>50</v>
      </c>
      <c r="Y14" s="18" t="s">
        <v>50</v>
      </c>
      <c r="Z14" s="17" t="s">
        <v>52</v>
      </c>
      <c r="AA14" s="17" t="s">
        <v>52</v>
      </c>
      <c r="AB14" s="17" t="s">
        <v>50</v>
      </c>
      <c r="AC14" s="17" t="s">
        <v>50</v>
      </c>
      <c r="AD14" s="17" t="s">
        <v>51</v>
      </c>
      <c r="AE14" s="17" t="s">
        <v>51</v>
      </c>
      <c r="AF14" s="17" t="s">
        <v>50</v>
      </c>
      <c r="AG14" s="17"/>
      <c r="AH14" s="17"/>
      <c r="AI14" s="17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</row>
    <row r="15" ht="16.5" customHeight="1">
      <c r="A15" s="14" t="s">
        <v>143</v>
      </c>
      <c r="B15" s="15" t="s">
        <v>146</v>
      </c>
      <c r="C15" s="25">
        <v>1.027880579E9</v>
      </c>
      <c r="D15" s="17" t="s">
        <v>49</v>
      </c>
      <c r="E15" s="22"/>
      <c r="F15" s="18" t="s">
        <v>50</v>
      </c>
      <c r="G15" s="22"/>
      <c r="H15" s="19" t="s">
        <v>51</v>
      </c>
      <c r="I15" s="22"/>
      <c r="J15" s="19" t="s">
        <v>51</v>
      </c>
      <c r="K15" s="22"/>
      <c r="L15" s="22"/>
      <c r="M15" s="19" t="s">
        <v>51</v>
      </c>
      <c r="N15" s="43"/>
      <c r="O15" s="18" t="s">
        <v>51</v>
      </c>
      <c r="P15" s="18" t="s">
        <v>51</v>
      </c>
      <c r="Q15" s="18" t="s">
        <v>50</v>
      </c>
      <c r="R15" s="18" t="s">
        <v>52</v>
      </c>
      <c r="S15" s="18" t="s">
        <v>50</v>
      </c>
      <c r="T15" s="18" t="s">
        <v>50</v>
      </c>
      <c r="U15" s="18" t="s">
        <v>50</v>
      </c>
      <c r="V15" s="18" t="s">
        <v>50</v>
      </c>
      <c r="W15" s="18" t="s">
        <v>51</v>
      </c>
      <c r="X15" s="18" t="s">
        <v>51</v>
      </c>
      <c r="Y15" s="18" t="s">
        <v>50</v>
      </c>
      <c r="Z15" s="17" t="s">
        <v>51</v>
      </c>
      <c r="AA15" s="17" t="s">
        <v>51</v>
      </c>
      <c r="AB15" s="17" t="s">
        <v>51</v>
      </c>
      <c r="AC15" s="17" t="s">
        <v>51</v>
      </c>
      <c r="AD15" s="17" t="s">
        <v>50</v>
      </c>
      <c r="AE15" s="17" t="s">
        <v>50</v>
      </c>
      <c r="AF15" s="17" t="s">
        <v>51</v>
      </c>
      <c r="AG15" s="17"/>
      <c r="AH15" s="17"/>
      <c r="AI15" s="17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</row>
    <row r="16" ht="16.5" customHeight="1">
      <c r="A16" s="44" t="s">
        <v>148</v>
      </c>
      <c r="B16" s="15" t="s">
        <v>149</v>
      </c>
      <c r="C16" s="25">
        <v>1.036448454E9</v>
      </c>
      <c r="D16" s="26" t="s">
        <v>150</v>
      </c>
      <c r="E16" s="22"/>
      <c r="F16" s="18" t="s">
        <v>50</v>
      </c>
      <c r="G16" s="20" t="s">
        <v>99</v>
      </c>
      <c r="H16" s="22"/>
      <c r="I16" s="22"/>
      <c r="J16" s="20" t="s">
        <v>52</v>
      </c>
      <c r="K16" s="22"/>
      <c r="L16" s="22"/>
      <c r="M16" s="22"/>
      <c r="N16" s="18" t="s">
        <v>52</v>
      </c>
      <c r="O16" s="27" t="s">
        <v>100</v>
      </c>
      <c r="P16" s="27" t="s">
        <v>100</v>
      </c>
      <c r="Q16" s="18" t="s">
        <v>50</v>
      </c>
      <c r="R16" s="27" t="s">
        <v>100</v>
      </c>
      <c r="S16" s="27" t="s">
        <v>100</v>
      </c>
      <c r="T16" s="18" t="s">
        <v>50</v>
      </c>
      <c r="U16" s="27" t="s">
        <v>100</v>
      </c>
      <c r="V16" s="27" t="s">
        <v>100</v>
      </c>
      <c r="W16" s="27" t="s">
        <v>100</v>
      </c>
      <c r="X16" s="27" t="s">
        <v>100</v>
      </c>
      <c r="Y16" s="18" t="s">
        <v>50</v>
      </c>
      <c r="Z16" s="17" t="s">
        <v>50</v>
      </c>
      <c r="AA16" s="17" t="s">
        <v>50</v>
      </c>
      <c r="AB16" s="27" t="s">
        <v>100</v>
      </c>
      <c r="AC16" s="17" t="s">
        <v>51</v>
      </c>
      <c r="AD16" s="17" t="s">
        <v>50</v>
      </c>
      <c r="AE16" s="17" t="s">
        <v>50</v>
      </c>
      <c r="AF16" s="18" t="s">
        <v>52</v>
      </c>
      <c r="AG16" s="17"/>
      <c r="AH16" s="17"/>
      <c r="AI16" s="17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</row>
    <row r="17" ht="16.5" customHeight="1">
      <c r="A17" s="14" t="s">
        <v>152</v>
      </c>
      <c r="B17" s="15" t="s">
        <v>154</v>
      </c>
      <c r="C17" s="25">
        <v>1.017922146E9</v>
      </c>
      <c r="D17" s="26" t="s">
        <v>90</v>
      </c>
      <c r="E17" s="18" t="s">
        <v>50</v>
      </c>
      <c r="F17" s="18" t="s">
        <v>50</v>
      </c>
      <c r="G17" s="22"/>
      <c r="H17" s="20" t="s">
        <v>99</v>
      </c>
      <c r="I17" s="20" t="s">
        <v>99</v>
      </c>
      <c r="J17" s="22"/>
      <c r="K17" s="18" t="s">
        <v>50</v>
      </c>
      <c r="L17" s="18" t="s">
        <v>50</v>
      </c>
      <c r="M17" s="18" t="s">
        <v>52</v>
      </c>
      <c r="N17" s="18" t="s">
        <v>50</v>
      </c>
      <c r="O17" s="27" t="s">
        <v>100</v>
      </c>
      <c r="P17" s="27" t="s">
        <v>100</v>
      </c>
      <c r="Q17" s="18" t="s">
        <v>50</v>
      </c>
      <c r="R17" s="27" t="s">
        <v>100</v>
      </c>
      <c r="S17" s="27" t="s">
        <v>100</v>
      </c>
      <c r="T17" s="18" t="s">
        <v>50</v>
      </c>
      <c r="U17" s="27" t="s">
        <v>100</v>
      </c>
      <c r="V17" s="27" t="s">
        <v>100</v>
      </c>
      <c r="W17" s="27" t="s">
        <v>100</v>
      </c>
      <c r="X17" s="27" t="s">
        <v>100</v>
      </c>
      <c r="Y17" s="18" t="s">
        <v>50</v>
      </c>
      <c r="Z17" s="27" t="s">
        <v>100</v>
      </c>
      <c r="AA17" s="27" t="s">
        <v>100</v>
      </c>
      <c r="AB17" s="17" t="s">
        <v>50</v>
      </c>
      <c r="AC17" s="17" t="s">
        <v>50</v>
      </c>
      <c r="AD17" s="27" t="s">
        <v>100</v>
      </c>
      <c r="AE17" s="27" t="s">
        <v>100</v>
      </c>
      <c r="AF17" s="17" t="s">
        <v>50</v>
      </c>
      <c r="AG17" s="17"/>
      <c r="AH17" s="17"/>
      <c r="AI17" s="17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ht="16.5" customHeight="1">
      <c r="A18" s="14" t="s">
        <v>156</v>
      </c>
      <c r="B18" s="15" t="s">
        <v>158</v>
      </c>
      <c r="C18" s="25">
        <v>1.011512703E9</v>
      </c>
      <c r="D18" s="17" t="s">
        <v>49</v>
      </c>
      <c r="E18" s="18" t="s">
        <v>50</v>
      </c>
      <c r="F18" s="22"/>
      <c r="G18" s="22"/>
      <c r="H18" s="17" t="s">
        <v>51</v>
      </c>
      <c r="I18" s="22"/>
      <c r="J18" s="17" t="s">
        <v>51</v>
      </c>
      <c r="K18" s="22"/>
      <c r="L18" s="17" t="s">
        <v>51</v>
      </c>
      <c r="M18" s="22"/>
      <c r="N18" s="19" t="s">
        <v>51</v>
      </c>
      <c r="O18" s="18" t="s">
        <v>50</v>
      </c>
      <c r="P18" s="18" t="s">
        <v>50</v>
      </c>
      <c r="Q18" s="18" t="s">
        <v>50</v>
      </c>
      <c r="R18" s="18" t="s">
        <v>51</v>
      </c>
      <c r="S18" s="18" t="s">
        <v>51</v>
      </c>
      <c r="T18" s="18" t="s">
        <v>51</v>
      </c>
      <c r="U18" s="18" t="s">
        <v>50</v>
      </c>
      <c r="V18" s="18" t="s">
        <v>50</v>
      </c>
      <c r="W18" s="18" t="s">
        <v>50</v>
      </c>
      <c r="X18" s="18" t="s">
        <v>50</v>
      </c>
      <c r="Y18" s="18" t="s">
        <v>50</v>
      </c>
      <c r="Z18" s="17" t="s">
        <v>51</v>
      </c>
      <c r="AA18" s="17" t="s">
        <v>51</v>
      </c>
      <c r="AB18" s="17" t="s">
        <v>50</v>
      </c>
      <c r="AC18" s="17" t="s">
        <v>50</v>
      </c>
      <c r="AD18" s="17" t="s">
        <v>51</v>
      </c>
      <c r="AE18" s="17" t="s">
        <v>51</v>
      </c>
      <c r="AF18" s="17" t="s">
        <v>50</v>
      </c>
      <c r="AG18" s="17"/>
      <c r="AH18" s="17"/>
      <c r="AI18" s="17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ht="16.5" customHeight="1">
      <c r="A19" s="14" t="s">
        <v>159</v>
      </c>
      <c r="B19" s="15" t="s">
        <v>161</v>
      </c>
      <c r="C19" s="25">
        <v>1.032178131E9</v>
      </c>
      <c r="D19" s="17" t="s">
        <v>49</v>
      </c>
      <c r="E19" s="22"/>
      <c r="F19" s="22"/>
      <c r="G19" s="19" t="s">
        <v>144</v>
      </c>
      <c r="H19" s="22"/>
      <c r="I19" s="19" t="s">
        <v>162</v>
      </c>
      <c r="J19" s="22"/>
      <c r="K19" s="18" t="s">
        <v>50</v>
      </c>
      <c r="L19" s="22"/>
      <c r="M19" s="19" t="s">
        <v>163</v>
      </c>
      <c r="N19" s="22"/>
      <c r="O19" s="27" t="s">
        <v>100</v>
      </c>
      <c r="P19" s="18" t="s">
        <v>50</v>
      </c>
      <c r="Q19" s="27" t="s">
        <v>100</v>
      </c>
      <c r="R19" s="18" t="s">
        <v>50</v>
      </c>
      <c r="S19" s="27" t="s">
        <v>100</v>
      </c>
      <c r="T19" s="27" t="s">
        <v>100</v>
      </c>
      <c r="U19" s="27" t="s">
        <v>100</v>
      </c>
      <c r="V19" s="27" t="s">
        <v>100</v>
      </c>
      <c r="W19" s="27" t="s">
        <v>100</v>
      </c>
      <c r="X19" s="27" t="s">
        <v>100</v>
      </c>
      <c r="Y19" s="18" t="s">
        <v>50</v>
      </c>
      <c r="Z19" s="17" t="s">
        <v>165</v>
      </c>
      <c r="AA19" s="17" t="s">
        <v>165</v>
      </c>
      <c r="AB19" s="17" t="s">
        <v>165</v>
      </c>
      <c r="AC19" s="17" t="s">
        <v>165</v>
      </c>
      <c r="AD19" s="17" t="s">
        <v>165</v>
      </c>
      <c r="AE19" s="17" t="s">
        <v>165</v>
      </c>
      <c r="AF19" s="17" t="s">
        <v>165</v>
      </c>
      <c r="AG19" s="17" t="s">
        <v>165</v>
      </c>
      <c r="AH19" s="17" t="s">
        <v>165</v>
      </c>
      <c r="AI19" s="17" t="s">
        <v>165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</row>
    <row r="20" ht="16.5" customHeight="1">
      <c r="A20" s="44" t="s">
        <v>167</v>
      </c>
      <c r="B20" s="15" t="s">
        <v>169</v>
      </c>
      <c r="C20" s="25">
        <v>1.018228842E9</v>
      </c>
      <c r="D20" s="17" t="s">
        <v>104</v>
      </c>
      <c r="E20" s="19" t="s">
        <v>51</v>
      </c>
      <c r="F20" s="18" t="s">
        <v>50</v>
      </c>
      <c r="G20" s="19" t="s">
        <v>51</v>
      </c>
      <c r="H20" s="22"/>
      <c r="I20" s="22"/>
      <c r="J20" s="19" t="s">
        <v>51</v>
      </c>
      <c r="K20" s="22"/>
      <c r="L20" s="22"/>
      <c r="M20" s="18" t="s">
        <v>52</v>
      </c>
      <c r="N20" s="22"/>
      <c r="O20" s="18" t="s">
        <v>50</v>
      </c>
      <c r="P20" s="27" t="s">
        <v>100</v>
      </c>
      <c r="Q20" s="18" t="s">
        <v>50</v>
      </c>
      <c r="R20" s="27"/>
      <c r="S20" s="18" t="s">
        <v>50</v>
      </c>
      <c r="T20" s="18" t="s">
        <v>50</v>
      </c>
      <c r="U20" s="18" t="s">
        <v>50</v>
      </c>
      <c r="V20" s="18" t="s">
        <v>50</v>
      </c>
      <c r="W20" s="18" t="s">
        <v>52</v>
      </c>
      <c r="X20" s="18" t="s">
        <v>52</v>
      </c>
      <c r="Y20" s="18" t="s">
        <v>50</v>
      </c>
      <c r="Z20" s="17" t="s">
        <v>50</v>
      </c>
      <c r="AA20" s="17" t="s">
        <v>50</v>
      </c>
      <c r="AB20" s="17" t="s">
        <v>52</v>
      </c>
      <c r="AC20" s="17" t="s">
        <v>52</v>
      </c>
      <c r="AD20" s="17" t="s">
        <v>50</v>
      </c>
      <c r="AE20" s="17" t="s">
        <v>50</v>
      </c>
      <c r="AF20" s="17" t="s">
        <v>52</v>
      </c>
      <c r="AG20" s="17"/>
      <c r="AH20" s="17"/>
      <c r="AI20" s="17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ht="16.5" customHeight="1">
      <c r="A21" s="14" t="s">
        <v>171</v>
      </c>
      <c r="B21" s="15" t="s">
        <v>174</v>
      </c>
      <c r="C21" s="25">
        <v>1.011391701E9</v>
      </c>
      <c r="D21" s="17" t="s">
        <v>175</v>
      </c>
      <c r="E21" s="22"/>
      <c r="F21" s="18" t="s">
        <v>50</v>
      </c>
      <c r="G21" s="22"/>
      <c r="H21" s="19" t="s">
        <v>51</v>
      </c>
      <c r="I21" s="22"/>
      <c r="J21" s="19" t="s">
        <v>51</v>
      </c>
      <c r="K21" s="22"/>
      <c r="L21" s="19" t="s">
        <v>51</v>
      </c>
      <c r="M21" s="22"/>
      <c r="N21" s="19" t="s">
        <v>51</v>
      </c>
      <c r="O21" s="35" t="s">
        <v>111</v>
      </c>
      <c r="P21" s="18" t="s">
        <v>50</v>
      </c>
      <c r="Q21" s="35" t="s">
        <v>111</v>
      </c>
      <c r="R21" s="35" t="s">
        <v>111</v>
      </c>
      <c r="S21" s="35" t="s">
        <v>50</v>
      </c>
      <c r="T21" s="18" t="s">
        <v>50</v>
      </c>
      <c r="U21" s="18" t="s">
        <v>50</v>
      </c>
      <c r="V21" s="18" t="s">
        <v>50</v>
      </c>
      <c r="W21" s="18" t="s">
        <v>51</v>
      </c>
      <c r="X21" s="18" t="s">
        <v>51</v>
      </c>
      <c r="Y21" s="18" t="s">
        <v>50</v>
      </c>
      <c r="Z21" s="17" t="s">
        <v>50</v>
      </c>
      <c r="AA21" s="17" t="s">
        <v>50</v>
      </c>
      <c r="AB21" s="17" t="s">
        <v>51</v>
      </c>
      <c r="AC21" s="17" t="s">
        <v>51</v>
      </c>
      <c r="AD21" s="17" t="s">
        <v>50</v>
      </c>
      <c r="AE21" s="17" t="s">
        <v>50</v>
      </c>
      <c r="AF21" s="17" t="s">
        <v>51</v>
      </c>
      <c r="AG21" s="17"/>
      <c r="AH21" s="17"/>
      <c r="AI21" s="17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</row>
    <row r="22" ht="16.5" customHeight="1">
      <c r="A22" s="49" t="s">
        <v>177</v>
      </c>
      <c r="B22" s="15" t="s">
        <v>178</v>
      </c>
      <c r="C22" s="25">
        <v>1.036256602E9</v>
      </c>
      <c r="D22" s="17" t="s">
        <v>49</v>
      </c>
      <c r="E22" s="18" t="s">
        <v>50</v>
      </c>
      <c r="F22" s="19" t="s">
        <v>51</v>
      </c>
      <c r="G22" s="19" t="s">
        <v>51</v>
      </c>
      <c r="H22" s="22"/>
      <c r="I22" s="22"/>
      <c r="J22" s="20" t="s">
        <v>51</v>
      </c>
      <c r="K22" s="22"/>
      <c r="L22" s="22"/>
      <c r="M22" s="17" t="s">
        <v>51</v>
      </c>
      <c r="N22" s="22"/>
      <c r="O22" s="18" t="s">
        <v>50</v>
      </c>
      <c r="P22" s="18" t="s">
        <v>50</v>
      </c>
      <c r="Q22" s="18" t="s">
        <v>52</v>
      </c>
      <c r="R22" s="18" t="s">
        <v>50</v>
      </c>
      <c r="S22" s="18" t="s">
        <v>50</v>
      </c>
      <c r="T22" s="18" t="s">
        <v>52</v>
      </c>
      <c r="U22" s="18" t="s">
        <v>50</v>
      </c>
      <c r="V22" s="18" t="s">
        <v>50</v>
      </c>
      <c r="W22" s="18" t="s">
        <v>50</v>
      </c>
      <c r="X22" s="18" t="s">
        <v>51</v>
      </c>
      <c r="Y22" s="18" t="s">
        <v>51</v>
      </c>
      <c r="Z22" s="17" t="s">
        <v>50</v>
      </c>
      <c r="AA22" s="19" t="s">
        <v>51</v>
      </c>
      <c r="AB22" s="17" t="s">
        <v>50</v>
      </c>
      <c r="AC22" s="17" t="s">
        <v>50</v>
      </c>
      <c r="AD22" s="18" t="s">
        <v>51</v>
      </c>
      <c r="AE22" s="18" t="s">
        <v>51</v>
      </c>
      <c r="AF22" s="17" t="s">
        <v>50</v>
      </c>
      <c r="AG22" s="17"/>
      <c r="AH22" s="17"/>
      <c r="AI22" s="17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ht="16.5" customHeight="1">
      <c r="A23" s="44" t="s">
        <v>179</v>
      </c>
      <c r="B23" s="15" t="s">
        <v>185</v>
      </c>
      <c r="C23" s="51"/>
      <c r="D23" s="17" t="s">
        <v>124</v>
      </c>
      <c r="E23" s="18" t="s">
        <v>50</v>
      </c>
      <c r="F23" s="19" t="s">
        <v>51</v>
      </c>
      <c r="G23" s="52"/>
      <c r="H23" s="17"/>
      <c r="I23" s="20" t="s">
        <v>52</v>
      </c>
      <c r="J23" s="19" t="s">
        <v>51</v>
      </c>
      <c r="K23" s="22"/>
      <c r="L23" s="22"/>
      <c r="M23" s="19" t="s">
        <v>51</v>
      </c>
      <c r="N23" s="19" t="s">
        <v>51</v>
      </c>
      <c r="O23" s="35" t="s">
        <v>111</v>
      </c>
      <c r="P23" s="22"/>
      <c r="Q23" s="35" t="s">
        <v>111</v>
      </c>
      <c r="R23" s="22"/>
      <c r="S23" s="35" t="s">
        <v>111</v>
      </c>
      <c r="T23" s="18" t="s">
        <v>51</v>
      </c>
      <c r="U23" s="18" t="s">
        <v>50</v>
      </c>
      <c r="V23" s="18" t="s">
        <v>50</v>
      </c>
      <c r="W23" s="18" t="s">
        <v>50</v>
      </c>
      <c r="X23" s="18" t="s">
        <v>50</v>
      </c>
      <c r="Y23" s="18" t="s">
        <v>52</v>
      </c>
      <c r="Z23" s="17" t="s">
        <v>52</v>
      </c>
      <c r="AA23" s="17" t="s">
        <v>52</v>
      </c>
      <c r="AB23" s="17" t="s">
        <v>50</v>
      </c>
      <c r="AC23" s="17" t="s">
        <v>50</v>
      </c>
      <c r="AD23" s="18" t="s">
        <v>52</v>
      </c>
      <c r="AE23" s="18" t="s">
        <v>52</v>
      </c>
      <c r="AF23" s="17" t="s">
        <v>50</v>
      </c>
      <c r="AG23" s="17"/>
      <c r="AH23" s="17"/>
      <c r="AI23" s="17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ht="16.5" customHeight="1">
      <c r="A24" s="14" t="s">
        <v>187</v>
      </c>
      <c r="B24" s="15" t="s">
        <v>191</v>
      </c>
      <c r="C24" s="25">
        <v>1.023624972E9</v>
      </c>
      <c r="D24" s="17" t="s">
        <v>49</v>
      </c>
      <c r="E24" s="18" t="s">
        <v>50</v>
      </c>
      <c r="F24" s="22"/>
      <c r="G24" s="19" t="s">
        <v>51</v>
      </c>
      <c r="H24" s="22"/>
      <c r="I24" s="20" t="s">
        <v>52</v>
      </c>
      <c r="J24" s="22"/>
      <c r="K24" s="18" t="s">
        <v>50</v>
      </c>
      <c r="L24" s="22"/>
      <c r="M24" s="19" t="s">
        <v>51</v>
      </c>
      <c r="N24" s="22"/>
      <c r="O24" s="18" t="s">
        <v>50</v>
      </c>
      <c r="P24" s="18" t="s">
        <v>50</v>
      </c>
      <c r="Q24" s="18" t="s">
        <v>51</v>
      </c>
      <c r="R24" s="18" t="s">
        <v>52</v>
      </c>
      <c r="S24" s="18" t="s">
        <v>51</v>
      </c>
      <c r="T24" s="18" t="s">
        <v>50</v>
      </c>
      <c r="U24" s="18" t="s">
        <v>51</v>
      </c>
      <c r="V24" s="18" t="s">
        <v>51</v>
      </c>
      <c r="W24" s="18" t="s">
        <v>50</v>
      </c>
      <c r="X24" s="18" t="s">
        <v>50</v>
      </c>
      <c r="Y24" s="18" t="s">
        <v>51</v>
      </c>
      <c r="Z24" s="17" t="s">
        <v>52</v>
      </c>
      <c r="AA24" s="17" t="s">
        <v>52</v>
      </c>
      <c r="AB24" s="17" t="s">
        <v>50</v>
      </c>
      <c r="AC24" s="17" t="s">
        <v>50</v>
      </c>
      <c r="AD24" s="18" t="s">
        <v>51</v>
      </c>
      <c r="AE24" s="18" t="s">
        <v>51</v>
      </c>
      <c r="AF24" s="17" t="s">
        <v>50</v>
      </c>
      <c r="AG24" s="17"/>
      <c r="AH24" s="17"/>
      <c r="AI24" s="17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ht="16.5" customHeight="1">
      <c r="A25" s="53" t="s">
        <v>192</v>
      </c>
      <c r="B25" s="15" t="s">
        <v>194</v>
      </c>
      <c r="C25" s="25">
        <v>1.043414149E9</v>
      </c>
      <c r="D25" s="17" t="s">
        <v>104</v>
      </c>
      <c r="E25" s="18" t="s">
        <v>50</v>
      </c>
      <c r="F25" s="22"/>
      <c r="G25" s="22"/>
      <c r="H25" s="19" t="s">
        <v>51</v>
      </c>
      <c r="I25" s="22"/>
      <c r="J25" s="19" t="s">
        <v>51</v>
      </c>
      <c r="K25" s="22"/>
      <c r="L25" s="20" t="s">
        <v>52</v>
      </c>
      <c r="M25" s="22"/>
      <c r="N25" s="18" t="s">
        <v>52</v>
      </c>
      <c r="O25" s="18" t="s">
        <v>50</v>
      </c>
      <c r="P25" s="18" t="s">
        <v>50</v>
      </c>
      <c r="Q25" s="18" t="s">
        <v>52</v>
      </c>
      <c r="R25" s="18" t="s">
        <v>50</v>
      </c>
      <c r="S25" s="18" t="s">
        <v>52</v>
      </c>
      <c r="T25" s="18" t="s">
        <v>50</v>
      </c>
      <c r="U25" s="18" t="s">
        <v>50</v>
      </c>
      <c r="V25" s="18" t="s">
        <v>50</v>
      </c>
      <c r="W25" s="18" t="s">
        <v>50</v>
      </c>
      <c r="X25" s="18" t="s">
        <v>52</v>
      </c>
      <c r="Y25" s="18" t="s">
        <v>52</v>
      </c>
      <c r="Z25" s="17" t="s">
        <v>50</v>
      </c>
      <c r="AA25" s="17" t="s">
        <v>50</v>
      </c>
      <c r="AB25" s="18" t="s">
        <v>52</v>
      </c>
      <c r="AC25" s="18" t="s">
        <v>52</v>
      </c>
      <c r="AD25" s="17" t="s">
        <v>50</v>
      </c>
      <c r="AE25" s="17" t="s">
        <v>50</v>
      </c>
      <c r="AF25" s="18" t="s">
        <v>51</v>
      </c>
      <c r="AG25" s="17"/>
      <c r="AH25" s="17"/>
      <c r="AI25" s="17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ht="16.5" customHeight="1">
      <c r="A26" s="54" t="s">
        <v>197</v>
      </c>
      <c r="B26" s="15" t="s">
        <v>198</v>
      </c>
      <c r="C26" s="25">
        <v>1.04057022E9</v>
      </c>
      <c r="D26" s="17" t="s">
        <v>104</v>
      </c>
      <c r="E26" s="22"/>
      <c r="F26" s="22"/>
      <c r="G26" s="20" t="s">
        <v>52</v>
      </c>
      <c r="H26" s="22"/>
      <c r="I26" s="19" t="s">
        <v>51</v>
      </c>
      <c r="J26" s="22"/>
      <c r="K26" s="19" t="s">
        <v>51</v>
      </c>
      <c r="L26" s="22"/>
      <c r="M26" s="18" t="s">
        <v>50</v>
      </c>
      <c r="N26" s="19" t="s">
        <v>51</v>
      </c>
      <c r="O26" s="18" t="s">
        <v>51</v>
      </c>
      <c r="P26" s="18" t="s">
        <v>51</v>
      </c>
      <c r="Q26" s="18" t="s">
        <v>50</v>
      </c>
      <c r="R26" s="18" t="s">
        <v>50</v>
      </c>
      <c r="S26" s="18" t="s">
        <v>50</v>
      </c>
      <c r="T26" s="18" t="s">
        <v>51</v>
      </c>
      <c r="U26" s="18" t="s">
        <v>50</v>
      </c>
      <c r="V26" s="18" t="s">
        <v>50</v>
      </c>
      <c r="W26" s="18" t="s">
        <v>50</v>
      </c>
      <c r="X26" s="18" t="s">
        <v>50</v>
      </c>
      <c r="Y26" s="18" t="s">
        <v>51</v>
      </c>
      <c r="Z26" s="17" t="s">
        <v>51</v>
      </c>
      <c r="AA26" s="17" t="s">
        <v>51</v>
      </c>
      <c r="AB26" s="17" t="s">
        <v>50</v>
      </c>
      <c r="AC26" s="17" t="s">
        <v>50</v>
      </c>
      <c r="AD26" s="17" t="s">
        <v>51</v>
      </c>
      <c r="AE26" s="17" t="s">
        <v>51</v>
      </c>
      <c r="AF26" s="17" t="s">
        <v>50</v>
      </c>
      <c r="AG26" s="17"/>
      <c r="AH26" s="17"/>
      <c r="AI26" s="17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ht="16.5" customHeight="1">
      <c r="A27" s="55"/>
      <c r="B27" s="15" t="s">
        <v>200</v>
      </c>
      <c r="C27" s="25">
        <v>1.025885589E9</v>
      </c>
      <c r="D27" s="17" t="s">
        <v>127</v>
      </c>
      <c r="E27" s="19"/>
      <c r="F27" s="18"/>
      <c r="G27" s="17"/>
      <c r="H27" s="19" t="s">
        <v>51</v>
      </c>
      <c r="I27" s="22"/>
      <c r="J27" s="22"/>
      <c r="K27" s="19" t="s">
        <v>51</v>
      </c>
      <c r="L27" s="22"/>
      <c r="M27" s="17"/>
      <c r="N27" s="2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7" t="s">
        <v>165</v>
      </c>
      <c r="AA27" s="17" t="s">
        <v>165</v>
      </c>
      <c r="AB27" s="17" t="s">
        <v>165</v>
      </c>
      <c r="AC27" s="17"/>
      <c r="AD27" s="17"/>
      <c r="AE27" s="17"/>
      <c r="AF27" s="17"/>
      <c r="AG27" s="17"/>
      <c r="AH27" s="17"/>
      <c r="AI27" s="17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ht="16.5" customHeight="1">
      <c r="A28" s="14" t="s">
        <v>202</v>
      </c>
      <c r="B28" s="15" t="s">
        <v>204</v>
      </c>
      <c r="C28" s="25">
        <v>1.036448863E9</v>
      </c>
      <c r="D28" s="17" t="s">
        <v>124</v>
      </c>
      <c r="E28" s="19" t="s">
        <v>51</v>
      </c>
      <c r="F28" s="18" t="s">
        <v>50</v>
      </c>
      <c r="G28" s="17" t="s">
        <v>51</v>
      </c>
      <c r="H28" s="22"/>
      <c r="I28" s="22"/>
      <c r="J28" s="20" t="s">
        <v>52</v>
      </c>
      <c r="K28" s="18" t="s">
        <v>50</v>
      </c>
      <c r="L28" s="20" t="s">
        <v>52</v>
      </c>
      <c r="M28" s="17" t="s">
        <v>51</v>
      </c>
      <c r="N28" s="22"/>
      <c r="O28" s="18" t="s">
        <v>51</v>
      </c>
      <c r="P28" s="18" t="s">
        <v>51</v>
      </c>
      <c r="Q28" s="18" t="s">
        <v>50</v>
      </c>
      <c r="R28" s="18" t="s">
        <v>50</v>
      </c>
      <c r="S28" s="18" t="s">
        <v>50</v>
      </c>
      <c r="T28" s="18" t="s">
        <v>51</v>
      </c>
      <c r="U28" s="18" t="s">
        <v>50</v>
      </c>
      <c r="V28" s="18" t="s">
        <v>50</v>
      </c>
      <c r="W28" s="18" t="s">
        <v>50</v>
      </c>
      <c r="X28" s="18" t="s">
        <v>50</v>
      </c>
      <c r="Y28" s="18" t="s">
        <v>52</v>
      </c>
      <c r="Z28" s="18" t="s">
        <v>52</v>
      </c>
      <c r="AA28" s="18" t="s">
        <v>52</v>
      </c>
      <c r="AB28" s="17" t="s">
        <v>50</v>
      </c>
      <c r="AC28" s="17" t="s">
        <v>50</v>
      </c>
      <c r="AD28" s="17" t="s">
        <v>51</v>
      </c>
      <c r="AE28" s="17" t="s">
        <v>51</v>
      </c>
      <c r="AF28" s="17" t="s">
        <v>50</v>
      </c>
      <c r="AG28" s="17"/>
      <c r="AH28" s="17"/>
      <c r="AI28" s="17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ht="16.5" customHeight="1">
      <c r="A29" s="14" t="s">
        <v>205</v>
      </c>
      <c r="B29" s="15" t="s">
        <v>207</v>
      </c>
      <c r="C29" s="25">
        <v>1.022003016E9</v>
      </c>
      <c r="D29" s="17" t="s">
        <v>49</v>
      </c>
      <c r="E29" s="19" t="s">
        <v>51</v>
      </c>
      <c r="F29" s="22"/>
      <c r="G29" s="19" t="s">
        <v>144</v>
      </c>
      <c r="H29" s="22"/>
      <c r="I29" s="19" t="s">
        <v>51</v>
      </c>
      <c r="J29" s="22"/>
      <c r="K29" s="19" t="s">
        <v>51</v>
      </c>
      <c r="L29" s="22"/>
      <c r="M29" s="22"/>
      <c r="N29" s="19" t="s">
        <v>51</v>
      </c>
      <c r="O29" s="18" t="s">
        <v>51</v>
      </c>
      <c r="P29" s="18" t="s">
        <v>51</v>
      </c>
      <c r="Q29" s="18" t="s">
        <v>50</v>
      </c>
      <c r="R29" s="18" t="s">
        <v>50</v>
      </c>
      <c r="S29" s="18" t="s">
        <v>50</v>
      </c>
      <c r="T29" s="18" t="s">
        <v>51</v>
      </c>
      <c r="U29" s="18" t="s">
        <v>50</v>
      </c>
      <c r="V29" s="18" t="s">
        <v>50</v>
      </c>
      <c r="W29" s="18" t="s">
        <v>50</v>
      </c>
      <c r="X29" s="18" t="s">
        <v>50</v>
      </c>
      <c r="Y29" s="18" t="s">
        <v>51</v>
      </c>
      <c r="Z29" s="17" t="s">
        <v>51</v>
      </c>
      <c r="AA29" s="17" t="s">
        <v>51</v>
      </c>
      <c r="AB29" s="17" t="s">
        <v>50</v>
      </c>
      <c r="AC29" s="17" t="s">
        <v>50</v>
      </c>
      <c r="AD29" s="17" t="s">
        <v>51</v>
      </c>
      <c r="AE29" s="17" t="s">
        <v>51</v>
      </c>
      <c r="AF29" s="17" t="s">
        <v>50</v>
      </c>
      <c r="AG29" s="17"/>
      <c r="AH29" s="17"/>
      <c r="AI29" s="17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ht="16.5" customHeight="1">
      <c r="A30" s="14" t="s">
        <v>209</v>
      </c>
      <c r="B30" s="15" t="s">
        <v>211</v>
      </c>
      <c r="C30" s="25">
        <v>1.039446686E9</v>
      </c>
      <c r="D30" s="17" t="s">
        <v>127</v>
      </c>
      <c r="E30" s="22"/>
      <c r="F30" s="22"/>
      <c r="G30" s="19" t="s">
        <v>51</v>
      </c>
      <c r="H30" s="22"/>
      <c r="I30" s="19" t="s">
        <v>51</v>
      </c>
      <c r="J30" s="22"/>
      <c r="K30" s="19" t="s">
        <v>51</v>
      </c>
      <c r="L30" s="22"/>
      <c r="M30" s="19" t="s">
        <v>51</v>
      </c>
      <c r="N30" s="22"/>
      <c r="O30" s="18" t="s">
        <v>50</v>
      </c>
      <c r="P30" s="18" t="s">
        <v>50</v>
      </c>
      <c r="Q30" s="18" t="s">
        <v>50</v>
      </c>
      <c r="R30" s="18" t="s">
        <v>50</v>
      </c>
      <c r="S30" s="18" t="s">
        <v>51</v>
      </c>
      <c r="T30" s="18" t="s">
        <v>51</v>
      </c>
      <c r="U30" s="18" t="s">
        <v>50</v>
      </c>
      <c r="V30" s="18" t="s">
        <v>50</v>
      </c>
      <c r="W30" s="18" t="s">
        <v>50</v>
      </c>
      <c r="X30" s="18" t="s">
        <v>50</v>
      </c>
      <c r="Y30" s="18" t="s">
        <v>51</v>
      </c>
      <c r="Z30" s="17" t="s">
        <v>51</v>
      </c>
      <c r="AA30" s="17" t="s">
        <v>51</v>
      </c>
      <c r="AB30" s="17" t="s">
        <v>50</v>
      </c>
      <c r="AC30" s="17" t="s">
        <v>50</v>
      </c>
      <c r="AD30" s="17" t="s">
        <v>51</v>
      </c>
      <c r="AE30" s="17" t="s">
        <v>51</v>
      </c>
      <c r="AF30" s="17" t="s">
        <v>50</v>
      </c>
      <c r="AG30" s="17"/>
      <c r="AH30" s="17"/>
      <c r="AI30" s="17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ht="16.5" customHeight="1">
      <c r="A31" s="14" t="s">
        <v>213</v>
      </c>
      <c r="B31" s="15" t="s">
        <v>215</v>
      </c>
      <c r="C31" s="25">
        <v>1.033180843E9</v>
      </c>
      <c r="D31" s="17" t="s">
        <v>104</v>
      </c>
      <c r="E31" s="22"/>
      <c r="F31" s="22"/>
      <c r="G31" s="22"/>
      <c r="H31" s="19" t="s">
        <v>51</v>
      </c>
      <c r="I31" s="22"/>
      <c r="J31" s="20" t="s">
        <v>52</v>
      </c>
      <c r="K31" s="22"/>
      <c r="L31" s="19" t="s">
        <v>51</v>
      </c>
      <c r="M31" s="22"/>
      <c r="N31" s="18" t="s">
        <v>52</v>
      </c>
      <c r="O31" s="18" t="s">
        <v>50</v>
      </c>
      <c r="P31" s="18" t="s">
        <v>50</v>
      </c>
      <c r="Q31" s="18" t="s">
        <v>52</v>
      </c>
      <c r="R31" s="18" t="s">
        <v>50</v>
      </c>
      <c r="S31" s="18" t="s">
        <v>52</v>
      </c>
      <c r="T31" s="18" t="s">
        <v>52</v>
      </c>
      <c r="U31" s="18" t="s">
        <v>50</v>
      </c>
      <c r="V31" s="18" t="s">
        <v>50</v>
      </c>
      <c r="W31" s="18" t="s">
        <v>50</v>
      </c>
      <c r="X31" s="18" t="s">
        <v>50</v>
      </c>
      <c r="Y31" s="18" t="s">
        <v>52</v>
      </c>
      <c r="Z31" s="18" t="s">
        <v>52</v>
      </c>
      <c r="AA31" s="18" t="s">
        <v>52</v>
      </c>
      <c r="AB31" s="17" t="s">
        <v>50</v>
      </c>
      <c r="AC31" s="17" t="s">
        <v>50</v>
      </c>
      <c r="AD31" s="18" t="s">
        <v>52</v>
      </c>
      <c r="AE31" s="18" t="s">
        <v>52</v>
      </c>
      <c r="AF31" s="17" t="s">
        <v>50</v>
      </c>
      <c r="AG31" s="17"/>
      <c r="AH31" s="17"/>
      <c r="AI31" s="17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ht="16.5" customHeight="1">
      <c r="A32" s="14" t="s">
        <v>217</v>
      </c>
      <c r="B32" s="15" t="s">
        <v>220</v>
      </c>
      <c r="C32" s="25">
        <v>1.033180843E9</v>
      </c>
      <c r="D32" s="17" t="s">
        <v>221</v>
      </c>
      <c r="E32" s="19" t="s">
        <v>51</v>
      </c>
      <c r="F32" s="22"/>
      <c r="G32" s="22"/>
      <c r="H32" s="22"/>
      <c r="I32" s="20" t="s">
        <v>52</v>
      </c>
      <c r="J32" s="22"/>
      <c r="K32" s="22"/>
      <c r="L32" s="20" t="s">
        <v>52</v>
      </c>
      <c r="M32" s="22"/>
      <c r="N32" s="19" t="s">
        <v>51</v>
      </c>
      <c r="O32" s="27" t="s">
        <v>100</v>
      </c>
      <c r="P32" s="27" t="s">
        <v>100</v>
      </c>
      <c r="Q32" s="18" t="s">
        <v>50</v>
      </c>
      <c r="R32" s="27" t="s">
        <v>100</v>
      </c>
      <c r="S32" s="27" t="s">
        <v>50</v>
      </c>
      <c r="T32" s="18" t="s">
        <v>50</v>
      </c>
      <c r="U32" s="27" t="s">
        <v>100</v>
      </c>
      <c r="V32" s="27" t="s">
        <v>100</v>
      </c>
      <c r="W32" s="27" t="s">
        <v>100</v>
      </c>
      <c r="X32" s="27" t="s">
        <v>100</v>
      </c>
      <c r="Y32" s="18" t="s">
        <v>50</v>
      </c>
      <c r="Z32" s="18" t="s">
        <v>50</v>
      </c>
      <c r="AA32" s="18" t="s">
        <v>50</v>
      </c>
      <c r="AB32" s="17" t="s">
        <v>52</v>
      </c>
      <c r="AC32" s="17" t="s">
        <v>52</v>
      </c>
      <c r="AD32" s="17" t="s">
        <v>50</v>
      </c>
      <c r="AE32" s="17" t="s">
        <v>50</v>
      </c>
      <c r="AF32" s="18" t="s">
        <v>52</v>
      </c>
      <c r="AG32" s="17"/>
      <c r="AH32" s="17"/>
      <c r="AI32" s="17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ht="16.5" customHeight="1">
      <c r="A33" s="14" t="s">
        <v>222</v>
      </c>
      <c r="B33" s="15" t="s">
        <v>224</v>
      </c>
      <c r="C33" s="25">
        <v>1.000654693E9</v>
      </c>
      <c r="D33" s="17" t="s">
        <v>104</v>
      </c>
      <c r="E33" s="19" t="s">
        <v>51</v>
      </c>
      <c r="F33" s="18" t="s">
        <v>50</v>
      </c>
      <c r="G33" s="20" t="s">
        <v>52</v>
      </c>
      <c r="H33" s="22"/>
      <c r="I33" s="19" t="s">
        <v>51</v>
      </c>
      <c r="J33" s="22"/>
      <c r="K33" s="18" t="s">
        <v>52</v>
      </c>
      <c r="L33" s="22"/>
      <c r="M33" s="19" t="s">
        <v>51</v>
      </c>
      <c r="N33" s="22"/>
      <c r="O33" s="18" t="s">
        <v>50</v>
      </c>
      <c r="P33" s="18" t="s">
        <v>50</v>
      </c>
      <c r="Q33" s="18" t="s">
        <v>50</v>
      </c>
      <c r="R33" s="18" t="s">
        <v>50</v>
      </c>
      <c r="S33" s="18" t="s">
        <v>51</v>
      </c>
      <c r="T33" s="18" t="s">
        <v>50</v>
      </c>
      <c r="U33" s="18" t="s">
        <v>50</v>
      </c>
      <c r="V33" s="18" t="s">
        <v>50</v>
      </c>
      <c r="W33" s="18" t="s">
        <v>50</v>
      </c>
      <c r="X33" s="18" t="s">
        <v>50</v>
      </c>
      <c r="Y33" s="18" t="s">
        <v>52</v>
      </c>
      <c r="Z33" s="17" t="s">
        <v>52</v>
      </c>
      <c r="AA33" s="17" t="s">
        <v>52</v>
      </c>
      <c r="AB33" s="17" t="s">
        <v>50</v>
      </c>
      <c r="AC33" s="17" t="s">
        <v>50</v>
      </c>
      <c r="AD33" s="18" t="s">
        <v>51</v>
      </c>
      <c r="AE33" s="18" t="s">
        <v>51</v>
      </c>
      <c r="AF33" s="17" t="s">
        <v>50</v>
      </c>
      <c r="AG33" s="17"/>
      <c r="AH33" s="17"/>
      <c r="AI33" s="17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ht="16.5" customHeight="1">
      <c r="A34" s="14" t="s">
        <v>226</v>
      </c>
      <c r="B34" s="15" t="s">
        <v>228</v>
      </c>
      <c r="C34" s="25">
        <v>1.033184338E9</v>
      </c>
      <c r="D34" s="17" t="s">
        <v>49</v>
      </c>
      <c r="E34" s="22"/>
      <c r="F34" s="22"/>
      <c r="G34" s="17" t="s">
        <v>51</v>
      </c>
      <c r="H34" s="22"/>
      <c r="I34" s="19" t="s">
        <v>51</v>
      </c>
      <c r="J34" s="22"/>
      <c r="K34" s="19" t="s">
        <v>51</v>
      </c>
      <c r="L34" s="22"/>
      <c r="M34" s="19" t="s">
        <v>51</v>
      </c>
      <c r="N34" s="22"/>
      <c r="O34" s="18" t="s">
        <v>51</v>
      </c>
      <c r="P34" s="18" t="s">
        <v>51</v>
      </c>
      <c r="Q34" s="18" t="s">
        <v>50</v>
      </c>
      <c r="R34" s="18" t="s">
        <v>50</v>
      </c>
      <c r="S34" s="18" t="s">
        <v>50</v>
      </c>
      <c r="T34" s="18" t="s">
        <v>51</v>
      </c>
      <c r="U34" s="18" t="s">
        <v>50</v>
      </c>
      <c r="V34" s="18" t="s">
        <v>50</v>
      </c>
      <c r="W34" s="18" t="s">
        <v>50</v>
      </c>
      <c r="X34" s="18" t="s">
        <v>50</v>
      </c>
      <c r="Y34" s="18" t="s">
        <v>51</v>
      </c>
      <c r="Z34" s="17" t="s">
        <v>51</v>
      </c>
      <c r="AA34" s="17" t="s">
        <v>51</v>
      </c>
      <c r="AB34" s="17" t="s">
        <v>50</v>
      </c>
      <c r="AC34" s="17" t="s">
        <v>50</v>
      </c>
      <c r="AD34" s="18" t="s">
        <v>51</v>
      </c>
      <c r="AE34" s="18" t="s">
        <v>51</v>
      </c>
      <c r="AF34" s="17" t="s">
        <v>50</v>
      </c>
      <c r="AG34" s="17"/>
      <c r="AH34" s="17"/>
      <c r="AI34" s="17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ht="16.5" customHeight="1">
      <c r="A35" s="14" t="s">
        <v>229</v>
      </c>
      <c r="B35" s="15" t="s">
        <v>231</v>
      </c>
      <c r="C35" s="25">
        <v>1.000548531E9</v>
      </c>
      <c r="D35" s="17" t="s">
        <v>175</v>
      </c>
      <c r="E35" s="22"/>
      <c r="F35" s="18" t="s">
        <v>50</v>
      </c>
      <c r="G35" s="22"/>
      <c r="H35" s="19" t="s">
        <v>51</v>
      </c>
      <c r="I35" s="22"/>
      <c r="J35" s="19" t="s">
        <v>51</v>
      </c>
      <c r="K35" s="22"/>
      <c r="L35" s="19" t="s">
        <v>51</v>
      </c>
      <c r="M35" s="22"/>
      <c r="N35" s="22"/>
      <c r="O35" s="18" t="s">
        <v>50</v>
      </c>
      <c r="P35" s="18" t="s">
        <v>50</v>
      </c>
      <c r="Q35" s="18" t="s">
        <v>51</v>
      </c>
      <c r="R35" s="18" t="s">
        <v>50</v>
      </c>
      <c r="S35" s="18" t="s">
        <v>50</v>
      </c>
      <c r="T35" s="18" t="s">
        <v>50</v>
      </c>
      <c r="U35" s="18" t="s">
        <v>51</v>
      </c>
      <c r="V35" s="18" t="s">
        <v>51</v>
      </c>
      <c r="W35" s="18" t="s">
        <v>50</v>
      </c>
      <c r="X35" s="18" t="s">
        <v>50</v>
      </c>
      <c r="Y35" s="18" t="s">
        <v>51</v>
      </c>
      <c r="Z35" s="18" t="s">
        <v>50</v>
      </c>
      <c r="AA35" s="18" t="s">
        <v>50</v>
      </c>
      <c r="AB35" s="17" t="s">
        <v>51</v>
      </c>
      <c r="AC35" s="17" t="s">
        <v>51</v>
      </c>
      <c r="AD35" s="17" t="s">
        <v>50</v>
      </c>
      <c r="AE35" s="17" t="s">
        <v>50</v>
      </c>
      <c r="AF35" s="17" t="s">
        <v>51</v>
      </c>
      <c r="AG35" s="17"/>
      <c r="AH35" s="17"/>
      <c r="AI35" s="17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ht="16.5" customHeight="1">
      <c r="A36" s="14" t="s">
        <v>234</v>
      </c>
      <c r="B36" s="15" t="s">
        <v>236</v>
      </c>
      <c r="C36" s="25">
        <v>1.025886622E9</v>
      </c>
      <c r="D36" s="17" t="s">
        <v>49</v>
      </c>
      <c r="E36" s="19" t="s">
        <v>51</v>
      </c>
      <c r="F36" s="22"/>
      <c r="G36" s="18" t="s">
        <v>50</v>
      </c>
      <c r="H36" s="19" t="s">
        <v>51</v>
      </c>
      <c r="I36" s="22"/>
      <c r="J36" s="22"/>
      <c r="K36" s="22"/>
      <c r="L36" s="19" t="s">
        <v>51</v>
      </c>
      <c r="M36" s="22"/>
      <c r="N36" s="19" t="s">
        <v>51</v>
      </c>
      <c r="O36" s="18" t="s">
        <v>51</v>
      </c>
      <c r="P36" s="18" t="s">
        <v>51</v>
      </c>
      <c r="Q36" s="18" t="s">
        <v>50</v>
      </c>
      <c r="R36" s="18" t="s">
        <v>50</v>
      </c>
      <c r="S36" s="18" t="s">
        <v>50</v>
      </c>
      <c r="T36" s="18" t="s">
        <v>51</v>
      </c>
      <c r="U36" s="18" t="s">
        <v>50</v>
      </c>
      <c r="V36" s="18" t="s">
        <v>50</v>
      </c>
      <c r="W36" s="18" t="s">
        <v>50</v>
      </c>
      <c r="X36" s="18" t="s">
        <v>190</v>
      </c>
      <c r="Y36" s="18" t="s">
        <v>51</v>
      </c>
      <c r="Z36" s="17" t="s">
        <v>51</v>
      </c>
      <c r="AA36" s="17" t="s">
        <v>51</v>
      </c>
      <c r="AB36" s="17" t="s">
        <v>50</v>
      </c>
      <c r="AC36" s="17" t="s">
        <v>50</v>
      </c>
      <c r="AD36" s="18" t="s">
        <v>51</v>
      </c>
      <c r="AE36" s="17" t="s">
        <v>50</v>
      </c>
      <c r="AF36" s="17" t="s">
        <v>50</v>
      </c>
      <c r="AG36" s="17"/>
      <c r="AH36" s="17"/>
      <c r="AI36" s="17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ht="16.5" customHeight="1">
      <c r="A37" s="53" t="s">
        <v>237</v>
      </c>
      <c r="B37" s="15" t="s">
        <v>240</v>
      </c>
      <c r="C37" s="25">
        <v>1.025887911E9</v>
      </c>
      <c r="D37" s="17" t="s">
        <v>118</v>
      </c>
      <c r="E37" s="22"/>
      <c r="F37" s="22"/>
      <c r="G37" s="22"/>
      <c r="H37" s="19" t="s">
        <v>51</v>
      </c>
      <c r="I37" s="22"/>
      <c r="J37" s="22"/>
      <c r="K37" s="19" t="s">
        <v>51</v>
      </c>
      <c r="L37" s="18" t="s">
        <v>51</v>
      </c>
      <c r="M37" s="57"/>
      <c r="N37" s="19" t="s">
        <v>51</v>
      </c>
      <c r="O37" s="18" t="s">
        <v>50</v>
      </c>
      <c r="P37" s="18" t="s">
        <v>50</v>
      </c>
      <c r="Q37" s="18" t="s">
        <v>51</v>
      </c>
      <c r="R37" s="18" t="s">
        <v>50</v>
      </c>
      <c r="S37" s="18" t="s">
        <v>50</v>
      </c>
      <c r="T37" s="18" t="s">
        <v>50</v>
      </c>
      <c r="U37" s="18" t="s">
        <v>51</v>
      </c>
      <c r="V37" s="18" t="s">
        <v>51</v>
      </c>
      <c r="W37" s="18" t="s">
        <v>50</v>
      </c>
      <c r="X37" s="18" t="s">
        <v>50</v>
      </c>
      <c r="Y37" s="18" t="s">
        <v>51</v>
      </c>
      <c r="Z37" s="17" t="s">
        <v>52</v>
      </c>
      <c r="AA37" s="17" t="s">
        <v>52</v>
      </c>
      <c r="AB37" s="17" t="s">
        <v>50</v>
      </c>
      <c r="AC37" s="17" t="s">
        <v>50</v>
      </c>
      <c r="AD37" s="17" t="s">
        <v>52</v>
      </c>
      <c r="AE37" s="17" t="s">
        <v>52</v>
      </c>
      <c r="AF37" s="17" t="s">
        <v>50</v>
      </c>
      <c r="AG37" s="17"/>
      <c r="AH37" s="17"/>
      <c r="AI37" s="17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ht="16.5" customHeight="1">
      <c r="A38" s="44" t="s">
        <v>242</v>
      </c>
      <c r="B38" s="15" t="s">
        <v>244</v>
      </c>
      <c r="C38" s="25">
        <v>1.020113476E9</v>
      </c>
      <c r="D38" s="17" t="s">
        <v>49</v>
      </c>
      <c r="E38" s="22"/>
      <c r="F38" s="22"/>
      <c r="G38" s="18" t="s">
        <v>50</v>
      </c>
      <c r="H38" s="20" t="s">
        <v>52</v>
      </c>
      <c r="I38" s="22"/>
      <c r="J38" s="22"/>
      <c r="K38" s="19" t="s">
        <v>51</v>
      </c>
      <c r="L38" s="22"/>
      <c r="M38" s="22"/>
      <c r="N38" s="19" t="s">
        <v>51</v>
      </c>
      <c r="O38" s="36" t="s">
        <v>125</v>
      </c>
      <c r="P38" s="18" t="s">
        <v>50</v>
      </c>
      <c r="Q38" s="18" t="s">
        <v>50</v>
      </c>
      <c r="R38" s="36" t="s">
        <v>125</v>
      </c>
      <c r="S38" s="18" t="s">
        <v>50</v>
      </c>
      <c r="T38" s="18" t="s">
        <v>50</v>
      </c>
      <c r="U38" s="36" t="s">
        <v>125</v>
      </c>
      <c r="V38" s="18" t="s">
        <v>50</v>
      </c>
      <c r="W38" s="36" t="s">
        <v>125</v>
      </c>
      <c r="X38" s="18" t="s">
        <v>50</v>
      </c>
      <c r="Y38" s="18" t="s">
        <v>51</v>
      </c>
      <c r="Z38" s="17" t="s">
        <v>52</v>
      </c>
      <c r="AA38" s="17" t="s">
        <v>52</v>
      </c>
      <c r="AB38" s="17" t="s">
        <v>50</v>
      </c>
      <c r="AC38" s="17" t="s">
        <v>50</v>
      </c>
      <c r="AD38" s="18" t="s">
        <v>51</v>
      </c>
      <c r="AE38" s="17" t="s">
        <v>50</v>
      </c>
      <c r="AF38" s="17" t="s">
        <v>52</v>
      </c>
      <c r="AG38" s="17"/>
      <c r="AH38" s="17"/>
      <c r="AI38" s="17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ht="16.5" customHeight="1">
      <c r="A39" s="14" t="s">
        <v>246</v>
      </c>
      <c r="B39" s="15" t="s">
        <v>249</v>
      </c>
      <c r="C39" s="58">
        <v>1.034918934E9</v>
      </c>
      <c r="D39" s="26" t="s">
        <v>250</v>
      </c>
      <c r="E39" s="18" t="s">
        <v>50</v>
      </c>
      <c r="F39" s="22"/>
      <c r="G39" s="18" t="s">
        <v>50</v>
      </c>
      <c r="H39" s="22"/>
      <c r="I39" s="18" t="s">
        <v>50</v>
      </c>
      <c r="J39" s="22"/>
      <c r="K39" s="18" t="s">
        <v>52</v>
      </c>
      <c r="L39" s="22"/>
      <c r="M39" s="18" t="s">
        <v>52</v>
      </c>
      <c r="N39" s="22"/>
      <c r="O39" s="27" t="s">
        <v>100</v>
      </c>
      <c r="P39" s="18" t="s">
        <v>50</v>
      </c>
      <c r="Q39" s="27" t="s">
        <v>100</v>
      </c>
      <c r="R39" s="18" t="s">
        <v>50</v>
      </c>
      <c r="S39" s="18" t="s">
        <v>50</v>
      </c>
      <c r="T39" s="27" t="s">
        <v>100</v>
      </c>
      <c r="U39" s="27" t="s">
        <v>100</v>
      </c>
      <c r="V39" s="18" t="s">
        <v>50</v>
      </c>
      <c r="W39" s="27" t="s">
        <v>100</v>
      </c>
      <c r="X39" s="18" t="s">
        <v>50</v>
      </c>
      <c r="Y39" s="18" t="s">
        <v>50</v>
      </c>
      <c r="Z39" s="27" t="s">
        <v>100</v>
      </c>
      <c r="AA39" s="27" t="s">
        <v>100</v>
      </c>
      <c r="AB39" s="17" t="s">
        <v>50</v>
      </c>
      <c r="AC39" s="17" t="s">
        <v>50</v>
      </c>
      <c r="AD39" s="17" t="s">
        <v>52</v>
      </c>
      <c r="AE39" s="17" t="s">
        <v>50</v>
      </c>
      <c r="AF39" s="17" t="s">
        <v>51</v>
      </c>
      <c r="AG39" s="17"/>
      <c r="AH39" s="17"/>
      <c r="AI39" s="17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ht="16.5" customHeight="1">
      <c r="A40" s="14" t="s">
        <v>252</v>
      </c>
      <c r="B40" s="15" t="s">
        <v>255</v>
      </c>
      <c r="C40" s="25">
        <v>1.000411471E9</v>
      </c>
      <c r="D40" s="17" t="s">
        <v>256</v>
      </c>
      <c r="E40" s="22"/>
      <c r="F40" s="22"/>
      <c r="G40" s="18" t="s">
        <v>52</v>
      </c>
      <c r="H40" s="22"/>
      <c r="I40" s="19" t="s">
        <v>51</v>
      </c>
      <c r="J40" s="22"/>
      <c r="K40" s="20" t="s">
        <v>52</v>
      </c>
      <c r="L40" s="22"/>
      <c r="M40" s="18" t="s">
        <v>52</v>
      </c>
      <c r="N40" s="22"/>
      <c r="O40" s="27" t="s">
        <v>100</v>
      </c>
      <c r="P40" s="18" t="s">
        <v>50</v>
      </c>
      <c r="Q40" s="27" t="s">
        <v>100</v>
      </c>
      <c r="R40" s="18" t="s">
        <v>50</v>
      </c>
      <c r="S40" s="18" t="s">
        <v>50</v>
      </c>
      <c r="T40" s="27" t="s">
        <v>100</v>
      </c>
      <c r="U40" s="27" t="s">
        <v>100</v>
      </c>
      <c r="V40" s="18" t="s">
        <v>50</v>
      </c>
      <c r="W40" s="27" t="s">
        <v>100</v>
      </c>
      <c r="X40" s="18" t="s">
        <v>50</v>
      </c>
      <c r="Y40" s="18" t="s">
        <v>50</v>
      </c>
      <c r="Z40" s="17" t="s">
        <v>52</v>
      </c>
      <c r="AA40" s="17" t="s">
        <v>51</v>
      </c>
      <c r="AB40" s="17" t="s">
        <v>50</v>
      </c>
      <c r="AC40" s="17" t="s">
        <v>50</v>
      </c>
      <c r="AD40" s="17" t="s">
        <v>52</v>
      </c>
      <c r="AE40" s="17" t="s">
        <v>50</v>
      </c>
      <c r="AF40" s="17" t="s">
        <v>52</v>
      </c>
      <c r="AG40" s="17"/>
      <c r="AH40" s="17"/>
      <c r="AI40" s="17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ht="16.5" customHeight="1">
      <c r="A41" s="14" t="s">
        <v>258</v>
      </c>
      <c r="B41" s="15" t="s">
        <v>259</v>
      </c>
      <c r="C41" s="25">
        <v>1.03498784E9</v>
      </c>
      <c r="D41" s="17" t="s">
        <v>49</v>
      </c>
      <c r="E41" s="22"/>
      <c r="F41" s="22"/>
      <c r="G41" s="22"/>
      <c r="H41" s="19" t="s">
        <v>51</v>
      </c>
      <c r="I41" s="22"/>
      <c r="J41" s="19" t="s">
        <v>51</v>
      </c>
      <c r="K41" s="18" t="s">
        <v>50</v>
      </c>
      <c r="L41" s="22"/>
      <c r="M41" s="22"/>
      <c r="N41" s="18" t="s">
        <v>52</v>
      </c>
      <c r="O41" s="18" t="s">
        <v>50</v>
      </c>
      <c r="P41" s="18" t="s">
        <v>50</v>
      </c>
      <c r="Q41" s="18" t="s">
        <v>50</v>
      </c>
      <c r="R41" s="18" t="s">
        <v>52</v>
      </c>
      <c r="S41" s="18" t="s">
        <v>50</v>
      </c>
      <c r="T41" s="18" t="s">
        <v>52</v>
      </c>
      <c r="U41" s="18" t="s">
        <v>50</v>
      </c>
      <c r="V41" s="18" t="s">
        <v>50</v>
      </c>
      <c r="W41" s="18" t="s">
        <v>50</v>
      </c>
      <c r="X41" s="18" t="s">
        <v>50</v>
      </c>
      <c r="Y41" s="18" t="s">
        <v>52</v>
      </c>
      <c r="Z41" s="17" t="s">
        <v>51</v>
      </c>
      <c r="AA41" s="17" t="s">
        <v>51</v>
      </c>
      <c r="AB41" s="17" t="s">
        <v>50</v>
      </c>
      <c r="AC41" s="17" t="s">
        <v>50</v>
      </c>
      <c r="AD41" s="17" t="s">
        <v>52</v>
      </c>
      <c r="AE41" s="17" t="s">
        <v>50</v>
      </c>
      <c r="AF41" s="17" t="s">
        <v>52</v>
      </c>
      <c r="AG41" s="17"/>
      <c r="AH41" s="17"/>
      <c r="AI41" s="17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ht="16.5" customHeight="1">
      <c r="A42" s="14" t="s">
        <v>260</v>
      </c>
      <c r="B42" s="15" t="s">
        <v>262</v>
      </c>
      <c r="C42" s="25">
        <v>1.017929273E9</v>
      </c>
      <c r="D42" s="17" t="s">
        <v>49</v>
      </c>
      <c r="E42" s="18" t="s">
        <v>50</v>
      </c>
      <c r="F42" s="22"/>
      <c r="G42" s="18" t="s">
        <v>50</v>
      </c>
      <c r="H42" s="19" t="s">
        <v>52</v>
      </c>
      <c r="I42" s="19" t="s">
        <v>51</v>
      </c>
      <c r="J42" s="22"/>
      <c r="K42" s="62" t="s">
        <v>51</v>
      </c>
      <c r="L42" s="22"/>
      <c r="M42" s="19" t="s">
        <v>51</v>
      </c>
      <c r="N42" s="22"/>
      <c r="O42" s="18" t="s">
        <v>51</v>
      </c>
      <c r="P42" s="18" t="s">
        <v>51</v>
      </c>
      <c r="Q42" s="18" t="s">
        <v>50</v>
      </c>
      <c r="R42" s="18" t="s">
        <v>52</v>
      </c>
      <c r="S42" s="18" t="s">
        <v>50</v>
      </c>
      <c r="T42" s="18" t="s">
        <v>50</v>
      </c>
      <c r="U42" s="18" t="s">
        <v>50</v>
      </c>
      <c r="V42" s="18" t="s">
        <v>50</v>
      </c>
      <c r="W42" s="18" t="s">
        <v>51</v>
      </c>
      <c r="X42" s="18" t="s">
        <v>51</v>
      </c>
      <c r="Y42" s="18" t="s">
        <v>50</v>
      </c>
      <c r="Z42" s="17" t="s">
        <v>50</v>
      </c>
      <c r="AA42" s="17" t="s">
        <v>50</v>
      </c>
      <c r="AB42" s="17" t="s">
        <v>51</v>
      </c>
      <c r="AC42" s="17" t="s">
        <v>51</v>
      </c>
      <c r="AD42" s="17" t="s">
        <v>50</v>
      </c>
      <c r="AE42" s="17" t="s">
        <v>50</v>
      </c>
      <c r="AF42" s="17" t="s">
        <v>51</v>
      </c>
      <c r="AG42" s="17"/>
      <c r="AH42" s="17"/>
      <c r="AI42" s="17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  <row r="43" ht="16.5" customHeight="1">
      <c r="A43" s="14" t="s">
        <v>265</v>
      </c>
      <c r="B43" s="15" t="s">
        <v>268</v>
      </c>
      <c r="C43" s="25">
        <v>1.040574294E9</v>
      </c>
      <c r="D43" s="17" t="s">
        <v>124</v>
      </c>
      <c r="E43" s="19" t="s">
        <v>51</v>
      </c>
      <c r="F43" s="22"/>
      <c r="G43" s="63"/>
      <c r="H43" s="22"/>
      <c r="I43" s="19" t="s">
        <v>51</v>
      </c>
      <c r="J43" s="22"/>
      <c r="K43" s="18" t="s">
        <v>50</v>
      </c>
      <c r="L43" s="19" t="s">
        <v>51</v>
      </c>
      <c r="M43" s="22"/>
      <c r="N43" s="19" t="s">
        <v>51</v>
      </c>
      <c r="O43" s="36" t="s">
        <v>125</v>
      </c>
      <c r="P43" s="18" t="s">
        <v>50</v>
      </c>
      <c r="Q43" s="36" t="s">
        <v>125</v>
      </c>
      <c r="R43" s="18" t="s">
        <v>50</v>
      </c>
      <c r="S43" s="36" t="s">
        <v>125</v>
      </c>
      <c r="T43" s="18" t="s">
        <v>50</v>
      </c>
      <c r="U43" s="36" t="s">
        <v>125</v>
      </c>
      <c r="V43" s="36" t="s">
        <v>125</v>
      </c>
      <c r="W43" s="36" t="s">
        <v>125</v>
      </c>
      <c r="X43" s="18" t="s">
        <v>50</v>
      </c>
      <c r="Y43" s="18" t="s">
        <v>51</v>
      </c>
      <c r="Z43" s="19" t="s">
        <v>51</v>
      </c>
      <c r="AA43" s="17" t="s">
        <v>52</v>
      </c>
      <c r="AB43" s="17" t="s">
        <v>50</v>
      </c>
      <c r="AC43" s="17" t="s">
        <v>50</v>
      </c>
      <c r="AD43" s="17" t="s">
        <v>50</v>
      </c>
      <c r="AE43" s="17" t="s">
        <v>50</v>
      </c>
      <c r="AF43" s="17" t="s">
        <v>52</v>
      </c>
      <c r="AG43" s="17"/>
      <c r="AH43" s="17"/>
      <c r="AI43" s="17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</row>
    <row r="44" ht="16.5" customHeight="1">
      <c r="A44" s="14" t="s">
        <v>270</v>
      </c>
      <c r="B44" s="15" t="s">
        <v>271</v>
      </c>
      <c r="C44" s="25">
        <v>1.04057022E9</v>
      </c>
      <c r="D44" s="64" t="s">
        <v>90</v>
      </c>
      <c r="E44" s="22"/>
      <c r="F44" s="18" t="s">
        <v>50</v>
      </c>
      <c r="G44" s="22"/>
      <c r="H44" s="22"/>
      <c r="I44" s="22"/>
      <c r="J44" s="22"/>
      <c r="K44" s="22"/>
      <c r="L44" s="22"/>
      <c r="M44" s="18" t="s">
        <v>52</v>
      </c>
      <c r="N44" s="18" t="s">
        <v>50</v>
      </c>
      <c r="O44" s="27" t="s">
        <v>100</v>
      </c>
      <c r="P44" s="27" t="s">
        <v>100</v>
      </c>
      <c r="Q44" s="27" t="s">
        <v>100</v>
      </c>
      <c r="R44" s="27" t="s">
        <v>100</v>
      </c>
      <c r="S44" s="27" t="s">
        <v>100</v>
      </c>
      <c r="T44" s="18" t="s">
        <v>52</v>
      </c>
      <c r="U44" s="27" t="s">
        <v>100</v>
      </c>
      <c r="V44" s="27" t="s">
        <v>100</v>
      </c>
      <c r="W44" s="27" t="s">
        <v>100</v>
      </c>
      <c r="X44" s="27" t="s">
        <v>100</v>
      </c>
      <c r="Y44" s="18" t="s">
        <v>52</v>
      </c>
      <c r="Z44" s="18" t="s">
        <v>50</v>
      </c>
      <c r="AA44" s="17" t="s">
        <v>50</v>
      </c>
      <c r="AB44" s="17" t="s">
        <v>52</v>
      </c>
      <c r="AC44" s="17" t="s">
        <v>52</v>
      </c>
      <c r="AD44" s="17" t="s">
        <v>50</v>
      </c>
      <c r="AE44" s="17" t="s">
        <v>50</v>
      </c>
      <c r="AF44" s="17" t="s">
        <v>52</v>
      </c>
      <c r="AG44" s="17"/>
      <c r="AH44" s="17"/>
      <c r="AI44" s="17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</row>
    <row r="45" ht="16.5" customHeight="1">
      <c r="A45" s="65"/>
      <c r="B45" s="15" t="s">
        <v>274</v>
      </c>
      <c r="C45" s="25">
        <v>1.038868428E9</v>
      </c>
      <c r="D45" s="66"/>
      <c r="E45" s="18"/>
      <c r="F45" s="22"/>
      <c r="G45" s="34"/>
      <c r="H45" s="22"/>
      <c r="I45" s="22"/>
      <c r="J45" s="22"/>
      <c r="K45" s="19" t="s">
        <v>51</v>
      </c>
      <c r="L45" s="19" t="s">
        <v>51</v>
      </c>
      <c r="M45" s="22"/>
      <c r="N45" s="19" t="s">
        <v>51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19" t="s">
        <v>51</v>
      </c>
      <c r="AC45" s="17"/>
      <c r="AD45" s="17"/>
      <c r="AE45" s="17"/>
      <c r="AF45" s="17"/>
      <c r="AG45" s="17"/>
      <c r="AH45" s="17"/>
      <c r="AI45" s="17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</row>
    <row r="46" ht="16.5" customHeight="1">
      <c r="A46" s="44" t="s">
        <v>276</v>
      </c>
      <c r="B46" s="15" t="s">
        <v>278</v>
      </c>
      <c r="C46" s="25">
        <v>1.04035541E9</v>
      </c>
      <c r="D46" s="17" t="s">
        <v>49</v>
      </c>
      <c r="E46" s="18" t="s">
        <v>50</v>
      </c>
      <c r="F46" s="22"/>
      <c r="G46" s="34" t="s">
        <v>50</v>
      </c>
      <c r="H46" s="19" t="s">
        <v>51</v>
      </c>
      <c r="I46" s="19" t="s">
        <v>50</v>
      </c>
      <c r="J46" s="18" t="s">
        <v>51</v>
      </c>
      <c r="K46" s="18" t="s">
        <v>50</v>
      </c>
      <c r="L46" s="22"/>
      <c r="M46" s="18" t="s">
        <v>50</v>
      </c>
      <c r="N46" s="19" t="s">
        <v>51</v>
      </c>
      <c r="O46" s="18" t="s">
        <v>50</v>
      </c>
      <c r="P46" s="18" t="s">
        <v>50</v>
      </c>
      <c r="Q46" s="18" t="s">
        <v>51</v>
      </c>
      <c r="R46" s="18" t="s">
        <v>50</v>
      </c>
      <c r="S46" s="18" t="s">
        <v>50</v>
      </c>
      <c r="T46" s="18" t="s">
        <v>50</v>
      </c>
      <c r="U46" s="18" t="s">
        <v>51</v>
      </c>
      <c r="V46" s="18" t="s">
        <v>51</v>
      </c>
      <c r="W46" s="18" t="s">
        <v>50</v>
      </c>
      <c r="X46" s="18" t="s">
        <v>50</v>
      </c>
      <c r="Y46" s="18" t="s">
        <v>50</v>
      </c>
      <c r="Z46" s="17" t="s">
        <v>51</v>
      </c>
      <c r="AA46" s="17" t="s">
        <v>50</v>
      </c>
      <c r="AB46" s="17" t="s">
        <v>52</v>
      </c>
      <c r="AC46" s="17" t="s">
        <v>52</v>
      </c>
      <c r="AD46" s="17" t="s">
        <v>50</v>
      </c>
      <c r="AE46" s="17" t="s">
        <v>50</v>
      </c>
      <c r="AF46" s="17" t="s">
        <v>52</v>
      </c>
      <c r="AG46" s="17"/>
      <c r="AH46" s="17"/>
      <c r="AI46" s="17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</row>
    <row r="47" ht="16.5" customHeight="1">
      <c r="A47" s="49" t="s">
        <v>279</v>
      </c>
      <c r="B47" s="15" t="s">
        <v>281</v>
      </c>
      <c r="C47" s="25">
        <v>1.000889013E9</v>
      </c>
      <c r="D47" s="17" t="s">
        <v>127</v>
      </c>
      <c r="E47" s="19" t="s">
        <v>162</v>
      </c>
      <c r="F47" s="22"/>
      <c r="G47" s="22"/>
      <c r="H47" s="22"/>
      <c r="I47" s="19" t="s">
        <v>162</v>
      </c>
      <c r="J47" s="22"/>
      <c r="K47" s="22"/>
      <c r="L47" s="19" t="s">
        <v>51</v>
      </c>
      <c r="M47" s="22"/>
      <c r="N47" s="22"/>
      <c r="O47" s="18" t="s">
        <v>50</v>
      </c>
      <c r="P47" s="18" t="s">
        <v>50</v>
      </c>
      <c r="Q47" s="18" t="s">
        <v>51</v>
      </c>
      <c r="R47" s="18" t="s">
        <v>50</v>
      </c>
      <c r="S47" s="18" t="s">
        <v>50</v>
      </c>
      <c r="T47" s="18" t="s">
        <v>50</v>
      </c>
      <c r="U47" s="18" t="s">
        <v>51</v>
      </c>
      <c r="V47" s="18" t="s">
        <v>51</v>
      </c>
      <c r="W47" s="18" t="s">
        <v>50</v>
      </c>
      <c r="X47" s="18" t="s">
        <v>51</v>
      </c>
      <c r="Y47" s="18" t="s">
        <v>50</v>
      </c>
      <c r="Z47" s="18" t="s">
        <v>50</v>
      </c>
      <c r="AA47" s="17" t="s">
        <v>51</v>
      </c>
      <c r="AB47" s="17" t="s">
        <v>51</v>
      </c>
      <c r="AC47" s="17" t="s">
        <v>51</v>
      </c>
      <c r="AD47" s="17" t="s">
        <v>50</v>
      </c>
      <c r="AE47" s="17" t="s">
        <v>50</v>
      </c>
      <c r="AF47" s="17" t="s">
        <v>51</v>
      </c>
      <c r="AG47" s="17"/>
      <c r="AH47" s="17"/>
      <c r="AI47" s="17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</row>
    <row r="48" ht="16.5" customHeight="1">
      <c r="A48" s="14" t="s">
        <v>283</v>
      </c>
      <c r="B48" s="15" t="s">
        <v>285</v>
      </c>
      <c r="C48" s="25">
        <v>1.125276976E9</v>
      </c>
      <c r="D48" s="17" t="s">
        <v>127</v>
      </c>
      <c r="E48" s="19" t="s">
        <v>51</v>
      </c>
      <c r="F48" s="18" t="s">
        <v>50</v>
      </c>
      <c r="G48" s="22"/>
      <c r="H48" s="19" t="s">
        <v>51</v>
      </c>
      <c r="I48" s="22"/>
      <c r="J48" s="15"/>
      <c r="K48" s="22"/>
      <c r="L48" s="19" t="s">
        <v>51</v>
      </c>
      <c r="M48" s="22"/>
      <c r="N48" s="22"/>
      <c r="O48" s="18" t="s">
        <v>50</v>
      </c>
      <c r="P48" s="18" t="s">
        <v>50</v>
      </c>
      <c r="Q48" s="18" t="s">
        <v>50</v>
      </c>
      <c r="R48" s="18" t="s">
        <v>51</v>
      </c>
      <c r="S48" s="18" t="s">
        <v>51</v>
      </c>
      <c r="T48" s="18" t="s">
        <v>50</v>
      </c>
      <c r="U48" s="18" t="s">
        <v>50</v>
      </c>
      <c r="V48" s="18" t="s">
        <v>50</v>
      </c>
      <c r="W48" s="18" t="s">
        <v>51</v>
      </c>
      <c r="X48" s="18" t="s">
        <v>50</v>
      </c>
      <c r="Y48" s="18" t="s">
        <v>50</v>
      </c>
      <c r="Z48" s="17" t="s">
        <v>51</v>
      </c>
      <c r="AA48" s="17" t="s">
        <v>50</v>
      </c>
      <c r="AB48" s="17" t="s">
        <v>51</v>
      </c>
      <c r="AC48" s="17" t="s">
        <v>51</v>
      </c>
      <c r="AD48" s="17" t="s">
        <v>50</v>
      </c>
      <c r="AE48" s="17" t="s">
        <v>50</v>
      </c>
      <c r="AF48" s="17" t="s">
        <v>51</v>
      </c>
      <c r="AG48" s="17"/>
      <c r="AH48" s="17"/>
      <c r="AI48" s="17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</row>
    <row r="49" ht="16.5" customHeight="1">
      <c r="A49" s="14" t="s">
        <v>286</v>
      </c>
      <c r="B49" s="15" t="s">
        <v>288</v>
      </c>
      <c r="C49" s="25">
        <v>1.038867205E9</v>
      </c>
      <c r="D49" s="17" t="s">
        <v>127</v>
      </c>
      <c r="E49" s="19" t="s">
        <v>51</v>
      </c>
      <c r="F49" s="18" t="s">
        <v>50</v>
      </c>
      <c r="G49" s="22"/>
      <c r="H49" s="22"/>
      <c r="I49" s="19" t="s">
        <v>289</v>
      </c>
      <c r="J49" s="22"/>
      <c r="K49" s="22"/>
      <c r="L49" s="19" t="s">
        <v>51</v>
      </c>
      <c r="M49" s="22"/>
      <c r="N49" s="22"/>
      <c r="O49" s="18" t="s">
        <v>50</v>
      </c>
      <c r="P49" s="18" t="s">
        <v>50</v>
      </c>
      <c r="Q49" s="18" t="s">
        <v>50</v>
      </c>
      <c r="R49" s="18" t="s">
        <v>51</v>
      </c>
      <c r="S49" s="18" t="s">
        <v>51</v>
      </c>
      <c r="T49" s="18" t="s">
        <v>50</v>
      </c>
      <c r="U49" s="18" t="s">
        <v>50</v>
      </c>
      <c r="V49" s="18" t="s">
        <v>50</v>
      </c>
      <c r="W49" s="18" t="s">
        <v>51</v>
      </c>
      <c r="X49" s="18" t="s">
        <v>50</v>
      </c>
      <c r="Y49" s="18" t="s">
        <v>50</v>
      </c>
      <c r="Z49" s="17" t="s">
        <v>51</v>
      </c>
      <c r="AA49" s="17" t="s">
        <v>50</v>
      </c>
      <c r="AB49" s="17" t="s">
        <v>51</v>
      </c>
      <c r="AC49" s="17" t="s">
        <v>51</v>
      </c>
      <c r="AD49" s="17" t="s">
        <v>50</v>
      </c>
      <c r="AE49" s="17" t="s">
        <v>50</v>
      </c>
      <c r="AF49" s="17" t="s">
        <v>51</v>
      </c>
      <c r="AG49" s="17"/>
      <c r="AH49" s="17"/>
      <c r="AI49" s="17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</row>
    <row r="50" ht="16.5" customHeight="1">
      <c r="A50" s="54" t="s">
        <v>292</v>
      </c>
      <c r="B50" s="15" t="s">
        <v>294</v>
      </c>
      <c r="C50" s="25">
        <v>1.040572295E9</v>
      </c>
      <c r="D50" s="17" t="s">
        <v>124</v>
      </c>
      <c r="E50" s="19" t="s">
        <v>51</v>
      </c>
      <c r="F50" s="22"/>
      <c r="G50" s="19" t="s">
        <v>163</v>
      </c>
      <c r="H50" s="19" t="s">
        <v>51</v>
      </c>
      <c r="I50" s="22"/>
      <c r="J50" s="22"/>
      <c r="K50" s="19" t="s">
        <v>144</v>
      </c>
      <c r="L50" s="22"/>
      <c r="M50" s="22"/>
      <c r="N50" s="22"/>
      <c r="O50" s="18" t="s">
        <v>50</v>
      </c>
      <c r="P50" s="18" t="s">
        <v>50</v>
      </c>
      <c r="Q50" s="18" t="s">
        <v>50</v>
      </c>
      <c r="R50" s="18" t="s">
        <v>52</v>
      </c>
      <c r="S50" s="18" t="s">
        <v>51</v>
      </c>
      <c r="T50" s="18" t="s">
        <v>50</v>
      </c>
      <c r="U50" s="18" t="s">
        <v>50</v>
      </c>
      <c r="V50" s="18" t="s">
        <v>50</v>
      </c>
      <c r="W50" s="18" t="s">
        <v>51</v>
      </c>
      <c r="X50" s="18" t="s">
        <v>50</v>
      </c>
      <c r="Y50" s="18" t="s">
        <v>50</v>
      </c>
      <c r="Z50" s="17" t="s">
        <v>51</v>
      </c>
      <c r="AA50" s="17" t="s">
        <v>50</v>
      </c>
      <c r="AB50" s="17" t="s">
        <v>52</v>
      </c>
      <c r="AC50" s="17" t="s">
        <v>52</v>
      </c>
      <c r="AD50" s="17" t="s">
        <v>50</v>
      </c>
      <c r="AE50" s="17" t="s">
        <v>50</v>
      </c>
      <c r="AF50" s="17" t="s">
        <v>51</v>
      </c>
      <c r="AG50" s="17"/>
      <c r="AH50" s="17"/>
      <c r="AI50" s="17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</row>
    <row r="51" ht="16.5" customHeight="1">
      <c r="A51" s="53" t="s">
        <v>296</v>
      </c>
      <c r="B51" s="15" t="s">
        <v>298</v>
      </c>
      <c r="C51" s="25">
        <v>1.036448195E9</v>
      </c>
      <c r="D51" s="26" t="s">
        <v>90</v>
      </c>
      <c r="E51" s="18" t="s">
        <v>233</v>
      </c>
      <c r="F51" s="18" t="s">
        <v>233</v>
      </c>
      <c r="G51" s="18" t="s">
        <v>50</v>
      </c>
      <c r="H51" s="20" t="s">
        <v>99</v>
      </c>
      <c r="I51" s="20" t="s">
        <v>52</v>
      </c>
      <c r="J51" s="20" t="s">
        <v>52</v>
      </c>
      <c r="K51" s="20" t="s">
        <v>235</v>
      </c>
      <c r="L51" s="22"/>
      <c r="M51" s="18" t="s">
        <v>50</v>
      </c>
      <c r="N51" s="18" t="s">
        <v>52</v>
      </c>
      <c r="O51" s="35" t="s">
        <v>111</v>
      </c>
      <c r="P51" s="35" t="s">
        <v>111</v>
      </c>
      <c r="Q51" s="18" t="s">
        <v>50</v>
      </c>
      <c r="R51" s="35" t="s">
        <v>111</v>
      </c>
      <c r="S51" s="35" t="s">
        <v>111</v>
      </c>
      <c r="T51" s="18" t="s">
        <v>50</v>
      </c>
      <c r="U51" s="18" t="s">
        <v>50</v>
      </c>
      <c r="V51" s="18" t="s">
        <v>50</v>
      </c>
      <c r="W51" s="18" t="s">
        <v>52</v>
      </c>
      <c r="X51" s="18" t="s">
        <v>50</v>
      </c>
      <c r="Y51" s="18" t="s">
        <v>50</v>
      </c>
      <c r="Z51" s="17" t="s">
        <v>50</v>
      </c>
      <c r="AA51" s="17" t="s">
        <v>50</v>
      </c>
      <c r="AB51" s="17" t="s">
        <v>52</v>
      </c>
      <c r="AC51" s="17" t="s">
        <v>52</v>
      </c>
      <c r="AD51" s="17" t="s">
        <v>50</v>
      </c>
      <c r="AE51" s="17" t="s">
        <v>50</v>
      </c>
      <c r="AF51" s="17" t="s">
        <v>50</v>
      </c>
      <c r="AG51" s="17"/>
      <c r="AH51" s="17"/>
      <c r="AI51" s="17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</row>
    <row r="52" ht="16.5" customHeight="1">
      <c r="A52" s="14" t="s">
        <v>299</v>
      </c>
      <c r="B52" s="15" t="s">
        <v>301</v>
      </c>
      <c r="C52" s="25">
        <v>1.034918501E9</v>
      </c>
      <c r="D52" s="17" t="s">
        <v>175</v>
      </c>
      <c r="E52" s="22"/>
      <c r="F52" s="19" t="s">
        <v>51</v>
      </c>
      <c r="G52" s="22"/>
      <c r="H52" s="19" t="s">
        <v>51</v>
      </c>
      <c r="I52" s="22"/>
      <c r="J52" s="19" t="s">
        <v>51</v>
      </c>
      <c r="K52" s="17" t="s">
        <v>51</v>
      </c>
      <c r="L52" s="19" t="s">
        <v>51</v>
      </c>
      <c r="M52" s="22"/>
      <c r="N52" s="19" t="s">
        <v>51</v>
      </c>
      <c r="O52" s="18" t="s">
        <v>50</v>
      </c>
      <c r="P52" s="18" t="s">
        <v>50</v>
      </c>
      <c r="Q52" s="18" t="s">
        <v>50</v>
      </c>
      <c r="R52" s="18" t="s">
        <v>51</v>
      </c>
      <c r="S52" s="18" t="s">
        <v>51</v>
      </c>
      <c r="T52" s="18" t="s">
        <v>50</v>
      </c>
      <c r="U52" s="18" t="s">
        <v>50</v>
      </c>
      <c r="V52" s="18" t="s">
        <v>50</v>
      </c>
      <c r="W52" s="18" t="s">
        <v>50</v>
      </c>
      <c r="X52" s="18" t="s">
        <v>50</v>
      </c>
      <c r="Y52" s="18" t="s">
        <v>50</v>
      </c>
      <c r="Z52" s="17" t="s">
        <v>50</v>
      </c>
      <c r="AA52" s="17" t="s">
        <v>50</v>
      </c>
      <c r="AB52" s="17" t="s">
        <v>51</v>
      </c>
      <c r="AC52" s="17" t="s">
        <v>51</v>
      </c>
      <c r="AD52" s="17" t="s">
        <v>50</v>
      </c>
      <c r="AE52" s="17" t="s">
        <v>50</v>
      </c>
      <c r="AF52" s="17" t="s">
        <v>51</v>
      </c>
      <c r="AG52" s="17"/>
      <c r="AH52" s="17"/>
      <c r="AI52" s="17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</row>
    <row r="53" ht="16.5" hidden="1" customHeight="1">
      <c r="A53" s="14" t="s">
        <v>302</v>
      </c>
      <c r="B53" s="15" t="s">
        <v>304</v>
      </c>
      <c r="C53" s="25">
        <v>1.093593032E9</v>
      </c>
      <c r="D53" s="17" t="s">
        <v>124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35" t="s">
        <v>111</v>
      </c>
      <c r="P53" s="18" t="s">
        <v>50</v>
      </c>
      <c r="Q53" s="18" t="s">
        <v>50</v>
      </c>
      <c r="R53" s="35" t="s">
        <v>111</v>
      </c>
      <c r="S53" s="18" t="s">
        <v>50</v>
      </c>
      <c r="T53" s="18" t="s">
        <v>50</v>
      </c>
      <c r="U53" s="18" t="s">
        <v>50</v>
      </c>
      <c r="V53" s="18" t="s">
        <v>50</v>
      </c>
      <c r="W53" s="18" t="s">
        <v>52</v>
      </c>
      <c r="X53" s="18" t="s">
        <v>50</v>
      </c>
      <c r="Y53" s="18" t="s">
        <v>50</v>
      </c>
      <c r="Z53" s="17" t="s">
        <v>50</v>
      </c>
      <c r="AA53" s="17" t="s">
        <v>50</v>
      </c>
      <c r="AB53" s="17" t="s">
        <v>52</v>
      </c>
      <c r="AC53" s="17" t="s">
        <v>52</v>
      </c>
      <c r="AD53" s="17" t="s">
        <v>50</v>
      </c>
      <c r="AE53" s="17" t="s">
        <v>50</v>
      </c>
      <c r="AF53" s="17" t="s">
        <v>51</v>
      </c>
      <c r="AG53" s="17"/>
      <c r="AH53" s="17"/>
      <c r="AI53" s="17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</row>
    <row r="54" ht="16.5" customHeight="1">
      <c r="A54" s="14" t="s">
        <v>305</v>
      </c>
      <c r="B54" s="15" t="s">
        <v>307</v>
      </c>
      <c r="C54" s="25">
        <v>1.022145673E9</v>
      </c>
      <c r="D54" s="17" t="s">
        <v>124</v>
      </c>
      <c r="E54" s="18" t="s">
        <v>50</v>
      </c>
      <c r="F54" s="22"/>
      <c r="G54" s="22"/>
      <c r="H54" s="22"/>
      <c r="I54" s="19" t="s">
        <v>51</v>
      </c>
      <c r="J54" s="22"/>
      <c r="K54" s="19" t="s">
        <v>51</v>
      </c>
      <c r="L54" s="22"/>
      <c r="M54" s="18" t="s">
        <v>52</v>
      </c>
      <c r="N54" s="22"/>
      <c r="O54" s="18" t="s">
        <v>50</v>
      </c>
      <c r="P54" s="18" t="s">
        <v>50</v>
      </c>
      <c r="Q54" s="18" t="s">
        <v>50</v>
      </c>
      <c r="R54" s="18" t="s">
        <v>51</v>
      </c>
      <c r="S54" s="18" t="s">
        <v>50</v>
      </c>
      <c r="T54" s="18" t="s">
        <v>50</v>
      </c>
      <c r="U54" s="18" t="s">
        <v>51</v>
      </c>
      <c r="V54" s="18" t="s">
        <v>51</v>
      </c>
      <c r="W54" s="18" t="s">
        <v>50</v>
      </c>
      <c r="X54" s="18" t="s">
        <v>50</v>
      </c>
      <c r="Y54" s="18" t="s">
        <v>50</v>
      </c>
      <c r="Z54" s="17" t="s">
        <v>50</v>
      </c>
      <c r="AA54" s="17" t="s">
        <v>50</v>
      </c>
      <c r="AB54" s="17" t="s">
        <v>52</v>
      </c>
      <c r="AC54" s="17" t="s">
        <v>51</v>
      </c>
      <c r="AD54" s="17" t="s">
        <v>50</v>
      </c>
      <c r="AE54" s="17" t="s">
        <v>50</v>
      </c>
      <c r="AF54" s="17" t="s">
        <v>51</v>
      </c>
      <c r="AG54" s="17"/>
      <c r="AH54" s="17"/>
      <c r="AI54" s="17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</row>
    <row r="55" ht="16.5" customHeight="1">
      <c r="A55" s="14" t="s">
        <v>309</v>
      </c>
      <c r="B55" s="15" t="s">
        <v>312</v>
      </c>
      <c r="C55" s="25">
        <v>1.027662663E9</v>
      </c>
      <c r="D55" s="17" t="s">
        <v>221</v>
      </c>
      <c r="E55" s="22"/>
      <c r="F55" s="22"/>
      <c r="G55" s="19" t="s">
        <v>52</v>
      </c>
      <c r="H55" s="22"/>
      <c r="I55" s="18" t="s">
        <v>50</v>
      </c>
      <c r="J55" s="22"/>
      <c r="K55" s="19" t="s">
        <v>52</v>
      </c>
      <c r="L55" s="22"/>
      <c r="M55" s="18" t="s">
        <v>52</v>
      </c>
      <c r="N55" s="18" t="s">
        <v>50</v>
      </c>
      <c r="O55" s="27" t="s">
        <v>92</v>
      </c>
      <c r="P55" s="27" t="s">
        <v>100</v>
      </c>
      <c r="Q55" s="18" t="s">
        <v>50</v>
      </c>
      <c r="R55" s="18" t="s">
        <v>50</v>
      </c>
      <c r="S55" s="27" t="s">
        <v>92</v>
      </c>
      <c r="T55" s="18" t="s">
        <v>50</v>
      </c>
      <c r="U55" s="27" t="s">
        <v>100</v>
      </c>
      <c r="V55" s="27" t="s">
        <v>92</v>
      </c>
      <c r="W55" s="18" t="s">
        <v>50</v>
      </c>
      <c r="X55" s="27" t="s">
        <v>100</v>
      </c>
      <c r="Y55" s="18" t="s">
        <v>50</v>
      </c>
      <c r="Z55" s="17" t="s">
        <v>50</v>
      </c>
      <c r="AA55" s="17" t="s">
        <v>50</v>
      </c>
      <c r="AB55" s="17" t="s">
        <v>52</v>
      </c>
      <c r="AC55" s="18" t="s">
        <v>50</v>
      </c>
      <c r="AD55" s="17" t="s">
        <v>50</v>
      </c>
      <c r="AE55" s="17" t="s">
        <v>50</v>
      </c>
      <c r="AF55" s="17" t="s">
        <v>50</v>
      </c>
      <c r="AG55" s="17"/>
      <c r="AH55" s="17"/>
      <c r="AI55" s="17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</row>
    <row r="56" ht="16.5" customHeight="1">
      <c r="A56" s="14" t="s">
        <v>313</v>
      </c>
      <c r="B56" s="17" t="s">
        <v>315</v>
      </c>
      <c r="C56" s="25">
        <v>1.127206552E9</v>
      </c>
      <c r="D56" s="17" t="s">
        <v>104</v>
      </c>
      <c r="E56" s="19" t="s">
        <v>51</v>
      </c>
      <c r="F56" s="22"/>
      <c r="G56" s="19" t="s">
        <v>51</v>
      </c>
      <c r="H56" s="22"/>
      <c r="I56" s="22"/>
      <c r="J56" s="20" t="s">
        <v>52</v>
      </c>
      <c r="K56" s="18" t="s">
        <v>50</v>
      </c>
      <c r="L56" s="22"/>
      <c r="M56" s="50"/>
      <c r="N56" s="22"/>
      <c r="O56" s="18" t="s">
        <v>52</v>
      </c>
      <c r="P56" s="18" t="s">
        <v>50</v>
      </c>
      <c r="Q56" s="18" t="s">
        <v>50</v>
      </c>
      <c r="R56" s="18" t="s">
        <v>50</v>
      </c>
      <c r="S56" s="18" t="s">
        <v>50</v>
      </c>
      <c r="T56" s="18" t="s">
        <v>51</v>
      </c>
      <c r="U56" s="18" t="s">
        <v>50</v>
      </c>
      <c r="V56" s="18" t="s">
        <v>50</v>
      </c>
      <c r="W56" s="18" t="s">
        <v>50</v>
      </c>
      <c r="X56" s="18" t="s">
        <v>50</v>
      </c>
      <c r="Y56" s="18" t="s">
        <v>50</v>
      </c>
      <c r="Z56" s="17" t="s">
        <v>50</v>
      </c>
      <c r="AA56" s="17" t="s">
        <v>50</v>
      </c>
      <c r="AB56" s="17" t="s">
        <v>52</v>
      </c>
      <c r="AC56" s="18" t="s">
        <v>50</v>
      </c>
      <c r="AD56" s="17" t="s">
        <v>50</v>
      </c>
      <c r="AE56" s="17" t="s">
        <v>50</v>
      </c>
      <c r="AF56" s="17" t="s">
        <v>50</v>
      </c>
      <c r="AG56" s="17"/>
      <c r="AH56" s="17"/>
      <c r="AI56" s="17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</row>
    <row r="57" ht="16.5" customHeight="1">
      <c r="A57" s="14" t="s">
        <v>318</v>
      </c>
      <c r="B57" s="15" t="s">
        <v>319</v>
      </c>
      <c r="C57" s="25">
        <v>1.011400138E9</v>
      </c>
      <c r="D57" s="17" t="s">
        <v>124</v>
      </c>
      <c r="E57" s="50"/>
      <c r="F57" s="19" t="s">
        <v>51</v>
      </c>
      <c r="G57" s="22"/>
      <c r="H57" s="19" t="s">
        <v>51</v>
      </c>
      <c r="I57" s="22"/>
      <c r="J57" s="22"/>
      <c r="K57" s="19" t="s">
        <v>51</v>
      </c>
      <c r="L57" s="22"/>
      <c r="M57" s="22"/>
      <c r="N57" s="22"/>
      <c r="O57" s="18" t="s">
        <v>52</v>
      </c>
      <c r="P57" s="18" t="s">
        <v>52</v>
      </c>
      <c r="Q57" s="18" t="s">
        <v>50</v>
      </c>
      <c r="R57" s="18" t="s">
        <v>50</v>
      </c>
      <c r="S57" s="18" t="s">
        <v>50</v>
      </c>
      <c r="T57" s="18" t="s">
        <v>51</v>
      </c>
      <c r="U57" s="18" t="s">
        <v>50</v>
      </c>
      <c r="V57" s="18" t="s">
        <v>50</v>
      </c>
      <c r="W57" s="18" t="s">
        <v>50</v>
      </c>
      <c r="X57" s="18" t="s">
        <v>50</v>
      </c>
      <c r="Y57" s="18" t="s">
        <v>50</v>
      </c>
      <c r="Z57" s="17" t="s">
        <v>50</v>
      </c>
      <c r="AA57" s="17" t="s">
        <v>50</v>
      </c>
      <c r="AB57" s="17" t="s">
        <v>52</v>
      </c>
      <c r="AC57" s="17" t="s">
        <v>52</v>
      </c>
      <c r="AD57" s="17" t="s">
        <v>50</v>
      </c>
      <c r="AE57" s="17" t="s">
        <v>50</v>
      </c>
      <c r="AF57" s="17" t="s">
        <v>50</v>
      </c>
      <c r="AG57" s="17"/>
      <c r="AH57" s="17"/>
      <c r="AI57" s="17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</row>
    <row r="58" ht="16.5" customHeight="1">
      <c r="A58" s="14" t="s">
        <v>320</v>
      </c>
      <c r="B58" s="70" t="s">
        <v>323</v>
      </c>
      <c r="C58" s="25">
        <v>1.017925527E9</v>
      </c>
      <c r="D58" s="17" t="s">
        <v>127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36" t="s">
        <v>324</v>
      </c>
      <c r="P58" s="36" t="s">
        <v>324</v>
      </c>
      <c r="Q58" s="36" t="s">
        <v>324</v>
      </c>
      <c r="R58" s="36" t="s">
        <v>324</v>
      </c>
      <c r="S58" s="36" t="s">
        <v>324</v>
      </c>
      <c r="T58" s="18" t="s">
        <v>50</v>
      </c>
      <c r="U58" s="36" t="s">
        <v>324</v>
      </c>
      <c r="V58" s="36" t="s">
        <v>324</v>
      </c>
      <c r="W58" s="36" t="s">
        <v>324</v>
      </c>
      <c r="X58" s="18" t="s">
        <v>50</v>
      </c>
      <c r="Y58" s="18" t="s">
        <v>50</v>
      </c>
      <c r="Z58" s="17" t="s">
        <v>325</v>
      </c>
      <c r="AA58" s="17" t="s">
        <v>325</v>
      </c>
      <c r="AB58" s="17" t="s">
        <v>325</v>
      </c>
      <c r="AC58" s="17" t="s">
        <v>325</v>
      </c>
      <c r="AD58" s="17" t="s">
        <v>325</v>
      </c>
      <c r="AE58" s="17" t="s">
        <v>325</v>
      </c>
      <c r="AF58" s="17" t="s">
        <v>325</v>
      </c>
      <c r="AG58" s="17" t="s">
        <v>325</v>
      </c>
      <c r="AH58" s="17" t="s">
        <v>325</v>
      </c>
      <c r="AI58" s="17" t="s">
        <v>325</v>
      </c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</row>
    <row r="59" ht="16.5" customHeight="1">
      <c r="A59" s="71"/>
      <c r="B59" s="70" t="s">
        <v>327</v>
      </c>
      <c r="C59" s="51"/>
      <c r="D59" s="22"/>
      <c r="E59" s="22"/>
      <c r="F59" s="22"/>
      <c r="G59" s="22"/>
      <c r="H59" s="19" t="s">
        <v>328</v>
      </c>
      <c r="I59" s="22"/>
      <c r="J59" s="22"/>
      <c r="K59" s="22"/>
      <c r="L59" s="22"/>
      <c r="M59" s="22"/>
      <c r="N59" s="22"/>
      <c r="O59" s="36" t="s">
        <v>324</v>
      </c>
      <c r="P59" s="36" t="s">
        <v>324</v>
      </c>
      <c r="Q59" s="36" t="s">
        <v>324</v>
      </c>
      <c r="R59" s="36" t="s">
        <v>324</v>
      </c>
      <c r="S59" s="36" t="s">
        <v>324</v>
      </c>
      <c r="T59" s="18" t="s">
        <v>50</v>
      </c>
      <c r="U59" s="36" t="s">
        <v>324</v>
      </c>
      <c r="V59" s="36" t="s">
        <v>324</v>
      </c>
      <c r="W59" s="36" t="s">
        <v>324</v>
      </c>
      <c r="X59" s="18" t="s">
        <v>50</v>
      </c>
      <c r="Y59" s="18" t="s">
        <v>50</v>
      </c>
      <c r="Z59" s="17" t="s">
        <v>329</v>
      </c>
      <c r="AA59" s="17" t="s">
        <v>329</v>
      </c>
      <c r="AB59" s="17" t="s">
        <v>51</v>
      </c>
      <c r="AC59" s="17" t="s">
        <v>51</v>
      </c>
      <c r="AD59" s="17" t="s">
        <v>50</v>
      </c>
      <c r="AE59" s="17" t="s">
        <v>50</v>
      </c>
      <c r="AF59" s="17" t="s">
        <v>50</v>
      </c>
      <c r="AG59" s="17"/>
      <c r="AH59" s="17"/>
      <c r="AI59" s="17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</row>
    <row r="60" ht="16.5" customHeight="1">
      <c r="A60" s="72" t="s">
        <v>330</v>
      </c>
      <c r="B60" s="70" t="s">
        <v>333</v>
      </c>
      <c r="C60" s="25">
        <v>1.001227996E9</v>
      </c>
      <c r="D60" s="17" t="s">
        <v>127</v>
      </c>
      <c r="E60" s="22"/>
      <c r="F60" s="19" t="s">
        <v>329</v>
      </c>
      <c r="G60" s="19" t="s">
        <v>328</v>
      </c>
      <c r="H60" s="22"/>
      <c r="I60" s="22"/>
      <c r="J60" s="19" t="s">
        <v>51</v>
      </c>
      <c r="K60" s="19" t="s">
        <v>334</v>
      </c>
      <c r="L60" s="22"/>
      <c r="M60" s="19" t="s">
        <v>329</v>
      </c>
      <c r="N60" s="19" t="s">
        <v>329</v>
      </c>
      <c r="O60" s="18" t="s">
        <v>51</v>
      </c>
      <c r="P60" s="18" t="s">
        <v>51</v>
      </c>
      <c r="Q60" s="18" t="s">
        <v>50</v>
      </c>
      <c r="R60" s="18" t="s">
        <v>50</v>
      </c>
      <c r="S60" s="18" t="s">
        <v>50</v>
      </c>
      <c r="T60" s="18" t="s">
        <v>329</v>
      </c>
      <c r="U60" s="36" t="s">
        <v>324</v>
      </c>
      <c r="V60" s="18" t="s">
        <v>50</v>
      </c>
      <c r="W60" s="36" t="s">
        <v>324</v>
      </c>
      <c r="X60" s="18" t="s">
        <v>50</v>
      </c>
      <c r="Y60" s="18" t="s">
        <v>50</v>
      </c>
      <c r="Z60" s="17" t="s">
        <v>329</v>
      </c>
      <c r="AA60" s="17" t="s">
        <v>329</v>
      </c>
      <c r="AB60" s="17" t="s">
        <v>329</v>
      </c>
      <c r="AC60" s="17" t="s">
        <v>329</v>
      </c>
      <c r="AD60" s="17" t="s">
        <v>50</v>
      </c>
      <c r="AE60" s="17" t="s">
        <v>50</v>
      </c>
      <c r="AF60" s="17" t="s">
        <v>50</v>
      </c>
      <c r="AG60" s="17"/>
      <c r="AH60" s="17"/>
      <c r="AI60" s="17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</row>
    <row r="61" ht="16.5" customHeight="1">
      <c r="A61" s="14" t="s">
        <v>335</v>
      </c>
      <c r="B61" s="70" t="s">
        <v>337</v>
      </c>
      <c r="C61" s="25">
        <v>1.000869829E9</v>
      </c>
      <c r="D61" s="17" t="s">
        <v>127</v>
      </c>
      <c r="E61" s="22"/>
      <c r="F61" s="19" t="s">
        <v>329</v>
      </c>
      <c r="G61" s="22"/>
      <c r="H61" s="19" t="s">
        <v>329</v>
      </c>
      <c r="I61" s="22"/>
      <c r="J61" s="19" t="s">
        <v>329</v>
      </c>
      <c r="K61" s="22"/>
      <c r="L61" s="19" t="s">
        <v>329</v>
      </c>
      <c r="M61" s="22"/>
      <c r="N61" s="22"/>
      <c r="O61" s="18" t="s">
        <v>50</v>
      </c>
      <c r="P61" s="18" t="s">
        <v>50</v>
      </c>
      <c r="Q61" s="18" t="s">
        <v>50</v>
      </c>
      <c r="R61" s="18" t="s">
        <v>51</v>
      </c>
      <c r="S61" s="18" t="s">
        <v>50</v>
      </c>
      <c r="T61" s="18" t="s">
        <v>50</v>
      </c>
      <c r="U61" s="18" t="s">
        <v>50</v>
      </c>
      <c r="V61" s="18" t="s">
        <v>50</v>
      </c>
      <c r="W61" s="18" t="s">
        <v>50</v>
      </c>
      <c r="X61" s="17" t="s">
        <v>50</v>
      </c>
      <c r="Y61" s="17" t="s">
        <v>50</v>
      </c>
      <c r="Z61" s="17" t="s">
        <v>50</v>
      </c>
      <c r="AA61" s="17" t="s">
        <v>50</v>
      </c>
      <c r="AB61" s="17" t="s">
        <v>50</v>
      </c>
      <c r="AC61" s="17" t="s">
        <v>50</v>
      </c>
      <c r="AD61" s="17" t="s">
        <v>50</v>
      </c>
      <c r="AE61" s="17" t="s">
        <v>50</v>
      </c>
      <c r="AF61" s="17" t="s">
        <v>50</v>
      </c>
      <c r="AG61" s="17"/>
      <c r="AH61" s="17"/>
      <c r="AI61" s="17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</row>
    <row r="62" ht="16.5" customHeight="1">
      <c r="A62" s="14" t="s">
        <v>339</v>
      </c>
      <c r="B62" s="70" t="s">
        <v>340</v>
      </c>
      <c r="C62" s="25">
        <v>1.028140164E9</v>
      </c>
      <c r="D62" s="17" t="s">
        <v>127</v>
      </c>
      <c r="E62" s="18" t="s">
        <v>50</v>
      </c>
      <c r="F62" s="18" t="s">
        <v>50</v>
      </c>
      <c r="G62" s="19" t="s">
        <v>341</v>
      </c>
      <c r="H62" s="22"/>
      <c r="I62" s="22"/>
      <c r="J62" s="19" t="s">
        <v>329</v>
      </c>
      <c r="K62" s="19" t="s">
        <v>329</v>
      </c>
      <c r="L62" s="22"/>
      <c r="M62" s="19" t="s">
        <v>329</v>
      </c>
      <c r="N62" s="22"/>
      <c r="O62" s="35" t="s">
        <v>111</v>
      </c>
      <c r="P62" s="18" t="s">
        <v>50</v>
      </c>
      <c r="Q62" s="18" t="s">
        <v>50</v>
      </c>
      <c r="R62" s="35" t="s">
        <v>111</v>
      </c>
      <c r="S62" s="18" t="s">
        <v>50</v>
      </c>
      <c r="T62" s="18" t="s">
        <v>50</v>
      </c>
      <c r="U62" s="18" t="s">
        <v>50</v>
      </c>
      <c r="V62" s="18" t="s">
        <v>50</v>
      </c>
      <c r="W62" s="18" t="s">
        <v>51</v>
      </c>
      <c r="X62" s="18" t="s">
        <v>329</v>
      </c>
      <c r="Y62" s="18" t="s">
        <v>50</v>
      </c>
      <c r="Z62" s="17" t="s">
        <v>50</v>
      </c>
      <c r="AA62" s="17" t="s">
        <v>50</v>
      </c>
      <c r="AB62" s="17" t="s">
        <v>50</v>
      </c>
      <c r="AC62" s="17" t="s">
        <v>329</v>
      </c>
      <c r="AD62" s="17" t="s">
        <v>50</v>
      </c>
      <c r="AE62" s="17" t="s">
        <v>50</v>
      </c>
      <c r="AF62" s="17" t="s">
        <v>50</v>
      </c>
      <c r="AG62" s="17"/>
      <c r="AH62" s="17"/>
      <c r="AI62" s="17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</row>
    <row r="63" ht="16.5" customHeight="1">
      <c r="A63" s="44" t="s">
        <v>344</v>
      </c>
      <c r="B63" s="70" t="s">
        <v>347</v>
      </c>
      <c r="C63" s="25">
        <v>1.038262157E9</v>
      </c>
      <c r="D63" s="17" t="s">
        <v>127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35" t="s">
        <v>348</v>
      </c>
      <c r="P63" s="18" t="s">
        <v>50</v>
      </c>
      <c r="Q63" s="18" t="s">
        <v>50</v>
      </c>
      <c r="R63" s="35" t="s">
        <v>348</v>
      </c>
      <c r="S63" s="18" t="s">
        <v>50</v>
      </c>
      <c r="T63" s="18" t="s">
        <v>50</v>
      </c>
      <c r="U63" s="18" t="s">
        <v>50</v>
      </c>
      <c r="V63" s="18" t="s">
        <v>50</v>
      </c>
      <c r="W63" s="18" t="s">
        <v>50</v>
      </c>
      <c r="X63" s="18" t="s">
        <v>50</v>
      </c>
      <c r="Y63" s="18" t="s">
        <v>50</v>
      </c>
      <c r="Z63" s="17" t="s">
        <v>50</v>
      </c>
      <c r="AA63" s="17" t="s">
        <v>50</v>
      </c>
      <c r="AB63" s="17"/>
      <c r="AC63" s="17"/>
      <c r="AD63" s="17"/>
      <c r="AE63" s="17"/>
      <c r="AF63" s="17" t="s">
        <v>50</v>
      </c>
      <c r="AG63" s="17"/>
      <c r="AH63" s="17"/>
      <c r="AI63" s="17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</row>
    <row r="64" ht="16.5" customHeight="1">
      <c r="A64" s="14" t="s">
        <v>350</v>
      </c>
      <c r="B64" s="70" t="s">
        <v>351</v>
      </c>
      <c r="C64" s="25">
        <v>1.025645687E9</v>
      </c>
      <c r="D64" s="17" t="s">
        <v>127</v>
      </c>
      <c r="E64" s="22"/>
      <c r="F64" s="19" t="s">
        <v>51</v>
      </c>
      <c r="G64" s="22"/>
      <c r="H64" s="22"/>
      <c r="I64" s="22"/>
      <c r="J64" s="19" t="s">
        <v>51</v>
      </c>
      <c r="K64" s="22"/>
      <c r="L64" s="19" t="s">
        <v>329</v>
      </c>
      <c r="M64" s="22"/>
      <c r="N64" s="19" t="s">
        <v>51</v>
      </c>
      <c r="O64" s="35" t="s">
        <v>111</v>
      </c>
      <c r="P64" s="18" t="s">
        <v>50</v>
      </c>
      <c r="Q64" s="18" t="s">
        <v>50</v>
      </c>
      <c r="R64" s="35" t="s">
        <v>111</v>
      </c>
      <c r="S64" s="18" t="s">
        <v>50</v>
      </c>
      <c r="T64" s="18" t="s">
        <v>50</v>
      </c>
      <c r="U64" s="18" t="s">
        <v>50</v>
      </c>
      <c r="V64" s="18" t="s">
        <v>50</v>
      </c>
      <c r="W64" s="18" t="s">
        <v>51</v>
      </c>
      <c r="X64" s="18" t="s">
        <v>329</v>
      </c>
      <c r="Y64" s="36" t="s">
        <v>324</v>
      </c>
      <c r="Z64" s="17" t="s">
        <v>50</v>
      </c>
      <c r="AA64" s="17" t="s">
        <v>50</v>
      </c>
      <c r="AB64" s="17" t="s">
        <v>329</v>
      </c>
      <c r="AC64" s="17" t="s">
        <v>329</v>
      </c>
      <c r="AD64" s="17" t="s">
        <v>50</v>
      </c>
      <c r="AE64" s="17" t="s">
        <v>50</v>
      </c>
      <c r="AF64" s="17" t="s">
        <v>50</v>
      </c>
      <c r="AG64" s="17"/>
      <c r="AH64" s="17"/>
      <c r="AI64" s="17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</row>
    <row r="65" ht="16.5" customHeight="1">
      <c r="A65" s="53" t="s">
        <v>353</v>
      </c>
      <c r="B65" s="70" t="s">
        <v>356</v>
      </c>
      <c r="C65" s="25">
        <v>1.007111473E9</v>
      </c>
      <c r="D65" s="17" t="s">
        <v>127</v>
      </c>
      <c r="E65" s="19" t="s">
        <v>51</v>
      </c>
      <c r="F65" s="18" t="s">
        <v>50</v>
      </c>
      <c r="G65" s="17" t="s">
        <v>51</v>
      </c>
      <c r="H65" s="22"/>
      <c r="I65" s="22"/>
      <c r="J65" s="22"/>
      <c r="K65" s="22"/>
      <c r="L65" s="22"/>
      <c r="M65" s="19" t="s">
        <v>329</v>
      </c>
      <c r="N65" s="22"/>
      <c r="O65" s="36" t="s">
        <v>125</v>
      </c>
      <c r="P65" s="18" t="s">
        <v>50</v>
      </c>
      <c r="Q65" s="18" t="s">
        <v>50</v>
      </c>
      <c r="R65" s="36" t="s">
        <v>125</v>
      </c>
      <c r="S65" s="18" t="s">
        <v>50</v>
      </c>
      <c r="T65" s="18" t="s">
        <v>50</v>
      </c>
      <c r="U65" s="36" t="s">
        <v>125</v>
      </c>
      <c r="V65" s="18" t="s">
        <v>50</v>
      </c>
      <c r="W65" s="36" t="s">
        <v>125</v>
      </c>
      <c r="X65" s="18" t="s">
        <v>50</v>
      </c>
      <c r="Y65" s="18" t="s">
        <v>50</v>
      </c>
      <c r="Z65" s="17" t="s">
        <v>50</v>
      </c>
      <c r="AA65" s="17" t="s">
        <v>50</v>
      </c>
      <c r="AB65" s="17" t="s">
        <v>329</v>
      </c>
      <c r="AC65" s="17" t="s">
        <v>329</v>
      </c>
      <c r="AD65" s="17" t="s">
        <v>50</v>
      </c>
      <c r="AE65" s="17" t="s">
        <v>50</v>
      </c>
      <c r="AF65" s="17" t="s">
        <v>50</v>
      </c>
      <c r="AG65" s="17"/>
      <c r="AH65" s="17"/>
      <c r="AI65" s="17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</row>
    <row r="66" ht="16.5" customHeight="1">
      <c r="A66" s="14" t="s">
        <v>357</v>
      </c>
      <c r="B66" s="70" t="s">
        <v>358</v>
      </c>
      <c r="C66" s="25">
        <v>1.027740864E9</v>
      </c>
      <c r="D66" s="17" t="s">
        <v>127</v>
      </c>
      <c r="E66" s="22"/>
      <c r="F66" s="19" t="s">
        <v>359</v>
      </c>
      <c r="G66" s="22"/>
      <c r="H66" s="22"/>
      <c r="I66" s="19" t="s">
        <v>360</v>
      </c>
      <c r="J66" s="22"/>
      <c r="K66" s="17" t="s">
        <v>51</v>
      </c>
      <c r="L66" s="22"/>
      <c r="M66" s="22"/>
      <c r="N66" s="19" t="s">
        <v>329</v>
      </c>
      <c r="O66" s="18" t="s">
        <v>50</v>
      </c>
      <c r="P66" s="18" t="s">
        <v>50</v>
      </c>
      <c r="Q66" s="18" t="s">
        <v>50</v>
      </c>
      <c r="R66" s="18" t="s">
        <v>51</v>
      </c>
      <c r="S66" s="18" t="s">
        <v>50</v>
      </c>
      <c r="T66" s="18" t="s">
        <v>50</v>
      </c>
      <c r="U66" s="18" t="s">
        <v>50</v>
      </c>
      <c r="V66" s="18" t="s">
        <v>50</v>
      </c>
      <c r="W66" s="18" t="s">
        <v>50</v>
      </c>
      <c r="X66" s="18" t="s">
        <v>51</v>
      </c>
      <c r="Y66" s="18" t="s">
        <v>329</v>
      </c>
      <c r="Z66" s="17" t="s">
        <v>50</v>
      </c>
      <c r="AA66" s="17" t="s">
        <v>50</v>
      </c>
      <c r="AB66" s="17" t="s">
        <v>50</v>
      </c>
      <c r="AC66" s="17" t="s">
        <v>50</v>
      </c>
      <c r="AD66" s="17" t="s">
        <v>329</v>
      </c>
      <c r="AE66" s="17" t="s">
        <v>329</v>
      </c>
      <c r="AF66" s="17" t="s">
        <v>50</v>
      </c>
      <c r="AG66" s="17"/>
      <c r="AH66" s="17"/>
      <c r="AI66" s="17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</row>
    <row r="67" ht="16.5" customHeight="1">
      <c r="A67" s="14" t="s">
        <v>362</v>
      </c>
      <c r="B67" s="70" t="s">
        <v>365</v>
      </c>
      <c r="C67" s="25">
        <v>1.039448695E9</v>
      </c>
      <c r="D67" s="17" t="s">
        <v>127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36" t="s">
        <v>324</v>
      </c>
      <c r="P67" s="36" t="s">
        <v>324</v>
      </c>
      <c r="Q67" s="36" t="s">
        <v>324</v>
      </c>
      <c r="R67" s="36" t="s">
        <v>324</v>
      </c>
      <c r="S67" s="36" t="s">
        <v>324</v>
      </c>
      <c r="T67" s="36" t="s">
        <v>324</v>
      </c>
      <c r="U67" s="36" t="s">
        <v>324</v>
      </c>
      <c r="V67" s="36" t="s">
        <v>324</v>
      </c>
      <c r="W67" s="36" t="s">
        <v>324</v>
      </c>
      <c r="X67" s="18" t="s">
        <v>50</v>
      </c>
      <c r="Y67" s="18" t="s">
        <v>50</v>
      </c>
      <c r="Z67" s="19" t="s">
        <v>329</v>
      </c>
      <c r="AA67" s="19" t="s">
        <v>329</v>
      </c>
      <c r="AB67" s="19" t="s">
        <v>329</v>
      </c>
      <c r="AC67" s="17" t="s">
        <v>50</v>
      </c>
      <c r="AD67" s="17" t="s">
        <v>329</v>
      </c>
      <c r="AE67" s="17" t="s">
        <v>329</v>
      </c>
      <c r="AF67" s="17" t="s">
        <v>50</v>
      </c>
      <c r="AG67" s="17"/>
      <c r="AH67" s="17"/>
      <c r="AI67" s="17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</row>
    <row r="68" ht="16.5" customHeight="1">
      <c r="A68" s="14" t="s">
        <v>366</v>
      </c>
      <c r="B68" s="70" t="s">
        <v>369</v>
      </c>
      <c r="C68" s="25">
        <v>1.036449826E9</v>
      </c>
      <c r="D68" s="17" t="s">
        <v>127</v>
      </c>
      <c r="E68" s="18" t="s">
        <v>50</v>
      </c>
      <c r="F68" s="22"/>
      <c r="G68" s="19" t="s">
        <v>51</v>
      </c>
      <c r="H68" s="22"/>
      <c r="I68" s="19" t="s">
        <v>329</v>
      </c>
      <c r="J68" s="22"/>
      <c r="K68" s="19" t="s">
        <v>329</v>
      </c>
      <c r="L68" s="22"/>
      <c r="M68" s="19" t="s">
        <v>51</v>
      </c>
      <c r="N68" s="22"/>
      <c r="O68" s="35" t="s">
        <v>111</v>
      </c>
      <c r="P68" s="18" t="s">
        <v>50</v>
      </c>
      <c r="Q68" s="18" t="s">
        <v>50</v>
      </c>
      <c r="R68" s="35" t="s">
        <v>111</v>
      </c>
      <c r="S68" s="18" t="s">
        <v>50</v>
      </c>
      <c r="T68" s="18" t="s">
        <v>50</v>
      </c>
      <c r="U68" s="18" t="s">
        <v>50</v>
      </c>
      <c r="V68" s="18" t="s">
        <v>50</v>
      </c>
      <c r="W68" s="18" t="s">
        <v>50</v>
      </c>
      <c r="X68" s="18" t="s">
        <v>51</v>
      </c>
      <c r="Y68" s="18" t="s">
        <v>329</v>
      </c>
      <c r="Z68" s="17" t="s">
        <v>50</v>
      </c>
      <c r="AA68" s="17" t="s">
        <v>50</v>
      </c>
      <c r="AB68" s="17" t="s">
        <v>50</v>
      </c>
      <c r="AC68" s="17" t="s">
        <v>50</v>
      </c>
      <c r="AD68" s="17" t="s">
        <v>329</v>
      </c>
      <c r="AE68" s="17" t="s">
        <v>50</v>
      </c>
      <c r="AF68" s="17" t="s">
        <v>50</v>
      </c>
      <c r="AG68" s="17"/>
      <c r="AH68" s="17"/>
      <c r="AI68" s="17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</row>
    <row r="69" ht="16.5" customHeight="1">
      <c r="A69" s="14" t="s">
        <v>370</v>
      </c>
      <c r="B69" s="79" t="s">
        <v>372</v>
      </c>
      <c r="C69" s="25">
        <v>1.038263363E9</v>
      </c>
      <c r="D69" s="17" t="s">
        <v>49</v>
      </c>
      <c r="E69" s="19" t="s">
        <v>329</v>
      </c>
      <c r="F69" s="22"/>
      <c r="G69" s="17" t="s">
        <v>51</v>
      </c>
      <c r="H69" s="22"/>
      <c r="I69" s="22"/>
      <c r="J69" s="22"/>
      <c r="K69" s="22"/>
      <c r="L69" s="19" t="s">
        <v>51</v>
      </c>
      <c r="M69" s="17" t="s">
        <v>51</v>
      </c>
      <c r="N69" s="22"/>
      <c r="O69" s="18" t="s">
        <v>51</v>
      </c>
      <c r="P69" s="18" t="s">
        <v>51</v>
      </c>
      <c r="Q69" s="18" t="s">
        <v>50</v>
      </c>
      <c r="R69" s="18" t="s">
        <v>50</v>
      </c>
      <c r="S69" s="18" t="s">
        <v>50</v>
      </c>
      <c r="T69" s="18" t="s">
        <v>51</v>
      </c>
      <c r="U69" s="18" t="s">
        <v>51</v>
      </c>
      <c r="V69" s="18" t="s">
        <v>51</v>
      </c>
      <c r="W69" s="18" t="s">
        <v>50</v>
      </c>
      <c r="X69" s="18" t="s">
        <v>329</v>
      </c>
      <c r="Y69" s="18" t="s">
        <v>50</v>
      </c>
      <c r="Z69" s="17" t="s">
        <v>329</v>
      </c>
      <c r="AA69" s="17" t="s">
        <v>329</v>
      </c>
      <c r="AB69" s="17" t="s">
        <v>50</v>
      </c>
      <c r="AC69" s="17" t="s">
        <v>50</v>
      </c>
      <c r="AD69" s="18" t="s">
        <v>52</v>
      </c>
      <c r="AE69" s="18" t="s">
        <v>52</v>
      </c>
      <c r="AF69" s="17" t="s">
        <v>50</v>
      </c>
      <c r="AG69" s="17"/>
      <c r="AH69" s="17"/>
      <c r="AI69" s="17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</row>
    <row r="70" ht="16.5" customHeight="1">
      <c r="A70" s="14" t="s">
        <v>374</v>
      </c>
      <c r="B70" s="79" t="s">
        <v>377</v>
      </c>
      <c r="C70" s="25">
        <v>1.03886706E9</v>
      </c>
      <c r="D70" s="17" t="s">
        <v>221</v>
      </c>
      <c r="E70" s="19" t="s">
        <v>329</v>
      </c>
      <c r="F70" s="22"/>
      <c r="G70" s="22"/>
      <c r="H70" s="19" t="s">
        <v>51</v>
      </c>
      <c r="I70" s="18" t="s">
        <v>50</v>
      </c>
      <c r="J70" s="22"/>
      <c r="K70" s="22"/>
      <c r="L70" s="18" t="s">
        <v>52</v>
      </c>
      <c r="M70" s="18" t="s">
        <v>52</v>
      </c>
      <c r="N70" s="22"/>
      <c r="O70" s="18" t="s">
        <v>50</v>
      </c>
      <c r="P70" s="18" t="s">
        <v>50</v>
      </c>
      <c r="Q70" s="18" t="s">
        <v>50</v>
      </c>
      <c r="R70" s="18" t="s">
        <v>52</v>
      </c>
      <c r="S70" s="18" t="s">
        <v>50</v>
      </c>
      <c r="T70" s="18" t="s">
        <v>50</v>
      </c>
      <c r="U70" s="18" t="s">
        <v>50</v>
      </c>
      <c r="V70" s="18" t="s">
        <v>50</v>
      </c>
      <c r="W70" s="18" t="s">
        <v>50</v>
      </c>
      <c r="X70" s="18" t="s">
        <v>52</v>
      </c>
      <c r="Y70" s="18" t="s">
        <v>52</v>
      </c>
      <c r="Z70" s="17" t="s">
        <v>50</v>
      </c>
      <c r="AA70" s="17" t="s">
        <v>50</v>
      </c>
      <c r="AB70" s="18" t="s">
        <v>52</v>
      </c>
      <c r="AC70" s="18" t="s">
        <v>50</v>
      </c>
      <c r="AD70" s="17" t="s">
        <v>50</v>
      </c>
      <c r="AE70" s="17" t="s">
        <v>50</v>
      </c>
      <c r="AF70" s="17" t="s">
        <v>329</v>
      </c>
      <c r="AG70" s="17"/>
      <c r="AH70" s="17"/>
      <c r="AI70" s="17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</row>
    <row r="71" ht="16.5" customHeight="1">
      <c r="A71" s="14" t="s">
        <v>379</v>
      </c>
      <c r="B71" s="79" t="s">
        <v>380</v>
      </c>
      <c r="C71" s="25">
        <v>1.002127074E9</v>
      </c>
      <c r="D71" s="17" t="s">
        <v>127</v>
      </c>
      <c r="E71" s="19" t="s">
        <v>51</v>
      </c>
      <c r="F71" s="18" t="s">
        <v>50</v>
      </c>
      <c r="G71" s="19" t="s">
        <v>329</v>
      </c>
      <c r="H71" s="22"/>
      <c r="I71" s="19" t="s">
        <v>329</v>
      </c>
      <c r="J71" s="22"/>
      <c r="K71" s="17" t="s">
        <v>51</v>
      </c>
      <c r="L71" s="22"/>
      <c r="M71" s="22"/>
      <c r="N71" s="19" t="s">
        <v>329</v>
      </c>
      <c r="O71" s="18" t="s">
        <v>50</v>
      </c>
      <c r="P71" s="18" t="s">
        <v>50</v>
      </c>
      <c r="Q71" s="18" t="s">
        <v>50</v>
      </c>
      <c r="R71" s="18" t="s">
        <v>50</v>
      </c>
      <c r="S71" s="18" t="s">
        <v>50</v>
      </c>
      <c r="T71" s="18" t="s">
        <v>51</v>
      </c>
      <c r="U71" s="18" t="s">
        <v>51</v>
      </c>
      <c r="V71" s="18" t="s">
        <v>51</v>
      </c>
      <c r="W71" s="18" t="s">
        <v>50</v>
      </c>
      <c r="X71" s="18" t="s">
        <v>50</v>
      </c>
      <c r="Y71" s="18" t="s">
        <v>50</v>
      </c>
      <c r="Z71" s="17" t="s">
        <v>50</v>
      </c>
      <c r="AA71" s="17" t="s">
        <v>50</v>
      </c>
      <c r="AB71" s="17" t="s">
        <v>51</v>
      </c>
      <c r="AC71" s="17"/>
      <c r="AD71" s="17" t="s">
        <v>50</v>
      </c>
      <c r="AE71" s="17" t="s">
        <v>50</v>
      </c>
      <c r="AF71" s="17" t="s">
        <v>50</v>
      </c>
      <c r="AG71" s="17"/>
      <c r="AH71" s="17"/>
      <c r="AI71" s="17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</row>
    <row r="72" ht="16.5" customHeight="1">
      <c r="A72" s="14" t="s">
        <v>382</v>
      </c>
      <c r="B72" s="70" t="s">
        <v>385</v>
      </c>
      <c r="C72" s="25">
        <v>1.020106083E9</v>
      </c>
      <c r="D72" s="17" t="s">
        <v>127</v>
      </c>
      <c r="E72" s="22"/>
      <c r="F72" s="19" t="s">
        <v>51</v>
      </c>
      <c r="G72" s="22"/>
      <c r="H72" s="19" t="s">
        <v>329</v>
      </c>
      <c r="I72" s="22"/>
      <c r="J72" s="19" t="s">
        <v>51</v>
      </c>
      <c r="K72" s="22"/>
      <c r="L72" s="18" t="s">
        <v>51</v>
      </c>
      <c r="M72" s="22"/>
      <c r="N72" s="19" t="s">
        <v>51</v>
      </c>
      <c r="O72" s="35" t="s">
        <v>111</v>
      </c>
      <c r="P72" s="35" t="s">
        <v>111</v>
      </c>
      <c r="Q72" s="18" t="s">
        <v>50</v>
      </c>
      <c r="R72" s="35" t="s">
        <v>111</v>
      </c>
      <c r="S72" s="35" t="s">
        <v>111</v>
      </c>
      <c r="T72" s="18" t="s">
        <v>50</v>
      </c>
      <c r="U72" s="18" t="s">
        <v>50</v>
      </c>
      <c r="V72" s="18" t="s">
        <v>50</v>
      </c>
      <c r="W72" s="18" t="s">
        <v>50</v>
      </c>
      <c r="X72" s="80" t="s">
        <v>387</v>
      </c>
      <c r="Y72" s="80" t="s">
        <v>387</v>
      </c>
      <c r="Z72" s="80" t="s">
        <v>387</v>
      </c>
      <c r="AA72" s="80" t="s">
        <v>387</v>
      </c>
      <c r="AB72" s="80" t="s">
        <v>387</v>
      </c>
      <c r="AC72" s="80" t="s">
        <v>387</v>
      </c>
      <c r="AD72" s="80" t="s">
        <v>387</v>
      </c>
      <c r="AE72" s="80" t="s">
        <v>387</v>
      </c>
      <c r="AF72" s="80" t="s">
        <v>387</v>
      </c>
      <c r="AG72" s="17"/>
      <c r="AH72" s="17"/>
      <c r="AI72" s="17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</row>
    <row r="73" ht="16.5" customHeight="1">
      <c r="A73" s="14" t="s">
        <v>388</v>
      </c>
      <c r="B73" s="70" t="s">
        <v>389</v>
      </c>
      <c r="C73" s="25">
        <v>1.022003649E9</v>
      </c>
      <c r="D73" s="17" t="s">
        <v>124</v>
      </c>
      <c r="E73" s="22"/>
      <c r="F73" s="22"/>
      <c r="G73" s="22"/>
      <c r="H73" s="22"/>
      <c r="I73" s="19" t="s">
        <v>329</v>
      </c>
      <c r="J73" s="22"/>
      <c r="K73" s="19" t="s">
        <v>334</v>
      </c>
      <c r="L73" s="22"/>
      <c r="M73" s="19" t="s">
        <v>391</v>
      </c>
      <c r="N73" s="22"/>
      <c r="O73" s="18" t="s">
        <v>50</v>
      </c>
      <c r="P73" s="18" t="s">
        <v>50</v>
      </c>
      <c r="Q73" s="18" t="s">
        <v>50</v>
      </c>
      <c r="R73" s="18" t="s">
        <v>50</v>
      </c>
      <c r="S73" s="18" t="s">
        <v>50</v>
      </c>
      <c r="T73" s="18" t="s">
        <v>50</v>
      </c>
      <c r="U73" s="18" t="s">
        <v>50</v>
      </c>
      <c r="V73" s="18" t="s">
        <v>50</v>
      </c>
      <c r="W73" s="18" t="s">
        <v>50</v>
      </c>
      <c r="X73" s="18" t="s">
        <v>50</v>
      </c>
      <c r="Y73" s="18" t="s">
        <v>50</v>
      </c>
      <c r="Z73" s="17" t="s">
        <v>50</v>
      </c>
      <c r="AA73" s="17" t="s">
        <v>50</v>
      </c>
      <c r="AB73" s="17" t="s">
        <v>50</v>
      </c>
      <c r="AC73" s="17" t="s">
        <v>50</v>
      </c>
      <c r="AD73" s="17" t="s">
        <v>50</v>
      </c>
      <c r="AE73" s="17" t="s">
        <v>50</v>
      </c>
      <c r="AF73" s="17" t="s">
        <v>50</v>
      </c>
      <c r="AG73" s="17"/>
      <c r="AH73" s="17"/>
      <c r="AI73" s="17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</row>
    <row r="74" ht="16.5" customHeight="1">
      <c r="A74" s="14" t="s">
        <v>392</v>
      </c>
      <c r="B74" s="79" t="s">
        <v>394</v>
      </c>
      <c r="C74" s="25">
        <v>1.07650306E9</v>
      </c>
      <c r="D74" s="17" t="s">
        <v>124</v>
      </c>
      <c r="E74" s="19" t="s">
        <v>329</v>
      </c>
      <c r="F74" s="22"/>
      <c r="G74" s="22"/>
      <c r="H74" s="17" t="s">
        <v>51</v>
      </c>
      <c r="I74" s="17"/>
      <c r="J74" s="22"/>
      <c r="K74" s="22"/>
      <c r="L74" s="22"/>
      <c r="M74" s="19" t="s">
        <v>51</v>
      </c>
      <c r="N74" s="22"/>
      <c r="O74" s="22"/>
      <c r="P74" s="36" t="s">
        <v>324</v>
      </c>
      <c r="Q74" s="22"/>
      <c r="R74" s="22"/>
      <c r="S74" s="22"/>
      <c r="T74" s="18" t="s">
        <v>51</v>
      </c>
      <c r="U74" s="22"/>
      <c r="V74" s="22"/>
      <c r="W74" s="22"/>
      <c r="X74" s="22"/>
      <c r="Y74" s="18" t="s">
        <v>50</v>
      </c>
      <c r="Z74" s="17" t="s">
        <v>165</v>
      </c>
      <c r="AA74" s="17"/>
      <c r="AB74" s="17" t="s">
        <v>165</v>
      </c>
      <c r="AC74" s="17" t="s">
        <v>51</v>
      </c>
      <c r="AD74" s="17" t="s">
        <v>50</v>
      </c>
      <c r="AE74" s="17" t="s">
        <v>50</v>
      </c>
      <c r="AF74" s="17" t="s">
        <v>50</v>
      </c>
      <c r="AG74" s="17"/>
      <c r="AH74" s="17"/>
      <c r="AI74" s="17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</row>
    <row r="75" ht="16.5" customHeight="1">
      <c r="A75" s="14" t="s">
        <v>396</v>
      </c>
      <c r="B75" s="79" t="s">
        <v>397</v>
      </c>
      <c r="C75" s="25">
        <v>1.000868495E9</v>
      </c>
      <c r="D75" s="17" t="s">
        <v>127</v>
      </c>
      <c r="E75" s="22"/>
      <c r="F75" s="22"/>
      <c r="G75" s="19" t="s">
        <v>329</v>
      </c>
      <c r="H75" s="22"/>
      <c r="I75" s="17" t="s">
        <v>51</v>
      </c>
      <c r="J75" s="22"/>
      <c r="K75" s="17" t="s">
        <v>51</v>
      </c>
      <c r="L75" s="22"/>
      <c r="M75" s="17" t="s">
        <v>51</v>
      </c>
      <c r="N75" s="22"/>
      <c r="O75" s="18" t="s">
        <v>50</v>
      </c>
      <c r="P75" s="18" t="s">
        <v>50</v>
      </c>
      <c r="Q75" s="18" t="s">
        <v>50</v>
      </c>
      <c r="R75" s="18" t="s">
        <v>51</v>
      </c>
      <c r="S75" s="18" t="s">
        <v>50</v>
      </c>
      <c r="T75" s="18" t="s">
        <v>50</v>
      </c>
      <c r="U75" s="18" t="s">
        <v>50</v>
      </c>
      <c r="V75" s="18" t="s">
        <v>50</v>
      </c>
      <c r="W75" s="18" t="s">
        <v>50</v>
      </c>
      <c r="X75" s="18" t="s">
        <v>51</v>
      </c>
      <c r="Y75" s="18" t="s">
        <v>51</v>
      </c>
      <c r="Z75" s="17" t="s">
        <v>50</v>
      </c>
      <c r="AA75" s="17" t="s">
        <v>50</v>
      </c>
      <c r="AB75" s="17" t="s">
        <v>51</v>
      </c>
      <c r="AC75" s="17" t="s">
        <v>51</v>
      </c>
      <c r="AD75" s="17" t="s">
        <v>50</v>
      </c>
      <c r="AE75" s="17" t="s">
        <v>50</v>
      </c>
      <c r="AF75" s="17" t="s">
        <v>329</v>
      </c>
      <c r="AG75" s="17"/>
      <c r="AH75" s="17"/>
      <c r="AI75" s="17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</row>
    <row r="76" ht="16.5" customHeight="1">
      <c r="A76" s="14" t="s">
        <v>398</v>
      </c>
      <c r="B76" s="70" t="s">
        <v>401</v>
      </c>
      <c r="C76" s="25">
        <v>1.000444914E9</v>
      </c>
      <c r="D76" s="17" t="s">
        <v>124</v>
      </c>
      <c r="E76" s="22"/>
      <c r="F76" s="19" t="s">
        <v>402</v>
      </c>
      <c r="G76" s="19" t="s">
        <v>50</v>
      </c>
      <c r="H76" s="19" t="s">
        <v>329</v>
      </c>
      <c r="I76" s="22"/>
      <c r="J76" s="19" t="s">
        <v>329</v>
      </c>
      <c r="K76" s="22"/>
      <c r="L76" s="19" t="s">
        <v>329</v>
      </c>
      <c r="M76" s="22"/>
      <c r="N76" s="19" t="s">
        <v>329</v>
      </c>
      <c r="O76" s="18" t="s">
        <v>50</v>
      </c>
      <c r="P76" s="18" t="s">
        <v>50</v>
      </c>
      <c r="Q76" s="18" t="s">
        <v>50</v>
      </c>
      <c r="R76" s="18" t="s">
        <v>329</v>
      </c>
      <c r="S76" s="18" t="s">
        <v>50</v>
      </c>
      <c r="T76" s="18" t="s">
        <v>329</v>
      </c>
      <c r="U76" s="18" t="s">
        <v>50</v>
      </c>
      <c r="V76" s="18" t="s">
        <v>50</v>
      </c>
      <c r="W76" s="18" t="s">
        <v>50</v>
      </c>
      <c r="X76" s="18" t="s">
        <v>50</v>
      </c>
      <c r="Y76" s="18" t="s">
        <v>50</v>
      </c>
      <c r="Z76" s="17" t="s">
        <v>329</v>
      </c>
      <c r="AA76" s="17" t="s">
        <v>329</v>
      </c>
      <c r="AB76" s="17" t="s">
        <v>50</v>
      </c>
      <c r="AC76" s="17" t="s">
        <v>50</v>
      </c>
      <c r="AD76" s="17" t="s">
        <v>50</v>
      </c>
      <c r="AE76" s="17" t="s">
        <v>50</v>
      </c>
      <c r="AF76" s="17" t="s">
        <v>50</v>
      </c>
      <c r="AG76" s="17"/>
      <c r="AH76" s="17"/>
      <c r="AI76" s="17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</row>
    <row r="77" ht="16.5" customHeight="1">
      <c r="A77" s="31" t="s">
        <v>404</v>
      </c>
      <c r="B77" s="79" t="s">
        <v>407</v>
      </c>
      <c r="C77" s="25">
        <v>1.021924804E9</v>
      </c>
      <c r="D77" s="17" t="s">
        <v>124</v>
      </c>
      <c r="E77" s="22"/>
      <c r="F77" s="22"/>
      <c r="G77" s="22"/>
      <c r="H77" s="82"/>
      <c r="I77" s="22"/>
      <c r="J77" s="22"/>
      <c r="K77" s="22"/>
      <c r="L77" s="19" t="s">
        <v>51</v>
      </c>
      <c r="M77" s="22"/>
      <c r="N77" s="19" t="s">
        <v>51</v>
      </c>
      <c r="O77" s="18" t="s">
        <v>50</v>
      </c>
      <c r="P77" s="18" t="s">
        <v>50</v>
      </c>
      <c r="Q77" s="18" t="s">
        <v>51</v>
      </c>
      <c r="R77" s="18" t="s">
        <v>50</v>
      </c>
      <c r="S77" s="18" t="s">
        <v>50</v>
      </c>
      <c r="T77" s="18" t="s">
        <v>50</v>
      </c>
      <c r="U77" s="18" t="s">
        <v>51</v>
      </c>
      <c r="V77" s="18" t="s">
        <v>51</v>
      </c>
      <c r="W77" s="18" t="s">
        <v>50</v>
      </c>
      <c r="X77" s="18" t="s">
        <v>50</v>
      </c>
      <c r="Y77" s="18" t="s">
        <v>50</v>
      </c>
      <c r="Z77" s="18" t="s">
        <v>51</v>
      </c>
      <c r="AA77" s="17" t="s">
        <v>50</v>
      </c>
      <c r="AB77" s="17" t="s">
        <v>51</v>
      </c>
      <c r="AC77" s="17" t="s">
        <v>51</v>
      </c>
      <c r="AD77" s="17" t="s">
        <v>50</v>
      </c>
      <c r="AE77" s="17" t="s">
        <v>50</v>
      </c>
      <c r="AF77" s="17" t="s">
        <v>329</v>
      </c>
      <c r="AG77" s="17"/>
      <c r="AH77" s="17"/>
      <c r="AI77" s="17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</row>
    <row r="78" ht="16.5" customHeight="1">
      <c r="A78" s="83"/>
      <c r="B78" s="81" t="s">
        <v>408</v>
      </c>
      <c r="C78" s="84"/>
      <c r="D78" s="84"/>
      <c r="E78" s="18">
        <f t="shared" ref="E78:AI78" si="1">COUNTIF(E2:E77,"*TENIS*")</f>
        <v>17</v>
      </c>
      <c r="F78" s="18">
        <f t="shared" si="1"/>
        <v>9</v>
      </c>
      <c r="G78" s="18">
        <f t="shared" si="1"/>
        <v>19</v>
      </c>
      <c r="H78" s="18">
        <f t="shared" si="1"/>
        <v>19</v>
      </c>
      <c r="I78" s="18">
        <f t="shared" si="1"/>
        <v>17</v>
      </c>
      <c r="J78" s="18">
        <f t="shared" si="1"/>
        <v>18</v>
      </c>
      <c r="K78" s="18">
        <f t="shared" si="1"/>
        <v>19</v>
      </c>
      <c r="L78" s="18">
        <f t="shared" si="1"/>
        <v>19</v>
      </c>
      <c r="M78" s="18">
        <f t="shared" si="1"/>
        <v>19</v>
      </c>
      <c r="N78" s="18">
        <f t="shared" si="1"/>
        <v>19</v>
      </c>
      <c r="O78" s="18">
        <f t="shared" si="1"/>
        <v>10</v>
      </c>
      <c r="P78" s="18">
        <f t="shared" si="1"/>
        <v>10</v>
      </c>
      <c r="Q78" s="18">
        <f t="shared" si="1"/>
        <v>9</v>
      </c>
      <c r="R78" s="18">
        <f t="shared" si="1"/>
        <v>10</v>
      </c>
      <c r="S78" s="18">
        <f t="shared" si="1"/>
        <v>10</v>
      </c>
      <c r="T78" s="18">
        <f t="shared" si="1"/>
        <v>13</v>
      </c>
      <c r="U78" s="18">
        <f t="shared" si="1"/>
        <v>12</v>
      </c>
      <c r="V78" s="18">
        <f t="shared" si="1"/>
        <v>12</v>
      </c>
      <c r="W78" s="18">
        <f t="shared" si="1"/>
        <v>9</v>
      </c>
      <c r="X78" s="18">
        <f t="shared" si="1"/>
        <v>9</v>
      </c>
      <c r="Y78" s="18">
        <f t="shared" si="1"/>
        <v>13</v>
      </c>
      <c r="Z78" s="18">
        <f t="shared" si="1"/>
        <v>18</v>
      </c>
      <c r="AA78" s="18">
        <f t="shared" si="1"/>
        <v>16</v>
      </c>
      <c r="AB78" s="18">
        <f t="shared" si="1"/>
        <v>15</v>
      </c>
      <c r="AC78" s="58">
        <f t="shared" si="1"/>
        <v>14</v>
      </c>
      <c r="AD78" s="58">
        <f t="shared" si="1"/>
        <v>15</v>
      </c>
      <c r="AE78" s="58">
        <f t="shared" si="1"/>
        <v>13</v>
      </c>
      <c r="AF78" s="58">
        <f t="shared" si="1"/>
        <v>14</v>
      </c>
      <c r="AG78" s="58">
        <f t="shared" si="1"/>
        <v>0</v>
      </c>
      <c r="AH78" s="58">
        <f t="shared" si="1"/>
        <v>0</v>
      </c>
      <c r="AI78" s="58">
        <f t="shared" si="1"/>
        <v>0</v>
      </c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</row>
    <row r="79" ht="16.5" customHeight="1">
      <c r="A79" s="83"/>
      <c r="B79" s="81" t="s">
        <v>413</v>
      </c>
      <c r="C79" s="84"/>
      <c r="D79" s="84"/>
      <c r="E79" s="18">
        <f t="shared" ref="E79:AI79" si="2">COUNTIF(E2:E77,"*jugador*")</f>
        <v>3</v>
      </c>
      <c r="F79" s="18">
        <f t="shared" si="2"/>
        <v>4</v>
      </c>
      <c r="G79" s="18">
        <f t="shared" si="2"/>
        <v>4</v>
      </c>
      <c r="H79" s="18">
        <f t="shared" si="2"/>
        <v>4</v>
      </c>
      <c r="I79" s="18">
        <f t="shared" si="2"/>
        <v>4</v>
      </c>
      <c r="J79" s="18">
        <f t="shared" si="2"/>
        <v>3</v>
      </c>
      <c r="K79" s="18">
        <f t="shared" si="2"/>
        <v>4</v>
      </c>
      <c r="L79" s="18">
        <f t="shared" si="2"/>
        <v>3</v>
      </c>
      <c r="M79" s="18">
        <f t="shared" si="2"/>
        <v>4</v>
      </c>
      <c r="N79" s="18">
        <f t="shared" si="2"/>
        <v>4</v>
      </c>
      <c r="O79" s="42">
        <f t="shared" si="2"/>
        <v>3</v>
      </c>
      <c r="P79" s="42">
        <f t="shared" si="2"/>
        <v>4</v>
      </c>
      <c r="Q79" s="42">
        <f t="shared" si="2"/>
        <v>3</v>
      </c>
      <c r="R79" s="42">
        <f t="shared" si="2"/>
        <v>4</v>
      </c>
      <c r="S79" s="42">
        <f t="shared" si="2"/>
        <v>3</v>
      </c>
      <c r="T79" s="42">
        <f t="shared" si="2"/>
        <v>3</v>
      </c>
      <c r="U79" s="58">
        <f t="shared" si="2"/>
        <v>4</v>
      </c>
      <c r="V79" s="58">
        <f t="shared" si="2"/>
        <v>3</v>
      </c>
      <c r="W79" s="58">
        <f t="shared" si="2"/>
        <v>4</v>
      </c>
      <c r="X79" s="58">
        <f t="shared" si="2"/>
        <v>3</v>
      </c>
      <c r="Y79" s="18">
        <f t="shared" si="2"/>
        <v>3</v>
      </c>
      <c r="Z79" s="42">
        <f t="shared" si="2"/>
        <v>5</v>
      </c>
      <c r="AA79" s="42">
        <f t="shared" si="2"/>
        <v>5</v>
      </c>
      <c r="AB79" s="58">
        <f t="shared" si="2"/>
        <v>4</v>
      </c>
      <c r="AC79" s="58">
        <f t="shared" si="2"/>
        <v>4</v>
      </c>
      <c r="AD79" s="58">
        <f t="shared" si="2"/>
        <v>3</v>
      </c>
      <c r="AE79" s="58">
        <f t="shared" si="2"/>
        <v>2</v>
      </c>
      <c r="AF79" s="58">
        <f t="shared" si="2"/>
        <v>3</v>
      </c>
      <c r="AG79" s="58">
        <f t="shared" si="2"/>
        <v>0</v>
      </c>
      <c r="AH79" s="58">
        <f t="shared" si="2"/>
        <v>0</v>
      </c>
      <c r="AI79" s="58">
        <f t="shared" si="2"/>
        <v>0</v>
      </c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</row>
    <row r="80" ht="16.5" customHeight="1">
      <c r="A80" s="83"/>
      <c r="B80" s="87" t="s">
        <v>417</v>
      </c>
      <c r="C80" s="84"/>
      <c r="D80" s="84"/>
      <c r="E80" s="18">
        <v>0.0</v>
      </c>
      <c r="F80" s="18">
        <v>0.0</v>
      </c>
      <c r="G80" s="18">
        <v>0.0</v>
      </c>
      <c r="H80" s="18">
        <v>0.0</v>
      </c>
      <c r="I80" s="18">
        <v>0.0</v>
      </c>
      <c r="J80" s="18">
        <v>0.0</v>
      </c>
      <c r="K80" s="18">
        <v>0.0</v>
      </c>
      <c r="L80" s="18">
        <v>0.0</v>
      </c>
      <c r="M80" s="18">
        <v>0.0</v>
      </c>
      <c r="N80" s="18">
        <v>0.0</v>
      </c>
      <c r="O80" s="42">
        <f t="shared" ref="O80:AI80" si="3">COUNTIF(O2:O77,"*FIJO T*")</f>
        <v>5</v>
      </c>
      <c r="P80" s="42">
        <f t="shared" si="3"/>
        <v>2</v>
      </c>
      <c r="Q80" s="42">
        <f t="shared" si="3"/>
        <v>3</v>
      </c>
      <c r="R80" s="42">
        <f t="shared" si="3"/>
        <v>4</v>
      </c>
      <c r="S80" s="42">
        <f t="shared" si="3"/>
        <v>3</v>
      </c>
      <c r="T80" s="42">
        <f t="shared" si="3"/>
        <v>0</v>
      </c>
      <c r="U80" s="58">
        <f t="shared" si="3"/>
        <v>6</v>
      </c>
      <c r="V80" s="58">
        <f t="shared" si="3"/>
        <v>3</v>
      </c>
      <c r="W80" s="58">
        <f t="shared" si="3"/>
        <v>5</v>
      </c>
      <c r="X80" s="58">
        <f t="shared" si="3"/>
        <v>2</v>
      </c>
      <c r="Y80" s="18">
        <f t="shared" si="3"/>
        <v>0</v>
      </c>
      <c r="Z80" s="42">
        <f t="shared" si="3"/>
        <v>2</v>
      </c>
      <c r="AA80" s="42">
        <f t="shared" si="3"/>
        <v>2</v>
      </c>
      <c r="AB80" s="58">
        <f t="shared" si="3"/>
        <v>1</v>
      </c>
      <c r="AC80" s="58">
        <f t="shared" si="3"/>
        <v>1</v>
      </c>
      <c r="AD80" s="58">
        <f t="shared" si="3"/>
        <v>1</v>
      </c>
      <c r="AE80" s="58">
        <f t="shared" si="3"/>
        <v>1</v>
      </c>
      <c r="AF80" s="58">
        <f t="shared" si="3"/>
        <v>0</v>
      </c>
      <c r="AG80" s="58">
        <f t="shared" si="3"/>
        <v>0</v>
      </c>
      <c r="AH80" s="58">
        <f t="shared" si="3"/>
        <v>0</v>
      </c>
      <c r="AI80" s="58">
        <f t="shared" si="3"/>
        <v>0</v>
      </c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</row>
    <row r="81" ht="16.5" customHeight="1">
      <c r="A81" s="83"/>
      <c r="B81" s="88" t="s">
        <v>420</v>
      </c>
      <c r="C81" s="84"/>
      <c r="D81" s="84"/>
      <c r="E81" s="18">
        <v>0.0</v>
      </c>
      <c r="F81" s="18">
        <v>0.0</v>
      </c>
      <c r="G81" s="18">
        <f t="shared" ref="G81:AI81" si="4">COUNTIF(G2:G77,"*golf*")</f>
        <v>7</v>
      </c>
      <c r="H81" s="18">
        <f t="shared" si="4"/>
        <v>6</v>
      </c>
      <c r="I81" s="18">
        <f t="shared" si="4"/>
        <v>7</v>
      </c>
      <c r="J81" s="18">
        <f t="shared" si="4"/>
        <v>6</v>
      </c>
      <c r="K81" s="18">
        <f t="shared" si="4"/>
        <v>7</v>
      </c>
      <c r="L81" s="18">
        <f t="shared" si="4"/>
        <v>6</v>
      </c>
      <c r="M81" s="18">
        <f t="shared" si="4"/>
        <v>8</v>
      </c>
      <c r="N81" s="18">
        <f t="shared" si="4"/>
        <v>7</v>
      </c>
      <c r="O81" s="42">
        <f t="shared" si="4"/>
        <v>4</v>
      </c>
      <c r="P81" s="42">
        <f t="shared" si="4"/>
        <v>3</v>
      </c>
      <c r="Q81" s="42">
        <f t="shared" si="4"/>
        <v>4</v>
      </c>
      <c r="R81" s="42">
        <f t="shared" si="4"/>
        <v>9</v>
      </c>
      <c r="S81" s="42">
        <f t="shared" si="4"/>
        <v>4</v>
      </c>
      <c r="T81" s="42">
        <f t="shared" si="4"/>
        <v>7</v>
      </c>
      <c r="U81" s="58">
        <f t="shared" si="4"/>
        <v>2</v>
      </c>
      <c r="V81" s="58">
        <f t="shared" si="4"/>
        <v>3</v>
      </c>
      <c r="W81" s="58">
        <f t="shared" si="4"/>
        <v>4</v>
      </c>
      <c r="X81" s="58">
        <f t="shared" si="4"/>
        <v>3</v>
      </c>
      <c r="Y81" s="18">
        <f t="shared" si="4"/>
        <v>9</v>
      </c>
      <c r="Z81" s="42">
        <f t="shared" si="4"/>
        <v>13</v>
      </c>
      <c r="AA81" s="42">
        <f t="shared" si="4"/>
        <v>13</v>
      </c>
      <c r="AB81" s="58">
        <f t="shared" si="4"/>
        <v>14</v>
      </c>
      <c r="AC81" s="58">
        <f t="shared" si="4"/>
        <v>10</v>
      </c>
      <c r="AD81" s="58">
        <f t="shared" si="4"/>
        <v>12</v>
      </c>
      <c r="AE81" s="58">
        <f t="shared" si="4"/>
        <v>9</v>
      </c>
      <c r="AF81" s="58">
        <f t="shared" si="4"/>
        <v>10</v>
      </c>
      <c r="AG81" s="58">
        <f t="shared" si="4"/>
        <v>0</v>
      </c>
      <c r="AH81" s="58">
        <f t="shared" si="4"/>
        <v>0</v>
      </c>
      <c r="AI81" s="58">
        <f t="shared" si="4"/>
        <v>0</v>
      </c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</row>
    <row r="82" ht="16.5" customHeight="1">
      <c r="A82" s="83"/>
      <c r="B82" s="56" t="s">
        <v>423</v>
      </c>
      <c r="C82" s="84"/>
      <c r="D82" s="84"/>
      <c r="E82" s="18">
        <v>0.0</v>
      </c>
      <c r="F82" s="18">
        <v>0.0</v>
      </c>
      <c r="G82" s="18">
        <v>0.0</v>
      </c>
      <c r="H82" s="18">
        <v>0.0</v>
      </c>
      <c r="I82" s="18">
        <v>0.0</v>
      </c>
      <c r="J82" s="18">
        <v>0.0</v>
      </c>
      <c r="K82" s="18">
        <v>0.0</v>
      </c>
      <c r="L82" s="18">
        <v>0.0</v>
      </c>
      <c r="M82" s="18">
        <v>0.0</v>
      </c>
      <c r="N82" s="18">
        <v>0.0</v>
      </c>
      <c r="O82" s="42">
        <f t="shared" ref="O82:AI82" si="5">COUNTIF(O2:O77,"*fijo g*")</f>
        <v>12</v>
      </c>
      <c r="P82" s="42">
        <f t="shared" si="5"/>
        <v>7</v>
      </c>
      <c r="Q82" s="42">
        <f t="shared" si="5"/>
        <v>8</v>
      </c>
      <c r="R82" s="42">
        <f t="shared" si="5"/>
        <v>5</v>
      </c>
      <c r="S82" s="42">
        <f t="shared" si="5"/>
        <v>7</v>
      </c>
      <c r="T82" s="42">
        <f t="shared" si="5"/>
        <v>5</v>
      </c>
      <c r="U82" s="58">
        <f t="shared" si="5"/>
        <v>12</v>
      </c>
      <c r="V82" s="58">
        <f t="shared" si="5"/>
        <v>8</v>
      </c>
      <c r="W82" s="58">
        <f t="shared" si="5"/>
        <v>11</v>
      </c>
      <c r="X82" s="58">
        <f t="shared" si="5"/>
        <v>7</v>
      </c>
      <c r="Y82" s="18">
        <f t="shared" si="5"/>
        <v>0</v>
      </c>
      <c r="Z82" s="42">
        <f t="shared" si="5"/>
        <v>3</v>
      </c>
      <c r="AA82" s="42">
        <f t="shared" si="5"/>
        <v>3</v>
      </c>
      <c r="AB82" s="58">
        <f t="shared" si="5"/>
        <v>2</v>
      </c>
      <c r="AC82" s="58">
        <f t="shared" si="5"/>
        <v>1</v>
      </c>
      <c r="AD82" s="58">
        <f t="shared" si="5"/>
        <v>2</v>
      </c>
      <c r="AE82" s="58">
        <f t="shared" si="5"/>
        <v>2</v>
      </c>
      <c r="AF82" s="58">
        <f t="shared" si="5"/>
        <v>0</v>
      </c>
      <c r="AG82" s="58">
        <f t="shared" si="5"/>
        <v>0</v>
      </c>
      <c r="AH82" s="58">
        <f t="shared" si="5"/>
        <v>0</v>
      </c>
      <c r="AI82" s="58">
        <f t="shared" si="5"/>
        <v>0</v>
      </c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</row>
    <row r="83" ht="16.5" customHeight="1">
      <c r="A83" s="83"/>
      <c r="B83" s="24" t="s">
        <v>428</v>
      </c>
      <c r="C83" s="84"/>
      <c r="D83" s="84"/>
      <c r="E83" s="18">
        <f t="shared" ref="E83:AI83" si="6">SUM(E78:E82)</f>
        <v>20</v>
      </c>
      <c r="F83" s="18">
        <f t="shared" si="6"/>
        <v>13</v>
      </c>
      <c r="G83" s="18">
        <f t="shared" si="6"/>
        <v>30</v>
      </c>
      <c r="H83" s="18">
        <f t="shared" si="6"/>
        <v>29</v>
      </c>
      <c r="I83" s="18">
        <f t="shared" si="6"/>
        <v>28</v>
      </c>
      <c r="J83" s="18">
        <f t="shared" si="6"/>
        <v>27</v>
      </c>
      <c r="K83" s="18">
        <f t="shared" si="6"/>
        <v>30</v>
      </c>
      <c r="L83" s="18">
        <f t="shared" si="6"/>
        <v>28</v>
      </c>
      <c r="M83" s="18">
        <f t="shared" si="6"/>
        <v>31</v>
      </c>
      <c r="N83" s="18">
        <f t="shared" si="6"/>
        <v>30</v>
      </c>
      <c r="O83" s="42">
        <f t="shared" si="6"/>
        <v>34</v>
      </c>
      <c r="P83" s="42">
        <f t="shared" si="6"/>
        <v>26</v>
      </c>
      <c r="Q83" s="42">
        <f t="shared" si="6"/>
        <v>27</v>
      </c>
      <c r="R83" s="42">
        <f t="shared" si="6"/>
        <v>32</v>
      </c>
      <c r="S83" s="42">
        <f t="shared" si="6"/>
        <v>27</v>
      </c>
      <c r="T83" s="42">
        <f t="shared" si="6"/>
        <v>28</v>
      </c>
      <c r="U83" s="58">
        <f t="shared" si="6"/>
        <v>36</v>
      </c>
      <c r="V83" s="58">
        <f t="shared" si="6"/>
        <v>29</v>
      </c>
      <c r="W83" s="58">
        <f t="shared" si="6"/>
        <v>33</v>
      </c>
      <c r="X83" s="58">
        <f t="shared" si="6"/>
        <v>24</v>
      </c>
      <c r="Y83" s="18">
        <f t="shared" si="6"/>
        <v>25</v>
      </c>
      <c r="Z83" s="42">
        <f t="shared" si="6"/>
        <v>41</v>
      </c>
      <c r="AA83" s="42">
        <f t="shared" si="6"/>
        <v>39</v>
      </c>
      <c r="AB83" s="58">
        <f t="shared" si="6"/>
        <v>36</v>
      </c>
      <c r="AC83" s="58">
        <f t="shared" si="6"/>
        <v>30</v>
      </c>
      <c r="AD83" s="58">
        <f t="shared" si="6"/>
        <v>33</v>
      </c>
      <c r="AE83" s="58">
        <f t="shared" si="6"/>
        <v>27</v>
      </c>
      <c r="AF83" s="58">
        <f t="shared" si="6"/>
        <v>27</v>
      </c>
      <c r="AG83" s="58">
        <f t="shared" si="6"/>
        <v>0</v>
      </c>
      <c r="AH83" s="58">
        <f t="shared" si="6"/>
        <v>0</v>
      </c>
      <c r="AI83" s="58">
        <f t="shared" si="6"/>
        <v>0</v>
      </c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</row>
    <row r="84" ht="16.5" customHeight="1">
      <c r="A84" s="83"/>
      <c r="C84" s="84"/>
      <c r="D84" s="84"/>
      <c r="E84" s="84"/>
      <c r="F84" s="84"/>
      <c r="G84" s="84"/>
      <c r="H84" s="84"/>
      <c r="I84" s="84"/>
      <c r="J84" s="84"/>
      <c r="K84" s="84"/>
      <c r="L84" s="22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</row>
    <row r="85" ht="16.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</row>
    <row r="86" ht="16.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</row>
    <row r="87" ht="16.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</row>
    <row r="88" ht="16.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</row>
    <row r="89" ht="16.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</row>
    <row r="90" ht="16.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</row>
    <row r="91" ht="16.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</row>
    <row r="92" ht="16.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</row>
    <row r="93" ht="16.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</row>
    <row r="94" ht="16.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</row>
    <row r="95" ht="16.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</row>
    <row r="96" ht="16.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</row>
    <row r="97" ht="16.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</row>
    <row r="98" ht="16.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</row>
    <row r="99" ht="16.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</row>
    <row r="100" ht="16.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</row>
    <row r="101" ht="16.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</row>
    <row r="102" ht="16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</row>
    <row r="103" ht="16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</row>
    <row r="104" ht="16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</row>
    <row r="105" ht="16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</row>
    <row r="106" ht="16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</row>
    <row r="107" ht="16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</row>
    <row r="108" ht="16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</row>
    <row r="109" ht="16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</row>
    <row r="110" ht="16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</row>
    <row r="111" ht="16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</row>
    <row r="112" ht="16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</row>
    <row r="113" ht="16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</row>
    <row r="114" ht="16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</row>
    <row r="115" ht="16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</row>
    <row r="116" ht="16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</row>
    <row r="117" ht="16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</row>
    <row r="118" ht="16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</row>
    <row r="119" ht="16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</row>
    <row r="120" ht="16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</row>
    <row r="121" ht="16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</row>
    <row r="122" ht="16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</row>
    <row r="123" ht="16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</row>
    <row r="124" ht="16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</row>
    <row r="125" ht="16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</row>
    <row r="126" ht="16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</row>
    <row r="127" ht="16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</row>
    <row r="128" ht="16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</row>
    <row r="129" ht="16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</row>
    <row r="130" ht="16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</row>
    <row r="131" ht="16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</row>
    <row r="132" ht="16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</row>
    <row r="133" ht="16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</row>
    <row r="134" ht="16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</row>
    <row r="135" ht="16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</row>
    <row r="136" ht="16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</row>
    <row r="137" ht="16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</row>
    <row r="138" ht="16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</row>
    <row r="139" ht="16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</row>
    <row r="140" ht="16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</row>
    <row r="141" ht="16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</row>
    <row r="142" ht="16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</row>
    <row r="143" ht="16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</row>
    <row r="144" ht="16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</row>
    <row r="145" ht="16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</row>
    <row r="146" ht="16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</row>
    <row r="147" ht="16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</row>
    <row r="148" ht="16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</row>
    <row r="149" ht="16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</row>
    <row r="150" ht="16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</row>
    <row r="151" ht="16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</row>
    <row r="152" ht="16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</row>
    <row r="153" ht="16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</row>
    <row r="154" ht="16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</row>
    <row r="155" ht="16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</row>
    <row r="156" ht="16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</row>
    <row r="157" ht="16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</row>
    <row r="158" ht="16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</row>
    <row r="159" ht="16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</row>
    <row r="160" ht="16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</row>
    <row r="161" ht="16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</row>
    <row r="162" ht="16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</row>
    <row r="163" ht="16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</row>
    <row r="164" ht="16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</row>
    <row r="165" ht="16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</row>
    <row r="166" ht="16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</row>
    <row r="167" ht="16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</row>
    <row r="168" ht="16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</row>
    <row r="169" ht="16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</row>
    <row r="170" ht="16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</row>
    <row r="171" ht="16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</row>
    <row r="172" ht="16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</row>
    <row r="173" ht="16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</row>
    <row r="174" ht="16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</row>
    <row r="175" ht="16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</row>
    <row r="176" ht="16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</row>
    <row r="177" ht="16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</row>
    <row r="178" ht="16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</row>
    <row r="179" ht="16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</row>
    <row r="180" ht="16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</row>
    <row r="181" ht="16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</row>
    <row r="182" ht="16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</row>
    <row r="183" ht="16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</row>
    <row r="184" ht="16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</row>
    <row r="185" ht="16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</row>
    <row r="186" ht="16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</row>
    <row r="187" ht="16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</row>
    <row r="188" ht="16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</row>
    <row r="189" ht="16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</row>
    <row r="190" ht="16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</row>
    <row r="191" ht="16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</row>
    <row r="192" ht="16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</row>
    <row r="193" ht="16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</row>
    <row r="194" ht="16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</row>
    <row r="195" ht="16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</row>
    <row r="196" ht="16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</row>
    <row r="197" ht="16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</row>
    <row r="198" ht="16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</row>
    <row r="199" ht="16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</row>
    <row r="200" ht="16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</row>
    <row r="201" ht="16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</row>
    <row r="202" ht="16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</row>
    <row r="203" ht="16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</row>
    <row r="204" ht="16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</row>
    <row r="205" ht="16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</row>
    <row r="206" ht="16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</row>
    <row r="207" ht="16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</row>
    <row r="208" ht="16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</row>
    <row r="209" ht="16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</row>
    <row r="210" ht="16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</row>
    <row r="211" ht="16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</row>
    <row r="212" ht="16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</row>
    <row r="213" ht="16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</row>
    <row r="214" ht="16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</row>
    <row r="215" ht="16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</row>
    <row r="216" ht="16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</row>
    <row r="217" ht="16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</row>
    <row r="218" ht="16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</row>
    <row r="219" ht="16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</row>
    <row r="220" ht="16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</row>
    <row r="221" ht="16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</row>
    <row r="222" ht="16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</row>
    <row r="223" ht="16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</row>
    <row r="224" ht="16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</row>
    <row r="225" ht="16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</row>
    <row r="226" ht="16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</row>
    <row r="227" ht="16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</row>
    <row r="228" ht="16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</row>
    <row r="229" ht="16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</row>
    <row r="230" ht="16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</row>
    <row r="231" ht="16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</row>
    <row r="232" ht="16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</row>
    <row r="233" ht="16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</row>
    <row r="234" ht="16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</row>
    <row r="235" ht="16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</row>
    <row r="236" ht="16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</row>
    <row r="237" ht="16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</row>
    <row r="238" ht="16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</row>
    <row r="239" ht="16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</row>
    <row r="240" ht="16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</row>
    <row r="241" ht="16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</row>
    <row r="242" ht="16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</row>
    <row r="243" ht="16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</row>
    <row r="244" ht="16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</row>
    <row r="245" ht="16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</row>
    <row r="246" ht="16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</row>
    <row r="247" ht="16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</row>
    <row r="248" ht="16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</row>
    <row r="249" ht="16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</row>
    <row r="250" ht="16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</row>
    <row r="251" ht="16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</row>
    <row r="252" ht="16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</row>
    <row r="253" ht="16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</row>
    <row r="254" ht="16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</row>
    <row r="255" ht="16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</row>
    <row r="256" ht="16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</row>
    <row r="257" ht="16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</row>
    <row r="258" ht="16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</row>
    <row r="259" ht="16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</row>
    <row r="260" ht="16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</row>
    <row r="261" ht="16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</row>
    <row r="262" ht="16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</row>
    <row r="263" ht="16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</row>
    <row r="264" ht="16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</row>
    <row r="265" ht="16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</row>
    <row r="266" ht="16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</row>
    <row r="267" ht="16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</row>
    <row r="268" ht="16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</row>
    <row r="269" ht="16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</row>
    <row r="270" ht="16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</row>
    <row r="271" ht="16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</row>
    <row r="272" ht="16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</row>
    <row r="273" ht="16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</row>
    <row r="274" ht="16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</row>
    <row r="275" ht="16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</row>
    <row r="276" ht="16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</row>
    <row r="277" ht="16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</row>
    <row r="278" ht="16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</row>
    <row r="279" ht="16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</row>
    <row r="280" ht="16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</row>
    <row r="281" ht="16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</row>
    <row r="282" ht="16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</row>
    <row r="283" ht="16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</row>
    <row r="284" ht="16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</row>
    <row r="285" ht="16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</row>
    <row r="286" ht="16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</row>
    <row r="287" ht="16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</row>
    <row r="288" ht="16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</row>
    <row r="289" ht="16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</row>
    <row r="290" ht="16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</row>
    <row r="291" ht="16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</row>
    <row r="292" ht="16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</row>
    <row r="293" ht="16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</row>
    <row r="294" ht="16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</row>
    <row r="295" ht="16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</row>
    <row r="296" ht="16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</row>
    <row r="297" ht="16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</row>
    <row r="298" ht="16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</row>
    <row r="299" ht="16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</row>
    <row r="300" ht="16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</row>
    <row r="301" ht="16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</row>
    <row r="302" ht="16.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</row>
    <row r="303" ht="16.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</row>
    <row r="304" ht="16.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</row>
    <row r="305" ht="16.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</row>
    <row r="306" ht="16.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</row>
    <row r="307" ht="16.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</row>
    <row r="308" ht="16.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</row>
    <row r="309" ht="16.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</row>
    <row r="310" ht="16.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</row>
    <row r="311" ht="16.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</row>
    <row r="312" ht="16.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</row>
    <row r="313" ht="16.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</row>
    <row r="314" ht="16.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</row>
    <row r="315" ht="16.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</row>
    <row r="316" ht="16.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</row>
    <row r="317" ht="16.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</row>
    <row r="318" ht="16.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</row>
    <row r="319" ht="16.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</row>
    <row r="320" ht="16.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</row>
    <row r="321" ht="16.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</row>
    <row r="322" ht="16.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</row>
    <row r="323" ht="16.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</row>
    <row r="324" ht="16.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</row>
    <row r="325" ht="16.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</row>
    <row r="326" ht="16.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</row>
    <row r="327" ht="16.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</row>
    <row r="328" ht="16.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</row>
    <row r="329" ht="16.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</row>
    <row r="330" ht="16.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</row>
    <row r="331" ht="16.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</row>
    <row r="332" ht="16.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</row>
    <row r="333" ht="16.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</row>
    <row r="334" ht="16.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</row>
    <row r="335" ht="16.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</row>
    <row r="336" ht="16.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</row>
    <row r="337" ht="16.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</row>
    <row r="338" ht="16.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</row>
    <row r="339" ht="16.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</row>
    <row r="340" ht="16.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</row>
    <row r="341" ht="16.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</row>
    <row r="342" ht="16.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</row>
    <row r="343" ht="16.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</row>
    <row r="344" ht="16.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</row>
    <row r="345" ht="16.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</row>
    <row r="346" ht="16.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</row>
    <row r="347" ht="16.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</row>
    <row r="348" ht="16.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</row>
    <row r="349" ht="16.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</row>
    <row r="350" ht="16.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</row>
    <row r="351" ht="16.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</row>
    <row r="352" ht="16.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</row>
    <row r="353" ht="16.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</row>
    <row r="354" ht="16.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</row>
    <row r="355" ht="16.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</row>
    <row r="356" ht="16.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</row>
    <row r="357" ht="16.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</row>
    <row r="358" ht="16.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</row>
    <row r="359" ht="16.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</row>
    <row r="360" ht="16.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</row>
    <row r="361" ht="16.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</row>
    <row r="362" ht="16.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</row>
    <row r="363" ht="16.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</row>
    <row r="364" ht="16.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</row>
    <row r="365" ht="16.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</row>
    <row r="366" ht="16.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</row>
    <row r="367" ht="16.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</row>
    <row r="368" ht="16.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</row>
    <row r="369" ht="16.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</row>
    <row r="370" ht="16.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</row>
    <row r="371" ht="16.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</row>
    <row r="372" ht="16.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</row>
    <row r="373" ht="16.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</row>
    <row r="374" ht="16.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</row>
    <row r="375" ht="16.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</row>
    <row r="376" ht="16.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</row>
    <row r="377" ht="16.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</row>
    <row r="378" ht="16.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</row>
    <row r="379" ht="16.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</row>
    <row r="380" ht="16.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</row>
    <row r="381" ht="16.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</row>
    <row r="382" ht="16.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</row>
    <row r="383" ht="16.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</row>
    <row r="384" ht="16.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</row>
    <row r="385" ht="16.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</row>
    <row r="386" ht="16.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</row>
    <row r="387" ht="16.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</row>
    <row r="388" ht="16.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</row>
    <row r="389" ht="16.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</row>
    <row r="390" ht="16.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</row>
    <row r="391" ht="16.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</row>
    <row r="392" ht="16.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</row>
    <row r="393" ht="16.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</row>
    <row r="394" ht="16.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</row>
    <row r="395" ht="16.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</row>
    <row r="396" ht="16.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</row>
    <row r="397" ht="16.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</row>
    <row r="398" ht="16.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</row>
    <row r="399" ht="16.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</row>
    <row r="400" ht="16.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</row>
    <row r="401" ht="16.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</row>
    <row r="402" ht="16.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</row>
    <row r="403" ht="16.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</row>
    <row r="404" ht="16.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</row>
    <row r="405" ht="16.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</row>
    <row r="406" ht="16.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</row>
    <row r="407" ht="16.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</row>
    <row r="408" ht="16.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</row>
    <row r="409" ht="16.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</row>
    <row r="410" ht="16.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</row>
    <row r="411" ht="16.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</row>
    <row r="412" ht="16.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</row>
    <row r="413" ht="16.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</row>
    <row r="414" ht="16.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</row>
    <row r="415" ht="16.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</row>
    <row r="416" ht="16.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</row>
    <row r="417" ht="16.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</row>
    <row r="418" ht="16.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</row>
    <row r="419" ht="16.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</row>
    <row r="420" ht="16.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</row>
    <row r="421" ht="16.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</row>
    <row r="422" ht="16.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</row>
    <row r="423" ht="16.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</row>
    <row r="424" ht="16.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</row>
    <row r="425" ht="16.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</row>
    <row r="426" ht="16.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</row>
    <row r="427" ht="16.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</row>
    <row r="428" ht="16.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</row>
    <row r="429" ht="16.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</row>
    <row r="430" ht="16.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</row>
    <row r="431" ht="16.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</row>
    <row r="432" ht="16.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</row>
    <row r="433" ht="16.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</row>
    <row r="434" ht="16.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</row>
    <row r="435" ht="16.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</row>
    <row r="436" ht="16.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</row>
    <row r="437" ht="16.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</row>
    <row r="438" ht="16.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</row>
    <row r="439" ht="16.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</row>
    <row r="440" ht="16.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</row>
    <row r="441" ht="16.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</row>
    <row r="442" ht="16.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</row>
    <row r="443" ht="16.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</row>
    <row r="444" ht="16.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</row>
    <row r="445" ht="16.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</row>
    <row r="446" ht="16.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</row>
    <row r="447" ht="16.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</row>
    <row r="448" ht="16.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</row>
    <row r="449" ht="16.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</row>
    <row r="450" ht="16.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</row>
    <row r="451" ht="16.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</row>
    <row r="452" ht="16.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</row>
    <row r="453" ht="16.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</row>
    <row r="454" ht="16.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</row>
    <row r="455" ht="16.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</row>
    <row r="456" ht="16.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</row>
    <row r="457" ht="16.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</row>
    <row r="458" ht="16.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</row>
    <row r="459" ht="16.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</row>
    <row r="460" ht="16.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</row>
    <row r="461" ht="16.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</row>
    <row r="462" ht="16.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</row>
    <row r="463" ht="16.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</row>
    <row r="464" ht="16.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</row>
    <row r="465" ht="16.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</row>
    <row r="466" ht="16.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</row>
    <row r="467" ht="16.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</row>
    <row r="468" ht="16.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</row>
    <row r="469" ht="16.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</row>
    <row r="470" ht="16.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</row>
    <row r="471" ht="16.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</row>
    <row r="472" ht="16.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</row>
    <row r="473" ht="16.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</row>
    <row r="474" ht="16.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</row>
    <row r="475" ht="16.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</row>
    <row r="476" ht="16.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</row>
    <row r="477" ht="16.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</row>
    <row r="478" ht="16.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</row>
    <row r="479" ht="16.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</row>
    <row r="480" ht="16.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</row>
    <row r="481" ht="16.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</row>
    <row r="482" ht="16.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</row>
    <row r="483" ht="16.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</row>
    <row r="484" ht="16.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</row>
    <row r="485" ht="16.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</row>
    <row r="486" ht="16.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</row>
    <row r="487" ht="16.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</row>
    <row r="488" ht="16.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</row>
    <row r="489" ht="16.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</row>
    <row r="490" ht="16.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</row>
    <row r="491" ht="16.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</row>
    <row r="492" ht="16.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</row>
    <row r="493" ht="16.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</row>
    <row r="494" ht="16.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</row>
    <row r="495" ht="16.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</row>
    <row r="496" ht="16.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</row>
    <row r="497" ht="16.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</row>
    <row r="498" ht="16.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</row>
    <row r="499" ht="16.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</row>
    <row r="500" ht="16.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</row>
    <row r="501" ht="16.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</row>
    <row r="502" ht="16.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</row>
    <row r="503" ht="16.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</row>
    <row r="504" ht="16.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</row>
    <row r="505" ht="16.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</row>
    <row r="506" ht="16.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</row>
    <row r="507" ht="16.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</row>
    <row r="508" ht="16.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</row>
    <row r="509" ht="16.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</row>
    <row r="510" ht="16.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</row>
    <row r="511" ht="16.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</row>
    <row r="512" ht="16.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</row>
    <row r="513" ht="16.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</row>
    <row r="514" ht="16.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</row>
    <row r="515" ht="16.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</row>
    <row r="516" ht="16.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</row>
    <row r="517" ht="16.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</row>
    <row r="518" ht="16.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</row>
    <row r="519" ht="16.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</row>
    <row r="520" ht="16.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</row>
    <row r="521" ht="16.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</row>
    <row r="522" ht="16.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</row>
    <row r="523" ht="16.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</row>
    <row r="524" ht="16.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</row>
    <row r="525" ht="16.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</row>
    <row r="526" ht="16.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</row>
    <row r="527" ht="16.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</row>
    <row r="528" ht="16.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</row>
    <row r="529" ht="16.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</row>
    <row r="530" ht="16.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</row>
    <row r="531" ht="16.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</row>
    <row r="532" ht="16.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</row>
    <row r="533" ht="16.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</row>
    <row r="534" ht="16.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</row>
    <row r="535" ht="16.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</row>
    <row r="536" ht="16.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</row>
    <row r="537" ht="16.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</row>
    <row r="538" ht="16.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</row>
    <row r="539" ht="16.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</row>
    <row r="540" ht="16.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</row>
    <row r="541" ht="16.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</row>
    <row r="542" ht="16.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</row>
    <row r="543" ht="16.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</row>
    <row r="544" ht="16.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</row>
    <row r="545" ht="16.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</row>
    <row r="546" ht="16.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</row>
    <row r="547" ht="16.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</row>
    <row r="548" ht="16.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</row>
    <row r="549" ht="16.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</row>
    <row r="550" ht="16.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</row>
    <row r="551" ht="16.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</row>
    <row r="552" ht="16.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</row>
    <row r="553" ht="16.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</row>
    <row r="554" ht="16.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</row>
    <row r="555" ht="16.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</row>
    <row r="556" ht="16.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</row>
    <row r="557" ht="16.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</row>
    <row r="558" ht="16.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</row>
    <row r="559" ht="16.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</row>
    <row r="560" ht="16.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</row>
    <row r="561" ht="16.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</row>
    <row r="562" ht="16.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</row>
    <row r="563" ht="16.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</row>
    <row r="564" ht="16.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</row>
    <row r="565" ht="16.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</row>
    <row r="566" ht="16.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</row>
    <row r="567" ht="16.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</row>
    <row r="568" ht="16.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</row>
    <row r="569" ht="16.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</row>
    <row r="570" ht="16.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</row>
    <row r="571" ht="16.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</row>
    <row r="572" ht="16.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</row>
    <row r="573" ht="16.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</row>
    <row r="574" ht="16.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</row>
    <row r="575" ht="16.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</row>
    <row r="576" ht="16.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</row>
    <row r="577" ht="16.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</row>
    <row r="578" ht="16.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</row>
    <row r="579" ht="16.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</row>
    <row r="580" ht="16.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</row>
    <row r="581" ht="16.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</row>
    <row r="582" ht="16.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</row>
    <row r="583" ht="16.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</row>
    <row r="584" ht="16.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</row>
    <row r="585" ht="16.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</row>
    <row r="586" ht="16.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</row>
    <row r="587" ht="16.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</row>
    <row r="588" ht="16.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</row>
    <row r="589" ht="16.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</row>
    <row r="590" ht="16.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</row>
    <row r="591" ht="16.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</row>
    <row r="592" ht="16.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</row>
    <row r="593" ht="16.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</row>
    <row r="594" ht="16.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</row>
    <row r="595" ht="16.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</row>
    <row r="596" ht="16.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</row>
    <row r="597" ht="16.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</row>
    <row r="598" ht="16.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</row>
    <row r="599" ht="16.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</row>
    <row r="600" ht="16.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</row>
    <row r="601" ht="16.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</row>
    <row r="602" ht="16.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</row>
    <row r="603" ht="16.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</row>
    <row r="604" ht="16.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</row>
    <row r="605" ht="16.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</row>
    <row r="606" ht="16.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</row>
    <row r="607" ht="16.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</row>
    <row r="608" ht="16.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</row>
    <row r="609" ht="16.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</row>
    <row r="610" ht="16.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</row>
    <row r="611" ht="16.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</row>
    <row r="612" ht="16.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</row>
    <row r="613" ht="16.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</row>
    <row r="614" ht="16.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</row>
    <row r="615" ht="16.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</row>
    <row r="616" ht="16.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</row>
    <row r="617" ht="16.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</row>
    <row r="618" ht="16.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</row>
    <row r="619" ht="16.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</row>
    <row r="620" ht="16.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</row>
    <row r="621" ht="16.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</row>
    <row r="622" ht="16.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</row>
    <row r="623" ht="16.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</row>
    <row r="624" ht="16.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</row>
    <row r="625" ht="16.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</row>
    <row r="626" ht="16.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</row>
    <row r="627" ht="16.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</row>
    <row r="628" ht="16.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</row>
    <row r="629" ht="16.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</row>
    <row r="630" ht="16.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</row>
    <row r="631" ht="16.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</row>
    <row r="632" ht="16.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</row>
    <row r="633" ht="16.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</row>
    <row r="634" ht="16.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</row>
    <row r="635" ht="16.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</row>
    <row r="636" ht="16.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</row>
    <row r="637" ht="16.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</row>
    <row r="638" ht="16.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</row>
    <row r="639" ht="16.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</row>
    <row r="640" ht="16.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</row>
    <row r="641" ht="16.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</row>
    <row r="642" ht="16.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</row>
    <row r="643" ht="16.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</row>
    <row r="644" ht="16.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</row>
    <row r="645" ht="16.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</row>
    <row r="646" ht="16.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</row>
    <row r="647" ht="16.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</row>
    <row r="648" ht="16.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</row>
    <row r="649" ht="16.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</row>
    <row r="650" ht="16.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</row>
    <row r="651" ht="16.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</row>
    <row r="652" ht="16.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</row>
    <row r="653" ht="16.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</row>
    <row r="654" ht="16.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</row>
    <row r="655" ht="16.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</row>
    <row r="656" ht="16.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</row>
    <row r="657" ht="16.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</row>
    <row r="658" ht="16.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</row>
    <row r="659" ht="16.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</row>
    <row r="660" ht="16.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</row>
    <row r="661" ht="16.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</row>
    <row r="662" ht="16.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</row>
    <row r="663" ht="16.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</row>
    <row r="664" ht="16.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</row>
    <row r="665" ht="16.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</row>
    <row r="666" ht="16.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</row>
    <row r="667" ht="16.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</row>
    <row r="668" ht="16.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</row>
    <row r="669" ht="16.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</row>
    <row r="670" ht="16.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</row>
    <row r="671" ht="16.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</row>
    <row r="672" ht="16.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</row>
    <row r="673" ht="16.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</row>
    <row r="674" ht="16.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</row>
    <row r="675" ht="16.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</row>
    <row r="676" ht="16.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</row>
    <row r="677" ht="16.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</row>
    <row r="678" ht="16.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</row>
    <row r="679" ht="16.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</row>
    <row r="680" ht="16.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</row>
    <row r="681" ht="16.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</row>
    <row r="682" ht="16.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</row>
    <row r="683" ht="16.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</row>
    <row r="684" ht="16.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</row>
    <row r="685" ht="16.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</row>
    <row r="686" ht="16.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</row>
    <row r="687" ht="16.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</row>
    <row r="688" ht="16.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</row>
    <row r="689" ht="16.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</row>
    <row r="690" ht="16.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</row>
    <row r="691" ht="16.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</row>
    <row r="692" ht="16.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</row>
    <row r="693" ht="16.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</row>
    <row r="694" ht="16.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</row>
    <row r="695" ht="16.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</row>
    <row r="696" ht="16.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</row>
    <row r="697" ht="16.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</row>
    <row r="698" ht="16.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</row>
    <row r="699" ht="16.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</row>
    <row r="700" ht="16.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</row>
    <row r="701" ht="16.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</row>
    <row r="702" ht="16.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</row>
    <row r="703" ht="16.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</row>
    <row r="704" ht="16.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</row>
    <row r="705" ht="16.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</row>
    <row r="706" ht="16.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</row>
    <row r="707" ht="16.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</row>
    <row r="708" ht="16.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</row>
    <row r="709" ht="16.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</row>
    <row r="710" ht="16.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</row>
    <row r="711" ht="16.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</row>
    <row r="712" ht="16.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</row>
    <row r="713" ht="16.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</row>
    <row r="714" ht="16.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</row>
    <row r="715" ht="16.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</row>
    <row r="716" ht="16.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</row>
    <row r="717" ht="16.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</row>
    <row r="718" ht="16.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</row>
    <row r="719" ht="16.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</row>
    <row r="720" ht="16.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</row>
    <row r="721" ht="16.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</row>
    <row r="722" ht="16.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</row>
    <row r="723" ht="16.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</row>
    <row r="724" ht="16.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</row>
    <row r="725" ht="16.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</row>
    <row r="726" ht="16.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</row>
    <row r="727" ht="16.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</row>
    <row r="728" ht="16.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</row>
    <row r="729" ht="16.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</row>
    <row r="730" ht="16.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</row>
    <row r="731" ht="16.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</row>
    <row r="732" ht="16.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</row>
    <row r="733" ht="16.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</row>
    <row r="734" ht="16.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</row>
    <row r="735" ht="16.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</row>
    <row r="736" ht="16.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</row>
    <row r="737" ht="16.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</row>
    <row r="738" ht="16.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</row>
    <row r="739" ht="16.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</row>
    <row r="740" ht="16.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</row>
    <row r="741" ht="16.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</row>
    <row r="742" ht="16.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</row>
    <row r="743" ht="16.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</row>
    <row r="744" ht="16.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</row>
    <row r="745" ht="16.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</row>
    <row r="746" ht="16.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</row>
    <row r="747" ht="16.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</row>
    <row r="748" ht="16.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</row>
    <row r="749" ht="16.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</row>
    <row r="750" ht="16.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</row>
    <row r="751" ht="16.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</row>
    <row r="752" ht="16.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</row>
    <row r="753" ht="16.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</row>
    <row r="754" ht="16.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</row>
    <row r="755" ht="16.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</row>
    <row r="756" ht="16.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</row>
    <row r="757" ht="16.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</row>
    <row r="758" ht="16.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</row>
    <row r="759" ht="16.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</row>
    <row r="760" ht="16.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</row>
    <row r="761" ht="16.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</row>
    <row r="762" ht="16.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</row>
    <row r="763" ht="16.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</row>
    <row r="764" ht="16.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</row>
    <row r="765" ht="16.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</row>
    <row r="766" ht="16.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</row>
    <row r="767" ht="16.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</row>
    <row r="768" ht="16.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</row>
    <row r="769" ht="16.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</row>
    <row r="770" ht="16.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</row>
    <row r="771" ht="16.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</row>
    <row r="772" ht="16.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</row>
    <row r="773" ht="16.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</row>
    <row r="774" ht="16.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</row>
    <row r="775" ht="16.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</row>
    <row r="776" ht="16.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</row>
    <row r="777" ht="16.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</row>
    <row r="778" ht="16.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</row>
    <row r="779" ht="16.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</row>
    <row r="780" ht="16.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</row>
    <row r="781" ht="16.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</row>
    <row r="782" ht="16.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</row>
    <row r="783" ht="16.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</row>
    <row r="784" ht="16.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</row>
    <row r="785" ht="16.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</row>
    <row r="786" ht="16.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</row>
    <row r="787" ht="16.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</row>
    <row r="788" ht="16.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</row>
    <row r="789" ht="16.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</row>
    <row r="790" ht="16.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</row>
    <row r="791" ht="16.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</row>
    <row r="792" ht="16.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</row>
    <row r="793" ht="16.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</row>
    <row r="794" ht="16.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</row>
    <row r="795" ht="16.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</row>
    <row r="796" ht="16.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</row>
    <row r="797" ht="16.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</row>
    <row r="798" ht="16.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</row>
    <row r="799" ht="16.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</row>
    <row r="800" ht="16.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</row>
    <row r="801" ht="16.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</row>
    <row r="802" ht="16.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</row>
    <row r="803" ht="16.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</row>
    <row r="804" ht="16.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</row>
    <row r="805" ht="16.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</row>
    <row r="806" ht="16.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</row>
    <row r="807" ht="16.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</row>
    <row r="808" ht="16.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</row>
    <row r="809" ht="16.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</row>
    <row r="810" ht="16.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</row>
    <row r="811" ht="16.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</row>
    <row r="812" ht="16.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</row>
    <row r="813" ht="16.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</row>
    <row r="814" ht="16.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</row>
    <row r="815" ht="16.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</row>
    <row r="816" ht="16.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</row>
    <row r="817" ht="16.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</row>
    <row r="818" ht="16.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</row>
    <row r="819" ht="16.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</row>
    <row r="820" ht="16.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</row>
    <row r="821" ht="16.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</row>
    <row r="822" ht="16.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</row>
    <row r="823" ht="16.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</row>
    <row r="824" ht="16.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</row>
    <row r="825" ht="16.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</row>
    <row r="826" ht="16.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</row>
    <row r="827" ht="16.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</row>
    <row r="828" ht="16.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</row>
    <row r="829" ht="16.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</row>
    <row r="830" ht="16.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</row>
    <row r="831" ht="16.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</row>
    <row r="832" ht="16.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</row>
    <row r="833" ht="16.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</row>
    <row r="834" ht="16.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</row>
    <row r="835" ht="16.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</row>
    <row r="836" ht="16.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</row>
    <row r="837" ht="16.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</row>
    <row r="838" ht="16.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</row>
    <row r="839" ht="16.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</row>
    <row r="840" ht="16.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</row>
    <row r="841" ht="16.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</row>
    <row r="842" ht="16.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</row>
    <row r="843" ht="16.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</row>
    <row r="844" ht="16.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</row>
    <row r="845" ht="16.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</row>
    <row r="846" ht="16.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</row>
    <row r="847" ht="16.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</row>
    <row r="848" ht="16.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</row>
    <row r="849" ht="16.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</row>
    <row r="850" ht="16.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</row>
    <row r="851" ht="16.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</row>
    <row r="852" ht="16.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</row>
    <row r="853" ht="16.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</row>
    <row r="854" ht="16.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</row>
    <row r="855" ht="16.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</row>
    <row r="856" ht="16.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</row>
    <row r="857" ht="16.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</row>
    <row r="858" ht="16.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</row>
    <row r="859" ht="16.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</row>
    <row r="860" ht="16.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</row>
    <row r="861" ht="16.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</row>
    <row r="862" ht="16.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</row>
    <row r="863" ht="16.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</row>
    <row r="864" ht="16.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</row>
    <row r="865" ht="16.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</row>
    <row r="866" ht="16.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</row>
    <row r="867" ht="16.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</row>
    <row r="868" ht="16.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</row>
    <row r="869" ht="16.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</row>
    <row r="870" ht="16.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</row>
    <row r="871" ht="16.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</row>
    <row r="872" ht="16.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</row>
    <row r="873" ht="16.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</row>
    <row r="874" ht="16.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</row>
    <row r="875" ht="16.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</row>
    <row r="876" ht="16.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</row>
    <row r="877" ht="16.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</row>
    <row r="878" ht="16.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</row>
    <row r="879" ht="16.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</row>
    <row r="880" ht="16.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</row>
    <row r="881" ht="16.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</row>
    <row r="882" ht="16.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</row>
    <row r="883" ht="16.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</row>
    <row r="884" ht="16.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</row>
    <row r="885" ht="16.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</row>
    <row r="886" ht="16.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</row>
    <row r="887" ht="16.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</row>
    <row r="888" ht="16.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</row>
    <row r="889" ht="16.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</row>
    <row r="890" ht="16.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</row>
    <row r="891" ht="16.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</row>
    <row r="892" ht="16.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</row>
    <row r="893" ht="16.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</row>
    <row r="894" ht="16.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</row>
    <row r="895" ht="16.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</row>
    <row r="896" ht="16.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</row>
    <row r="897" ht="16.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</row>
    <row r="898" ht="16.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</row>
    <row r="899" ht="16.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</row>
    <row r="900" ht="16.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</row>
    <row r="901" ht="16.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</row>
    <row r="902" ht="16.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</row>
    <row r="903" ht="16.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</row>
    <row r="904" ht="16.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</row>
    <row r="905" ht="16.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</row>
    <row r="906" ht="16.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</row>
    <row r="907" ht="16.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</row>
    <row r="908" ht="16.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</row>
    <row r="909" ht="16.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</row>
    <row r="910" ht="16.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</row>
    <row r="911" ht="16.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</row>
    <row r="912" ht="16.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</row>
    <row r="913" ht="16.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</row>
    <row r="914" ht="16.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</row>
    <row r="915" ht="16.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</row>
    <row r="916" ht="16.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</row>
    <row r="917" ht="16.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</row>
    <row r="918" ht="16.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</row>
    <row r="919" ht="16.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</row>
    <row r="920" ht="16.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</row>
    <row r="921" ht="16.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</row>
    <row r="922" ht="16.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</row>
    <row r="923" ht="16.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</row>
    <row r="924" ht="16.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</row>
    <row r="925" ht="16.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</row>
    <row r="926" ht="16.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</row>
    <row r="927" ht="16.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</row>
    <row r="928" ht="16.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</row>
    <row r="929" ht="16.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</row>
    <row r="930" ht="16.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</row>
    <row r="931" ht="16.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</row>
    <row r="932" ht="16.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</row>
    <row r="933" ht="16.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</row>
    <row r="934" ht="16.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</row>
    <row r="935" ht="16.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</row>
    <row r="936" ht="16.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</row>
    <row r="937" ht="16.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</row>
    <row r="938" ht="16.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</row>
    <row r="939" ht="16.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</row>
    <row r="940" ht="16.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</row>
    <row r="941" ht="16.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</row>
    <row r="942" ht="16.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</row>
    <row r="943" ht="16.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</row>
    <row r="944" ht="16.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</row>
    <row r="945" ht="16.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</row>
    <row r="946" ht="16.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</row>
    <row r="947" ht="16.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</row>
    <row r="948" ht="16.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</row>
    <row r="949" ht="16.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</row>
    <row r="950" ht="16.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</row>
    <row r="951" ht="16.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</row>
    <row r="952" ht="16.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</row>
    <row r="953" ht="16.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</row>
    <row r="954" ht="16.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</row>
    <row r="955" ht="16.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</row>
    <row r="956" ht="16.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</row>
    <row r="957" ht="16.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</row>
    <row r="958" ht="16.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</row>
    <row r="959" ht="16.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</row>
    <row r="960" ht="16.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</row>
    <row r="961" ht="16.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</row>
    <row r="962" ht="16.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</row>
    <row r="963" ht="16.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</row>
    <row r="964" ht="16.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</row>
    <row r="965" ht="16.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</row>
    <row r="966" ht="16.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</row>
    <row r="967" ht="16.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</row>
    <row r="968" ht="16.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</row>
    <row r="969" ht="16.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</row>
    <row r="970" ht="16.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</row>
    <row r="971" ht="16.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</row>
    <row r="972" ht="16.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</row>
    <row r="973" ht="16.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</row>
    <row r="974" ht="16.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</row>
    <row r="975" ht="16.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</row>
    <row r="976" ht="16.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</row>
    <row r="977" ht="16.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</row>
    <row r="978" ht="16.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</row>
    <row r="979" ht="16.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</row>
    <row r="980" ht="16.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</row>
    <row r="981" ht="16.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</row>
    <row r="982" ht="16.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</row>
    <row r="983" ht="16.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</row>
    <row r="984" ht="16.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  <c r="AT984" s="90"/>
      <c r="AU984" s="90"/>
    </row>
    <row r="985" ht="16.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  <c r="AT985" s="90"/>
      <c r="AU985" s="90"/>
    </row>
    <row r="986" ht="16.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0"/>
      <c r="AR986" s="90"/>
      <c r="AS986" s="90"/>
      <c r="AT986" s="90"/>
      <c r="AU986" s="90"/>
    </row>
    <row r="987" ht="16.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0"/>
      <c r="AR987" s="90"/>
      <c r="AS987" s="90"/>
      <c r="AT987" s="90"/>
      <c r="AU987" s="90"/>
    </row>
    <row r="988" ht="16.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0"/>
      <c r="AR988" s="90"/>
      <c r="AS988" s="90"/>
      <c r="AT988" s="90"/>
      <c r="AU988" s="90"/>
    </row>
    <row r="989" ht="16.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  <c r="AQ989" s="90"/>
      <c r="AR989" s="90"/>
      <c r="AS989" s="90"/>
      <c r="AT989" s="90"/>
      <c r="AU989" s="90"/>
    </row>
    <row r="990" ht="16.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  <c r="AQ990" s="90"/>
      <c r="AR990" s="90"/>
      <c r="AS990" s="90"/>
      <c r="AT990" s="90"/>
      <c r="AU990" s="90"/>
    </row>
    <row r="991" ht="16.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</row>
    <row r="992" ht="16.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  <c r="AQ992" s="90"/>
      <c r="AR992" s="90"/>
      <c r="AS992" s="90"/>
      <c r="AT992" s="90"/>
      <c r="AU992" s="90"/>
    </row>
    <row r="993" ht="16.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  <c r="AQ993" s="90"/>
      <c r="AR993" s="90"/>
      <c r="AS993" s="90"/>
      <c r="AT993" s="90"/>
      <c r="AU993" s="90"/>
    </row>
    <row r="994" ht="16.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0"/>
      <c r="AJ994" s="90"/>
      <c r="AK994" s="90"/>
      <c r="AL994" s="90"/>
      <c r="AM994" s="90"/>
      <c r="AN994" s="90"/>
      <c r="AO994" s="90"/>
      <c r="AP994" s="90"/>
      <c r="AQ994" s="90"/>
      <c r="AR994" s="90"/>
      <c r="AS994" s="90"/>
      <c r="AT994" s="90"/>
      <c r="AU994" s="90"/>
    </row>
    <row r="995" ht="16.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0"/>
      <c r="AJ995" s="90"/>
      <c r="AK995" s="90"/>
      <c r="AL995" s="90"/>
      <c r="AM995" s="90"/>
      <c r="AN995" s="90"/>
      <c r="AO995" s="90"/>
      <c r="AP995" s="90"/>
      <c r="AQ995" s="90"/>
      <c r="AR995" s="90"/>
      <c r="AS995" s="90"/>
      <c r="AT995" s="90"/>
      <c r="AU995" s="90"/>
    </row>
    <row r="996" ht="16.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0"/>
      <c r="AJ996" s="90"/>
      <c r="AK996" s="90"/>
      <c r="AL996" s="90"/>
      <c r="AM996" s="90"/>
      <c r="AN996" s="90"/>
      <c r="AO996" s="90"/>
      <c r="AP996" s="90"/>
      <c r="AQ996" s="90"/>
      <c r="AR996" s="90"/>
      <c r="AS996" s="90"/>
      <c r="AT996" s="90"/>
      <c r="AU996" s="90"/>
    </row>
    <row r="997" ht="16.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0"/>
      <c r="AJ997" s="90"/>
      <c r="AK997" s="90"/>
      <c r="AL997" s="90"/>
      <c r="AM997" s="90"/>
      <c r="AN997" s="90"/>
      <c r="AO997" s="90"/>
      <c r="AP997" s="90"/>
      <c r="AQ997" s="90"/>
      <c r="AR997" s="90"/>
      <c r="AS997" s="90"/>
      <c r="AT997" s="90"/>
      <c r="AU997" s="90"/>
    </row>
    <row r="998" ht="16.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0"/>
      <c r="AJ998" s="90"/>
      <c r="AK998" s="90"/>
      <c r="AL998" s="90"/>
      <c r="AM998" s="90"/>
      <c r="AN998" s="90"/>
      <c r="AO998" s="90"/>
      <c r="AP998" s="90"/>
      <c r="AQ998" s="90"/>
      <c r="AR998" s="90"/>
      <c r="AS998" s="90"/>
      <c r="AT998" s="90"/>
      <c r="AU998" s="90"/>
    </row>
    <row r="999" ht="16.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0"/>
      <c r="AJ999" s="90"/>
      <c r="AK999" s="90"/>
      <c r="AL999" s="90"/>
      <c r="AM999" s="90"/>
      <c r="AN999" s="90"/>
      <c r="AO999" s="90"/>
      <c r="AP999" s="90"/>
      <c r="AQ999" s="90"/>
      <c r="AR999" s="90"/>
      <c r="AS999" s="90"/>
      <c r="AT999" s="90"/>
      <c r="AU999" s="90"/>
    </row>
    <row r="1000" ht="16.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  <c r="AE1000" s="90"/>
      <c r="AF1000" s="90"/>
      <c r="AG1000" s="90"/>
      <c r="AH1000" s="90"/>
      <c r="AI1000" s="90"/>
      <c r="AJ1000" s="90"/>
      <c r="AK1000" s="90"/>
      <c r="AL1000" s="90"/>
      <c r="AM1000" s="90"/>
      <c r="AN1000" s="90"/>
      <c r="AO1000" s="90"/>
      <c r="AP1000" s="90"/>
      <c r="AQ1000" s="90"/>
      <c r="AR1000" s="90"/>
      <c r="AS1000" s="90"/>
      <c r="AT1000" s="90"/>
      <c r="AU1000" s="90"/>
    </row>
    <row r="1001" ht="16.5" customHeight="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  <c r="AC1001" s="90"/>
      <c r="AD1001" s="90"/>
      <c r="AE1001" s="90"/>
      <c r="AF1001" s="90"/>
      <c r="AG1001" s="90"/>
      <c r="AH1001" s="90"/>
      <c r="AI1001" s="90"/>
      <c r="AJ1001" s="90"/>
      <c r="AK1001" s="90"/>
      <c r="AL1001" s="90"/>
      <c r="AM1001" s="90"/>
      <c r="AN1001" s="90"/>
      <c r="AO1001" s="90"/>
      <c r="AP1001" s="90"/>
      <c r="AQ1001" s="90"/>
      <c r="AR1001" s="90"/>
      <c r="AS1001" s="90"/>
      <c r="AT1001" s="90"/>
      <c r="AU1001" s="90"/>
    </row>
  </sheetData>
  <autoFilter ref="$A$1:$AU$83"/>
  <customSheetViews>
    <customSheetView guid="{54F8CE8E-2557-445F-84FF-C9618C825AB6}" filter="1" showAutoFilter="1">
      <autoFilter ref="$A$1:$U$77"/>
    </customSheetView>
  </customSheetViews>
  <mergeCells count="1">
    <mergeCell ref="A84:B84"/>
  </mergeCells>
  <conditionalFormatting sqref="E2:AU77">
    <cfRule type="containsText" dxfId="4" priority="1" operator="containsText" text="DISPONIBLE">
      <formula>NOT(ISERROR(SEARCH(("DISPONIBLE"),(E2))))</formula>
    </cfRule>
  </conditionalFormatting>
  <conditionalFormatting sqref="E2:AU77">
    <cfRule type="containsText" dxfId="5" priority="2" operator="containsText" text="ASISTE TENIS">
      <formula>NOT(ISERROR(SEARCH(("ASISTE TENIS"),(E2))))</formula>
    </cfRule>
  </conditionalFormatting>
  <conditionalFormatting sqref="E2:AU77">
    <cfRule type="containsText" dxfId="6" priority="3" operator="containsText" text="ASISTE GOLF">
      <formula>NOT(ISERROR(SEARCH(("ASISTE GOLF"),(E2))))</formula>
    </cfRule>
  </conditionalFormatting>
  <conditionalFormatting sqref="E1:N77 R5:R6 T6 U7:V7 AA8:AA9 AA20 AA22 Z27:AA27 R42 Z43 O45:AB45 Z67:AB67">
    <cfRule type="containsText" dxfId="7" priority="4" operator="containsText" text="ESTUDIA">
      <formula>NOT(ISERROR(SEARCH(("ESTUDIA"),(E1))))</formula>
    </cfRule>
  </conditionalFormatting>
  <conditionalFormatting sqref="E2:AU77">
    <cfRule type="containsText" dxfId="8" priority="5" operator="containsText" text="JUGADOR">
      <formula>NOT(ISERROR(SEARCH(("JUGADOR"),(E2))))</formula>
    </cfRule>
  </conditionalFormatting>
  <conditionalFormatting sqref="A1:AU1001">
    <cfRule type="containsText" dxfId="9" priority="6" operator="containsText" text="APOYO TORNEO">
      <formula>NOT(ISERROR(SEARCH(("APOYO TORNEO"),(A1))))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</hyperlinks>
  <drawing r:id="rId7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75"/>
    <col customWidth="1" min="3" max="3" width="31.0"/>
    <col customWidth="1" min="4" max="4" width="26.63"/>
    <col customWidth="1" min="6" max="6" width="30.63"/>
    <col customWidth="1" min="7" max="7" width="23.25"/>
    <col customWidth="1" min="8" max="8" width="20.0"/>
  </cols>
  <sheetData>
    <row r="1" ht="22.5" customHeight="1">
      <c r="A1" s="98"/>
      <c r="B1" s="99" t="s">
        <v>509</v>
      </c>
      <c r="C1" s="100" t="s">
        <v>510</v>
      </c>
      <c r="D1" s="101"/>
      <c r="E1" s="102"/>
      <c r="F1" s="98" t="s">
        <v>511</v>
      </c>
      <c r="G1" s="98" t="s">
        <v>512</v>
      </c>
      <c r="H1" s="98" t="s">
        <v>513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</row>
    <row r="2">
      <c r="A2" s="103">
        <v>1.0</v>
      </c>
      <c r="B2" s="104" t="s">
        <v>514</v>
      </c>
      <c r="C2" s="105" t="s">
        <v>48</v>
      </c>
      <c r="D2" s="105" t="s">
        <v>288</v>
      </c>
      <c r="F2" s="106" t="s">
        <v>123</v>
      </c>
      <c r="G2" s="106" t="s">
        <v>123</v>
      </c>
      <c r="H2" s="106" t="s">
        <v>515</v>
      </c>
    </row>
    <row r="3">
      <c r="A3" s="103">
        <v>2.0</v>
      </c>
      <c r="B3" s="104" t="s">
        <v>516</v>
      </c>
      <c r="C3" s="105" t="s">
        <v>88</v>
      </c>
      <c r="D3" s="105" t="s">
        <v>294</v>
      </c>
      <c r="F3" s="106" t="s">
        <v>138</v>
      </c>
      <c r="G3" s="106" t="s">
        <v>129</v>
      </c>
      <c r="H3" s="106" t="s">
        <v>103</v>
      </c>
    </row>
    <row r="4">
      <c r="A4" s="103">
        <v>3.0</v>
      </c>
      <c r="B4" s="104" t="s">
        <v>517</v>
      </c>
      <c r="C4" s="105" t="s">
        <v>97</v>
      </c>
      <c r="D4" s="105" t="s">
        <v>518</v>
      </c>
      <c r="F4" s="106" t="s">
        <v>158</v>
      </c>
      <c r="G4" s="106" t="s">
        <v>138</v>
      </c>
      <c r="H4" s="106" t="s">
        <v>519</v>
      </c>
    </row>
    <row r="5">
      <c r="A5" s="103">
        <v>4.0</v>
      </c>
      <c r="B5" s="104" t="s">
        <v>520</v>
      </c>
      <c r="C5" s="105" t="s">
        <v>108</v>
      </c>
      <c r="D5" s="105" t="s">
        <v>312</v>
      </c>
      <c r="F5" s="106" t="s">
        <v>178</v>
      </c>
      <c r="G5" s="106" t="s">
        <v>158</v>
      </c>
      <c r="H5" s="106" t="s">
        <v>149</v>
      </c>
    </row>
    <row r="6">
      <c r="A6" s="103">
        <v>5.0</v>
      </c>
      <c r="B6" s="104" t="s">
        <v>521</v>
      </c>
      <c r="C6" s="105" t="s">
        <v>103</v>
      </c>
      <c r="D6" s="105" t="s">
        <v>377</v>
      </c>
      <c r="F6" s="106" t="s">
        <v>211</v>
      </c>
      <c r="G6" s="106" t="s">
        <v>211</v>
      </c>
      <c r="H6" s="106" t="s">
        <v>154</v>
      </c>
    </row>
    <row r="7">
      <c r="A7" s="103">
        <v>6.0</v>
      </c>
      <c r="B7" s="104" t="s">
        <v>522</v>
      </c>
      <c r="C7" s="105" t="s">
        <v>133</v>
      </c>
      <c r="D7" s="105" t="s">
        <v>372</v>
      </c>
      <c r="F7" s="106" t="s">
        <v>228</v>
      </c>
      <c r="G7" s="106" t="s">
        <v>285</v>
      </c>
      <c r="H7" s="106" t="s">
        <v>523</v>
      </c>
    </row>
    <row r="8">
      <c r="A8" s="103">
        <v>7.0</v>
      </c>
      <c r="B8" s="104" t="s">
        <v>524</v>
      </c>
      <c r="C8" s="105" t="s">
        <v>141</v>
      </c>
      <c r="D8" s="105" t="s">
        <v>356</v>
      </c>
      <c r="F8" s="106" t="s">
        <v>236</v>
      </c>
      <c r="G8" s="106" t="s">
        <v>288</v>
      </c>
      <c r="H8" s="106" t="s">
        <v>525</v>
      </c>
    </row>
    <row r="9">
      <c r="A9" s="103">
        <v>8.0</v>
      </c>
      <c r="B9" s="104" t="s">
        <v>515</v>
      </c>
      <c r="C9" s="105" t="s">
        <v>526</v>
      </c>
      <c r="D9" s="105" t="s">
        <v>401</v>
      </c>
      <c r="F9" s="106" t="s">
        <v>278</v>
      </c>
      <c r="G9" s="106" t="s">
        <v>294</v>
      </c>
      <c r="H9" s="106" t="s">
        <v>271</v>
      </c>
    </row>
    <row r="10">
      <c r="A10" s="103">
        <v>9.0</v>
      </c>
      <c r="B10" s="104" t="s">
        <v>527</v>
      </c>
      <c r="C10" s="105" t="s">
        <v>262</v>
      </c>
      <c r="D10" s="105" t="s">
        <v>185</v>
      </c>
      <c r="F10" s="106" t="s">
        <v>281</v>
      </c>
      <c r="G10" s="106" t="s">
        <v>301</v>
      </c>
      <c r="H10" s="106" t="s">
        <v>312</v>
      </c>
    </row>
    <row r="11">
      <c r="A11" s="103">
        <v>10.0</v>
      </c>
      <c r="B11" s="104" t="s">
        <v>528</v>
      </c>
      <c r="C11" s="105" t="s">
        <v>149</v>
      </c>
      <c r="D11" s="105" t="s">
        <v>529</v>
      </c>
      <c r="F11" s="107" t="s">
        <v>285</v>
      </c>
      <c r="G11" s="107" t="s">
        <v>307</v>
      </c>
    </row>
    <row r="12">
      <c r="A12" s="103">
        <v>11.0</v>
      </c>
      <c r="B12" s="104" t="s">
        <v>530</v>
      </c>
      <c r="C12" s="105" t="s">
        <v>154</v>
      </c>
      <c r="D12" s="105" t="s">
        <v>531</v>
      </c>
      <c r="F12" s="107" t="s">
        <v>301</v>
      </c>
      <c r="G12" s="107" t="s">
        <v>377</v>
      </c>
    </row>
    <row r="13">
      <c r="A13" s="103">
        <v>12.0</v>
      </c>
      <c r="B13" s="104" t="s">
        <v>532</v>
      </c>
      <c r="C13" s="105" t="s">
        <v>161</v>
      </c>
      <c r="D13" s="105" t="s">
        <v>533</v>
      </c>
      <c r="F13" s="107" t="s">
        <v>307</v>
      </c>
      <c r="G13" s="107" t="s">
        <v>358</v>
      </c>
    </row>
    <row r="14">
      <c r="A14" s="103">
        <v>13.0</v>
      </c>
      <c r="B14" s="104" t="s">
        <v>523</v>
      </c>
      <c r="C14" s="105" t="s">
        <v>169</v>
      </c>
      <c r="D14" s="105" t="s">
        <v>523</v>
      </c>
      <c r="F14" s="107" t="s">
        <v>380</v>
      </c>
      <c r="G14" s="107" t="s">
        <v>394</v>
      </c>
    </row>
    <row r="15">
      <c r="A15" s="103">
        <v>14.0</v>
      </c>
      <c r="B15" s="104" t="s">
        <v>533</v>
      </c>
      <c r="C15" s="105" t="s">
        <v>194</v>
      </c>
      <c r="D15" s="108"/>
      <c r="F15" s="107" t="s">
        <v>327</v>
      </c>
      <c r="G15" s="107" t="s">
        <v>380</v>
      </c>
    </row>
    <row r="16">
      <c r="A16" s="103">
        <v>15.0</v>
      </c>
      <c r="B16" s="104" t="s">
        <v>185</v>
      </c>
      <c r="C16" s="105" t="s">
        <v>204</v>
      </c>
      <c r="D16" s="108"/>
      <c r="F16" s="107" t="s">
        <v>365</v>
      </c>
      <c r="G16" s="107" t="s">
        <v>323</v>
      </c>
    </row>
    <row r="17">
      <c r="A17" s="103">
        <v>16.0</v>
      </c>
      <c r="B17" s="104" t="s">
        <v>534</v>
      </c>
      <c r="C17" s="105" t="s">
        <v>215</v>
      </c>
      <c r="D17" s="108"/>
      <c r="F17" s="107" t="s">
        <v>358</v>
      </c>
      <c r="G17" s="107" t="s">
        <v>327</v>
      </c>
    </row>
    <row r="18">
      <c r="A18" s="103">
        <v>17.0</v>
      </c>
      <c r="B18" s="104" t="s">
        <v>535</v>
      </c>
      <c r="C18" s="105" t="s">
        <v>220</v>
      </c>
      <c r="D18" s="108"/>
      <c r="F18" s="107" t="s">
        <v>536</v>
      </c>
      <c r="G18" s="107" t="s">
        <v>337</v>
      </c>
    </row>
    <row r="19">
      <c r="A19" s="103">
        <v>18.0</v>
      </c>
      <c r="B19" s="104" t="s">
        <v>537</v>
      </c>
      <c r="C19" s="105" t="s">
        <v>224</v>
      </c>
      <c r="D19" s="108"/>
      <c r="F19" s="107" t="s">
        <v>337</v>
      </c>
      <c r="G19" s="107" t="s">
        <v>365</v>
      </c>
    </row>
    <row r="20">
      <c r="A20" s="103">
        <v>19.0</v>
      </c>
      <c r="B20" s="104" t="s">
        <v>525</v>
      </c>
      <c r="C20" s="105" t="s">
        <v>249</v>
      </c>
      <c r="D20" s="108"/>
    </row>
    <row r="21">
      <c r="A21" s="103">
        <v>20.0</v>
      </c>
      <c r="B21" s="104" t="s">
        <v>538</v>
      </c>
      <c r="C21" s="105" t="s">
        <v>255</v>
      </c>
      <c r="D21" s="108"/>
    </row>
    <row r="22">
      <c r="A22" s="103">
        <v>21.0</v>
      </c>
      <c r="B22" s="104" t="s">
        <v>539</v>
      </c>
      <c r="C22" s="105" t="s">
        <v>259</v>
      </c>
      <c r="D22" s="108"/>
    </row>
    <row r="23">
      <c r="A23" s="103">
        <v>22.0</v>
      </c>
      <c r="B23" s="104" t="s">
        <v>540</v>
      </c>
      <c r="C23" s="105" t="s">
        <v>271</v>
      </c>
      <c r="D23" s="108"/>
    </row>
    <row r="24">
      <c r="A24" s="103">
        <v>23.0</v>
      </c>
      <c r="B24" s="104" t="s">
        <v>541</v>
      </c>
      <c r="C24" s="106"/>
    </row>
    <row r="25">
      <c r="A25" s="103">
        <v>24.0</v>
      </c>
      <c r="B25" s="104" t="s">
        <v>542</v>
      </c>
      <c r="C25" s="106"/>
    </row>
    <row r="26">
      <c r="A26" s="103">
        <v>25.0</v>
      </c>
      <c r="B26" s="104" t="s">
        <v>543</v>
      </c>
      <c r="C26" s="106"/>
    </row>
    <row r="27">
      <c r="A27" s="103">
        <v>26.0</v>
      </c>
      <c r="B27" s="104" t="s">
        <v>544</v>
      </c>
      <c r="C27" s="107"/>
    </row>
    <row r="28">
      <c r="A28" s="103">
        <v>27.0</v>
      </c>
      <c r="B28" s="104" t="s">
        <v>545</v>
      </c>
      <c r="C28" s="107"/>
    </row>
    <row r="29">
      <c r="A29" s="103">
        <v>28.0</v>
      </c>
      <c r="B29" s="104" t="s">
        <v>546</v>
      </c>
      <c r="C29" s="107"/>
    </row>
    <row r="30">
      <c r="A30" s="103">
        <v>29.0</v>
      </c>
      <c r="B30" s="104" t="s">
        <v>547</v>
      </c>
      <c r="C30" s="107"/>
    </row>
    <row r="31">
      <c r="A31" s="103">
        <v>30.0</v>
      </c>
      <c r="B31" s="104" t="s">
        <v>548</v>
      </c>
      <c r="C31" s="107"/>
    </row>
    <row r="32">
      <c r="A32" s="103">
        <v>31.0</v>
      </c>
      <c r="B32" s="104" t="s">
        <v>549</v>
      </c>
      <c r="C32" s="107"/>
    </row>
    <row r="33">
      <c r="A33" s="103">
        <v>32.0</v>
      </c>
      <c r="B33" s="109"/>
      <c r="C33" s="107"/>
    </row>
  </sheetData>
  <mergeCells count="1">
    <mergeCell ref="C1:D1"/>
  </mergeCells>
  <conditionalFormatting sqref="D9:D10 H10 G13 F16:F21 G19 C31 C33">
    <cfRule type="containsText" dxfId="4" priority="1" operator="containsText" text="DISPONIBLE">
      <formula>NOT(ISERROR(SEARCH(("DISPONIBLE"),(D9))))</formula>
    </cfRule>
  </conditionalFormatting>
  <conditionalFormatting sqref="D9:D10 H10 G13 F16:F21 G19 C31 C33">
    <cfRule type="containsText" dxfId="5" priority="2" operator="containsText" text="ASISTE TENIS">
      <formula>NOT(ISERROR(SEARCH(("ASISTE TENIS"),(D9))))</formula>
    </cfRule>
  </conditionalFormatting>
  <conditionalFormatting sqref="D9:D10 H10 G13 F16:F21 G19 C31 C33">
    <cfRule type="containsText" dxfId="6" priority="3" operator="containsText" text="ASISTE GOLF">
      <formula>NOT(ISERROR(SEARCH(("ASISTE GOLF"),(D9))))</formula>
    </cfRule>
  </conditionalFormatting>
  <conditionalFormatting sqref="D7 F18 C29:C30">
    <cfRule type="containsText" dxfId="4" priority="4" operator="containsText" text="DISPONIBLE">
      <formula>NOT(ISERROR(SEARCH(("DISPONIBLE"),(D7))))</formula>
    </cfRule>
  </conditionalFormatting>
  <conditionalFormatting sqref="D7 F18 C29:C30">
    <cfRule type="containsText" dxfId="5" priority="5" operator="containsText" text="ASISTE TENIS">
      <formula>NOT(ISERROR(SEARCH(("ASISTE TENIS"),(D7))))</formula>
    </cfRule>
  </conditionalFormatting>
  <conditionalFormatting sqref="D7 F18 C29:C30">
    <cfRule type="containsText" dxfId="6" priority="6" operator="containsText" text="ASISTE GOLF">
      <formula>NOT(ISERROR(SEARCH(("ASISTE GOLF"),(D7))))</formula>
    </cfRule>
  </conditionalFormatting>
  <conditionalFormatting sqref="D7 C29">
    <cfRule type="containsText" dxfId="4" priority="7" operator="containsText" text="DISPONIBLE">
      <formula>NOT(ISERROR(SEARCH(("DISPONIBLE"),(D7))))</formula>
    </cfRule>
  </conditionalFormatting>
  <conditionalFormatting sqref="D7 C29">
    <cfRule type="containsText" dxfId="5" priority="8" operator="containsText" text="ASISTE TENIS">
      <formula>NOT(ISERROR(SEARCH(("ASISTE TENIS"),(D7))))</formula>
    </cfRule>
  </conditionalFormatting>
  <conditionalFormatting sqref="D7 C29">
    <cfRule type="containsText" dxfId="6" priority="9" operator="containsText" text="ASISTE GOLF">
      <formula>NOT(ISERROR(SEARCH(("ASISTE GOLF"),(D7))))</formula>
    </cfRule>
  </conditionalFormatting>
  <conditionalFormatting sqref="D6 C28">
    <cfRule type="containsText" dxfId="4" priority="10" operator="containsText" text="DISPONIBLE">
      <formula>NOT(ISERROR(SEARCH(("DISPONIBLE"),(D6))))</formula>
    </cfRule>
  </conditionalFormatting>
  <conditionalFormatting sqref="D6 C28">
    <cfRule type="containsText" dxfId="5" priority="11" operator="containsText" text="ASISTE TENIS">
      <formula>NOT(ISERROR(SEARCH(("ASISTE TENIS"),(D6))))</formula>
    </cfRule>
  </conditionalFormatting>
  <conditionalFormatting sqref="D6 C28">
    <cfRule type="containsText" dxfId="6" priority="12" operator="containsText" text="ASISTE GOLF">
      <formula>NOT(ISERROR(SEARCH(("ASISTE GOLF"),(D6))))</formula>
    </cfRule>
  </conditionalFormatting>
  <conditionalFormatting sqref="D4:D14 C26:C27">
    <cfRule type="containsText" dxfId="4" priority="13" operator="containsText" text="DISPONIBLE">
      <formula>NOT(ISERROR(SEARCH(("DISPONIBLE"),(D4))))</formula>
    </cfRule>
  </conditionalFormatting>
  <conditionalFormatting sqref="D4:D14 C26:C27">
    <cfRule type="containsText" dxfId="5" priority="14" operator="containsText" text="ASISTE TENIS">
      <formula>NOT(ISERROR(SEARCH(("ASISTE TENIS"),(D4))))</formula>
    </cfRule>
  </conditionalFormatting>
  <conditionalFormatting sqref="D4:D14 C26:C27">
    <cfRule type="containsText" dxfId="6" priority="15" operator="containsText" text="ASISTE GOLF">
      <formula>NOT(ISERROR(SEARCH(("ASISTE GOLF"),(D4))))</formula>
    </cfRule>
  </conditionalFormatting>
  <conditionalFormatting sqref="D2:D3 C24:C25">
    <cfRule type="containsText" dxfId="4" priority="16" operator="containsText" text="DISPONIBLE">
      <formula>NOT(ISERROR(SEARCH(("DISPONIBLE"),(D2))))</formula>
    </cfRule>
  </conditionalFormatting>
  <conditionalFormatting sqref="D2:D3 C24:C25">
    <cfRule type="containsText" dxfId="5" priority="17" operator="containsText" text="ASISTE TENIS">
      <formula>NOT(ISERROR(SEARCH(("ASISTE TENIS"),(D2))))</formula>
    </cfRule>
  </conditionalFormatting>
  <conditionalFormatting sqref="D2:D3 C24:C25">
    <cfRule type="containsText" dxfId="6" priority="18" operator="containsText" text="ASISTE GOLF">
      <formula>NOT(ISERROR(SEARCH(("ASISTE GOLF"),(D2))))</formula>
    </cfRule>
  </conditionalFormatting>
  <conditionalFormatting sqref="C23">
    <cfRule type="containsText" dxfId="4" priority="19" operator="containsText" text="DISPONIBLE">
      <formula>NOT(ISERROR(SEARCH(("DISPONIBLE"),(C23))))</formula>
    </cfRule>
  </conditionalFormatting>
  <conditionalFormatting sqref="C23">
    <cfRule type="containsText" dxfId="5" priority="20" operator="containsText" text="ASISTE TENIS">
      <formula>NOT(ISERROR(SEARCH(("ASISTE TENIS"),(C23))))</formula>
    </cfRule>
  </conditionalFormatting>
  <conditionalFormatting sqref="C23">
    <cfRule type="containsText" dxfId="6" priority="21" operator="containsText" text="ASISTE GOLF">
      <formula>NOT(ISERROR(SEARCH(("ASISTE GOLF"),(C23))))</formula>
    </cfRule>
  </conditionalFormatting>
  <conditionalFormatting sqref="C20:C23">
    <cfRule type="containsText" dxfId="4" priority="22" operator="containsText" text="DISPONIBLE">
      <formula>NOT(ISERROR(SEARCH(("DISPONIBLE"),(C20))))</formula>
    </cfRule>
  </conditionalFormatting>
  <conditionalFormatting sqref="C20:C23">
    <cfRule type="containsText" dxfId="5" priority="23" operator="containsText" text="ASISTE TENIS">
      <formula>NOT(ISERROR(SEARCH(("ASISTE TENIS"),(C20))))</formula>
    </cfRule>
  </conditionalFormatting>
  <conditionalFormatting sqref="C20:C23">
    <cfRule type="containsText" dxfId="6" priority="24" operator="containsText" text="ASISTE GOLF">
      <formula>NOT(ISERROR(SEARCH(("ASISTE GOLF"),(C20))))</formula>
    </cfRule>
  </conditionalFormatting>
  <conditionalFormatting sqref="C17:C19">
    <cfRule type="containsText" dxfId="4" priority="25" operator="containsText" text="DISPONIBLE">
      <formula>NOT(ISERROR(SEARCH(("DISPONIBLE"),(C17))))</formula>
    </cfRule>
  </conditionalFormatting>
  <conditionalFormatting sqref="C17:C19">
    <cfRule type="containsText" dxfId="5" priority="26" operator="containsText" text="ASISTE TENIS">
      <formula>NOT(ISERROR(SEARCH(("ASISTE TENIS"),(C17))))</formula>
    </cfRule>
  </conditionalFormatting>
  <conditionalFormatting sqref="C17:C19">
    <cfRule type="containsText" dxfId="6" priority="27" operator="containsText" text="ASISTE GOLF">
      <formula>NOT(ISERROR(SEARCH(("ASISTE GOLF"),(C17))))</formula>
    </cfRule>
  </conditionalFormatting>
  <conditionalFormatting sqref="C16">
    <cfRule type="containsText" dxfId="4" priority="28" operator="containsText" text="DISPONIBLE">
      <formula>NOT(ISERROR(SEARCH(("DISPONIBLE"),(C16))))</formula>
    </cfRule>
  </conditionalFormatting>
  <conditionalFormatting sqref="C16">
    <cfRule type="containsText" dxfId="5" priority="29" operator="containsText" text="ASISTE TENIS">
      <formula>NOT(ISERROR(SEARCH(("ASISTE TENIS"),(C16))))</formula>
    </cfRule>
  </conditionalFormatting>
  <conditionalFormatting sqref="C16">
    <cfRule type="containsText" dxfId="6" priority="30" operator="containsText" text="ASISTE GOLF">
      <formula>NOT(ISERROR(SEARCH(("ASISTE GOLF"),(C16))))</formula>
    </cfRule>
  </conditionalFormatting>
  <conditionalFormatting sqref="C15">
    <cfRule type="containsText" dxfId="4" priority="31" operator="containsText" text="DISPONIBLE">
      <formula>NOT(ISERROR(SEARCH(("DISPONIBLE"),(C15))))</formula>
    </cfRule>
  </conditionalFormatting>
  <conditionalFormatting sqref="C15">
    <cfRule type="containsText" dxfId="5" priority="32" operator="containsText" text="ASISTE TENIS">
      <formula>NOT(ISERROR(SEARCH(("ASISTE TENIS"),(C15))))</formula>
    </cfRule>
  </conditionalFormatting>
  <conditionalFormatting sqref="C15">
    <cfRule type="containsText" dxfId="6" priority="33" operator="containsText" text="ASISTE GOLF">
      <formula>NOT(ISERROR(SEARCH(("ASISTE GOLF"),(C15))))</formula>
    </cfRule>
  </conditionalFormatting>
  <conditionalFormatting sqref="C14">
    <cfRule type="containsText" dxfId="4" priority="34" operator="containsText" text="DISPONIBLE">
      <formula>NOT(ISERROR(SEARCH(("DISPONIBLE"),(C14))))</formula>
    </cfRule>
  </conditionalFormatting>
  <conditionalFormatting sqref="C14">
    <cfRule type="containsText" dxfId="5" priority="35" operator="containsText" text="ASISTE TENIS">
      <formula>NOT(ISERROR(SEARCH(("ASISTE TENIS"),(C14))))</formula>
    </cfRule>
  </conditionalFormatting>
  <conditionalFormatting sqref="C14">
    <cfRule type="containsText" dxfId="6" priority="36" operator="containsText" text="ASISTE GOLF">
      <formula>NOT(ISERROR(SEARCH(("ASISTE GOLF"),(C14))))</formula>
    </cfRule>
  </conditionalFormatting>
  <conditionalFormatting sqref="C13">
    <cfRule type="containsText" dxfId="4" priority="37" operator="containsText" text="DISPONIBLE">
      <formula>NOT(ISERROR(SEARCH(("DISPONIBLE"),(C13))))</formula>
    </cfRule>
  </conditionalFormatting>
  <conditionalFormatting sqref="C13">
    <cfRule type="containsText" dxfId="5" priority="38" operator="containsText" text="ASISTE TENIS">
      <formula>NOT(ISERROR(SEARCH(("ASISTE TENIS"),(C13))))</formula>
    </cfRule>
  </conditionalFormatting>
  <conditionalFormatting sqref="C13">
    <cfRule type="containsText" dxfId="6" priority="39" operator="containsText" text="ASISTE GOLF">
      <formula>NOT(ISERROR(SEARCH(("ASISTE GOLF"),(C13))))</formula>
    </cfRule>
  </conditionalFormatting>
  <conditionalFormatting sqref="C8:C12">
    <cfRule type="containsText" dxfId="4" priority="40" operator="containsText" text="DISPONIBLE">
      <formula>NOT(ISERROR(SEARCH(("DISPONIBLE"),(C8))))</formula>
    </cfRule>
  </conditionalFormatting>
  <conditionalFormatting sqref="C8:C12">
    <cfRule type="containsText" dxfId="5" priority="41" operator="containsText" text="ASISTE TENIS">
      <formula>NOT(ISERROR(SEARCH(("ASISTE TENIS"),(C8))))</formula>
    </cfRule>
  </conditionalFormatting>
  <conditionalFormatting sqref="C8:C12">
    <cfRule type="containsText" dxfId="6" priority="42" operator="containsText" text="ASISTE GOLF">
      <formula>NOT(ISERROR(SEARCH(("ASISTE GOLF"),(C8))))</formula>
    </cfRule>
  </conditionalFormatting>
  <conditionalFormatting sqref="C7">
    <cfRule type="containsText" dxfId="4" priority="43" operator="containsText" text="DISPONIBLE">
      <formula>NOT(ISERROR(SEARCH(("DISPONIBLE"),(C7))))</formula>
    </cfRule>
  </conditionalFormatting>
  <conditionalFormatting sqref="C7">
    <cfRule type="containsText" dxfId="5" priority="44" operator="containsText" text="ASISTE TENIS">
      <formula>NOT(ISERROR(SEARCH(("ASISTE TENIS"),(C7))))</formula>
    </cfRule>
  </conditionalFormatting>
  <conditionalFormatting sqref="C7">
    <cfRule type="containsText" dxfId="6" priority="45" operator="containsText" text="ASISTE GOLF">
      <formula>NOT(ISERROR(SEARCH(("ASISTE GOLF"),(C7))))</formula>
    </cfRule>
  </conditionalFormatting>
  <conditionalFormatting sqref="C4:C6">
    <cfRule type="containsText" dxfId="4" priority="46" operator="containsText" text="DISPONIBLE">
      <formula>NOT(ISERROR(SEARCH(("DISPONIBLE"),(C4))))</formula>
    </cfRule>
  </conditionalFormatting>
  <conditionalFormatting sqref="C4:C6">
    <cfRule type="containsText" dxfId="5" priority="47" operator="containsText" text="ASISTE TENIS">
      <formula>NOT(ISERROR(SEARCH(("ASISTE TENIS"),(C4))))</formula>
    </cfRule>
  </conditionalFormatting>
  <conditionalFormatting sqref="C4:C6">
    <cfRule type="containsText" dxfId="6" priority="48" operator="containsText" text="ASISTE GOLF">
      <formula>NOT(ISERROR(SEARCH(("ASISTE GOLF"),(C4))))</formula>
    </cfRule>
  </conditionalFormatting>
  <conditionalFormatting sqref="A2:A33 B2:B32 C2:C3">
    <cfRule type="containsText" dxfId="4" priority="49" operator="containsText" text="DISPONIBLE">
      <formula>NOT(ISERROR(SEARCH(("DISPONIBLE"),(A2))))</formula>
    </cfRule>
  </conditionalFormatting>
  <conditionalFormatting sqref="A2:A33 B2:B32 C2:C3">
    <cfRule type="containsText" dxfId="5" priority="50" operator="containsText" text="ASISTE TENIS">
      <formula>NOT(ISERROR(SEARCH(("ASISTE TENIS"),(A2))))</formula>
    </cfRule>
  </conditionalFormatting>
  <conditionalFormatting sqref="A2:A33 B2:B32 C2:C3">
    <cfRule type="containsText" dxfId="6" priority="51" operator="containsText" text="ASISTE GOLF">
      <formula>NOT(ISERROR(SEARCH(("ASISTE GOLF"),(A2))))</formula>
    </cfRule>
  </conditionalFormatting>
  <drawing r:id="rId1"/>
</worksheet>
</file>